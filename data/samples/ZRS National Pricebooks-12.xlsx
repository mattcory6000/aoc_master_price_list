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treystephenson/Desktop/"/>
    </mc:Choice>
  </mc:AlternateContent>
  <xr:revisionPtr revIDLastSave="0" documentId="8_{28DA3AD3-897E-EA46-BADC-0A8D137E7088}" xr6:coauthVersionLast="47" xr6:coauthVersionMax="47" xr10:uidLastSave="{00000000-0000-0000-0000-000000000000}"/>
  <bookViews>
    <workbookView xWindow="0" yWindow="600" windowWidth="29920" windowHeight="17520" xr2:uid="{00000000-000D-0000-FFFF-FFFF00000000}"/>
  </bookViews>
  <sheets>
    <sheet name="ZRS WINES" sheetId="1" r:id="rId1"/>
    <sheet name="ZRS INVENTORY" sheetId="2" r:id="rId2"/>
    <sheet name="FIFI" sheetId="3" r:id="rId3"/>
    <sheet name="ZRS DISCOUNTS" sheetId="4" state="hidden" r:id="rId4"/>
    <sheet name="ZRSMAX INBOUNDS" sheetId="5" state="hidden" r:id="rId5"/>
    <sheet name="SPIRITS" sheetId="6" r:id="rId6"/>
    <sheet name="SAKE" sheetId="7" r:id="rId7"/>
    <sheet name="MAX" sheetId="8" r:id="rId8"/>
    <sheet name="MAX INVENTORY" sheetId="9" r:id="rId9"/>
    <sheet name="NATIVE" sheetId="10" r:id="rId10"/>
    <sheet name="NATTY WINE" sheetId="11" r:id="rId11"/>
    <sheet name="RONI" sheetId="12" r:id="rId12"/>
    <sheet name="NATIVE SELECTIONS" sheetId="13" state="hidden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9" i="11" l="1"/>
  <c r="D217" i="11"/>
  <c r="D215" i="11"/>
  <c r="D213" i="11"/>
  <c r="D207" i="11"/>
  <c r="D205" i="11"/>
  <c r="D200" i="11"/>
  <c r="D198" i="11"/>
  <c r="D196" i="11"/>
  <c r="D194" i="11"/>
  <c r="D192" i="11"/>
  <c r="D190" i="11"/>
  <c r="D188" i="11"/>
  <c r="D183" i="11"/>
  <c r="D181" i="11"/>
  <c r="D179" i="11"/>
  <c r="D177" i="11"/>
  <c r="D175" i="11"/>
  <c r="D173" i="11"/>
  <c r="D171" i="11"/>
  <c r="D169" i="11"/>
  <c r="D157" i="11"/>
  <c r="D155" i="11"/>
  <c r="D151" i="11"/>
  <c r="D149" i="11"/>
  <c r="D147" i="11"/>
  <c r="D145" i="11"/>
  <c r="D143" i="11"/>
  <c r="D139" i="11"/>
  <c r="D137" i="11"/>
  <c r="D135" i="11"/>
  <c r="D133" i="11"/>
  <c r="D131" i="11"/>
  <c r="D129" i="11"/>
  <c r="D123" i="11"/>
  <c r="D116" i="11"/>
  <c r="D114" i="11"/>
  <c r="D108" i="11"/>
  <c r="D102" i="11"/>
  <c r="D100" i="11"/>
  <c r="D96" i="11"/>
  <c r="D92" i="11"/>
  <c r="D88" i="11"/>
  <c r="D84" i="11"/>
  <c r="D82" i="11"/>
  <c r="D78" i="11"/>
  <c r="D76" i="11"/>
  <c r="D74" i="11"/>
  <c r="D69" i="11"/>
  <c r="D67" i="11"/>
  <c r="D65" i="11"/>
  <c r="D61" i="11"/>
  <c r="D51" i="11"/>
  <c r="D49" i="11"/>
  <c r="D47" i="11"/>
  <c r="D45" i="11"/>
  <c r="D41" i="11"/>
  <c r="D39" i="11"/>
  <c r="D37" i="11"/>
  <c r="D35" i="11"/>
  <c r="D33" i="11"/>
  <c r="D28" i="11"/>
  <c r="D23" i="11"/>
  <c r="D21" i="11"/>
  <c r="D196" i="3"/>
  <c r="D194" i="3"/>
  <c r="D192" i="3"/>
  <c r="D190" i="3"/>
  <c r="D188" i="3"/>
  <c r="D185" i="3"/>
  <c r="D183" i="3"/>
  <c r="D181" i="3"/>
  <c r="D179" i="3"/>
  <c r="D176" i="3"/>
  <c r="D173" i="3"/>
  <c r="D171" i="3"/>
  <c r="D167" i="3"/>
  <c r="D165" i="3"/>
  <c r="D163" i="3"/>
  <c r="D161" i="3"/>
  <c r="D158" i="3"/>
  <c r="D156" i="3"/>
  <c r="D153" i="3"/>
  <c r="D150" i="3"/>
  <c r="D148" i="3"/>
  <c r="D146" i="3"/>
  <c r="D144" i="3"/>
  <c r="D142" i="3"/>
  <c r="D139" i="3"/>
  <c r="D136" i="3"/>
  <c r="D134" i="3"/>
  <c r="D132" i="3"/>
  <c r="D130" i="3"/>
  <c r="D128" i="3"/>
  <c r="D126" i="3"/>
  <c r="D124" i="3"/>
  <c r="D120" i="3"/>
  <c r="D117" i="3"/>
  <c r="D114" i="3"/>
  <c r="D112" i="3"/>
  <c r="D110" i="3"/>
  <c r="D101" i="3"/>
  <c r="D95" i="3"/>
  <c r="D93" i="3"/>
  <c r="D91" i="3"/>
  <c r="D89" i="3"/>
  <c r="D87" i="3"/>
  <c r="D83" i="3"/>
  <c r="D81" i="3"/>
  <c r="D79" i="3"/>
  <c r="D77" i="3"/>
  <c r="D75" i="3"/>
  <c r="D73" i="3"/>
  <c r="D71" i="3"/>
  <c r="D69" i="3"/>
  <c r="D67" i="3"/>
  <c r="D63" i="3"/>
  <c r="D61" i="3"/>
  <c r="D59" i="3"/>
  <c r="D57" i="3"/>
  <c r="D55" i="3"/>
  <c r="D51" i="3"/>
  <c r="D52" i="3" s="1"/>
  <c r="D49" i="3"/>
  <c r="D47" i="3"/>
  <c r="D45" i="3"/>
  <c r="D43" i="3"/>
  <c r="D41" i="3"/>
  <c r="D39" i="3"/>
  <c r="D37" i="3"/>
  <c r="D35" i="3"/>
  <c r="D33" i="3"/>
  <c r="D31" i="3"/>
  <c r="D27" i="3"/>
  <c r="D25" i="3"/>
  <c r="D23" i="3"/>
  <c r="D21" i="3"/>
  <c r="D19" i="3"/>
  <c r="D17" i="3"/>
  <c r="D15" i="3"/>
</calcChain>
</file>

<file path=xl/sharedStrings.xml><?xml version="1.0" encoding="utf-8"?>
<sst xmlns="http://schemas.openxmlformats.org/spreadsheetml/2006/main" count="16280" uniqueCount="7499">
  <si>
    <t>FRANCE</t>
  </si>
  <si>
    <r>
      <rPr>
        <sz val="14"/>
        <color rgb="FF000000"/>
        <rFont val="Helvetica Neue"/>
        <family val="2"/>
      </rPr>
      <t xml:space="preserve">FAMILLE DU VIN 🌱 - </t>
    </r>
    <r>
      <rPr>
        <i/>
        <sz val="14"/>
        <color rgb="FF000000"/>
        <rFont val="Helvetica Neue"/>
        <family val="2"/>
      </rPr>
      <t>ZRS canned wine project!</t>
    </r>
  </si>
  <si>
    <t>ZRS-0911-NV48</t>
  </si>
  <si>
    <t>Chateau de Beru Chablis White 48pk can</t>
  </si>
  <si>
    <t>chardonnay</t>
  </si>
  <si>
    <t>NV</t>
  </si>
  <si>
    <t>200ml</t>
  </si>
  <si>
    <t>ZRS-0913-NV48</t>
  </si>
  <si>
    <t>Jean Pierre Robinot VDF Sparkling 48pk can</t>
  </si>
  <si>
    <t>chenin blanc</t>
  </si>
  <si>
    <t>ZRS-0912-NV48</t>
  </si>
  <si>
    <t>Jean Pierre Robinot VDF White 48pk can</t>
  </si>
  <si>
    <t>ZRS-1424-NV48</t>
  </si>
  <si>
    <t>Fabien Jouves Skin Contact VDF White 48pk (can)</t>
  </si>
  <si>
    <t>gros manseng, ugni blanc, muscat d'alexandrie</t>
  </si>
  <si>
    <t>ZRS-0915-NV48</t>
  </si>
  <si>
    <t>Benjamin Taillandier VDF White 48pk can</t>
  </si>
  <si>
    <t>skin-contact muscat petit grain</t>
  </si>
  <si>
    <t>ZRS-1515-NV48</t>
  </si>
  <si>
    <t>Les Tetes VDF Red 48pk (can)</t>
  </si>
  <si>
    <t>chenin blanc, grolleau, syrah, duras, merlot</t>
  </si>
  <si>
    <t>ZRS-1423-NV48</t>
  </si>
  <si>
    <t>La Roche Buissiere VDF Red 48pk (can)</t>
  </si>
  <si>
    <t>grenache, syrah</t>
  </si>
  <si>
    <t>ZRS-0914-NV48</t>
  </si>
  <si>
    <t>Jean Baptsite et Charlotte Senat VDF Red 48pk can</t>
  </si>
  <si>
    <t>grenache noir, grenache gris, grenache blanc</t>
  </si>
  <si>
    <t>CORSICA</t>
  </si>
  <si>
    <t xml:space="preserve">CLOS DE BERNARDI 🌱 </t>
  </si>
  <si>
    <t>ZRS-1286-23</t>
  </si>
  <si>
    <t>“Blanc de Blancs” Patrimonio White</t>
  </si>
  <si>
    <t>vermentino</t>
  </si>
  <si>
    <t>750ml</t>
  </si>
  <si>
    <t>ZRS-1287-22</t>
  </si>
  <si>
    <t>"Crème de Tête" Patrimonio Red</t>
  </si>
  <si>
    <t>nielluciu</t>
  </si>
  <si>
    <t>BANYULS-SER-MER</t>
  </si>
  <si>
    <t>MAS GUALLAR (Camila Opazo) 🌱</t>
  </si>
  <si>
    <t>ZRS-0605-22</t>
  </si>
  <si>
    <t>"MielNat'" VDF Piquette</t>
  </si>
  <si>
    <t>muscat petit grain pommace, honey, h2o</t>
  </si>
  <si>
    <t>ZRS-0602-22</t>
  </si>
  <si>
    <t>"Chorifly Magico" VDF White</t>
  </si>
  <si>
    <t>muscat d'alexandrie, direct press carignan</t>
  </si>
  <si>
    <t>ZRS-0601-22</t>
  </si>
  <si>
    <t>"Oxymoron!" VDF White</t>
  </si>
  <si>
    <t>muscat petit grain</t>
  </si>
  <si>
    <t>ZRS-0603-22</t>
  </si>
  <si>
    <t>"Oaristys" VDF Red</t>
  </si>
  <si>
    <t>syrah, muscat petit grain</t>
  </si>
  <si>
    <t>ZRS-0606-21</t>
  </si>
  <si>
    <t>"Gratalloups" Banyuls Red</t>
  </si>
  <si>
    <t>syrah</t>
  </si>
  <si>
    <t>ZRS-0607-20</t>
  </si>
  <si>
    <t>"Magic Mountain" Banyuls Red</t>
  </si>
  <si>
    <t>mourvèdre</t>
  </si>
  <si>
    <t>ZRS-0604-NV</t>
  </si>
  <si>
    <t>Vermut VDF Vermouth</t>
  </si>
  <si>
    <t>grenache, carignan, cinchona, rosemary, thyme, rose, lemon, eucalyptus, wormwood</t>
  </si>
  <si>
    <t>ZRS-0608-20</t>
  </si>
  <si>
    <t>"La Foun del Bosc" Maury Red</t>
  </si>
  <si>
    <t>carignan</t>
  </si>
  <si>
    <t xml:space="preserve">LEAH ANGLES 🌱 </t>
  </si>
  <si>
    <t>ZRS-0404-23</t>
  </si>
  <si>
    <t>"Opa" Collioure Red</t>
  </si>
  <si>
    <t>ZRS-0516-23</t>
  </si>
  <si>
    <t>"Divay" Coillure Red</t>
  </si>
  <si>
    <t>grenache</t>
  </si>
  <si>
    <t>ZRS-0403-23</t>
  </si>
  <si>
    <t>"L`elephant Blanc" Collioure Red</t>
  </si>
  <si>
    <t>ZRS-0405-23</t>
  </si>
  <si>
    <t>"Pilgrim" Collioure Red</t>
  </si>
  <si>
    <t>NENU (Rasmus Aamand Olesen) 🌱</t>
  </si>
  <si>
    <t>ZRS22-0481-20</t>
  </si>
  <si>
    <t>"La Fleur d`Un Coeur de Beurre" Collioure Red 6pk</t>
  </si>
  <si>
    <t>grenache noir, mourvèdre, syrah</t>
  </si>
  <si>
    <t>ZRS22-0482-NV</t>
  </si>
  <si>
    <t>"MM" Collioure Red 6pk</t>
  </si>
  <si>
    <t>grenache noir, mourvèdre</t>
  </si>
  <si>
    <t>18,19,20</t>
  </si>
  <si>
    <t>ZRS22-0483-20</t>
  </si>
  <si>
    <t>"La Cuvée de Claude" Collioure Red 6pk</t>
  </si>
  <si>
    <t>YOYO 🌱🐂 - new to portfolio!</t>
  </si>
  <si>
    <t>ZRS-1440-24</t>
  </si>
  <si>
    <t>"Restake" VDF White</t>
  </si>
  <si>
    <t>grenache gris</t>
  </si>
  <si>
    <t>ZRS-1020-24</t>
  </si>
  <si>
    <t>"Akoibon" VDF Red</t>
  </si>
  <si>
    <t>grenache, mourvèdre</t>
  </si>
  <si>
    <t>ZRS-1442-24</t>
  </si>
  <si>
    <t>"El Teu Mar" VDF Red</t>
  </si>
  <si>
    <t>grenache blanc, gris &amp; rouge + carignan blanc, gris, &amp; rouge</t>
  </si>
  <si>
    <t>ZRS-1021-24</t>
  </si>
  <si>
    <t>"La Tranchee" VDF Red</t>
  </si>
  <si>
    <t>ZRS-1441-24</t>
  </si>
  <si>
    <t>"KM31" VDF Red</t>
  </si>
  <si>
    <t>grenache, carignan</t>
  </si>
  <si>
    <t>ZRS-1443-24</t>
  </si>
  <si>
    <t>"Caldera" VDF Red</t>
  </si>
  <si>
    <t>COTES CATALANES</t>
  </si>
  <si>
    <t>LES FOULARDS ROUGES 🌱🐂 - new to portfolio!</t>
  </si>
  <si>
    <t>ZRS-0989-24</t>
  </si>
  <si>
    <t>"La Soif Du Mal" VDF White</t>
  </si>
  <si>
    <t>macabeo, grenache blanc, muscat</t>
  </si>
  <si>
    <t>ZRS-0988-24</t>
  </si>
  <si>
    <t>"La Soif Du Mal" VDF Rosé</t>
  </si>
  <si>
    <t>syrah, carignan</t>
  </si>
  <si>
    <t>ZRS-0939-24</t>
  </si>
  <si>
    <t>"La Soif Du Mal" VDF Red</t>
  </si>
  <si>
    <t>ZRS-0990-24</t>
  </si>
  <si>
    <t>"Le Fond de L`Air Est Rouge" VDF Red</t>
  </si>
  <si>
    <t>cinsault</t>
  </si>
  <si>
    <t>ZRS-0993-24</t>
  </si>
  <si>
    <t>"Terre de Feu" VDF Red</t>
  </si>
  <si>
    <t>grenache, carignan, mourvèdre</t>
  </si>
  <si>
    <r>
      <rPr>
        <sz val="14"/>
        <color rgb="FF000000"/>
        <rFont val="Helvetica Neue"/>
        <family val="2"/>
      </rPr>
      <t xml:space="preserve">DOMAINE MATIN CALME (Veronique Soyloy &amp; Anthony Guix, Millas) 🌱 - </t>
    </r>
    <r>
      <rPr>
        <i/>
        <sz val="14"/>
        <color rgb="FF000000"/>
        <rFont val="Helvetica Neue"/>
        <family val="2"/>
      </rPr>
      <t>new vintages!</t>
    </r>
  </si>
  <si>
    <t>ZRS-0544-23</t>
  </si>
  <si>
    <t>"Ose" VDF Blanc</t>
  </si>
  <si>
    <t>g. blanc/gris, m. blanc à petit grains, carignan blanc, macabeu</t>
  </si>
  <si>
    <t>ZRS-0542-23</t>
  </si>
  <si>
    <t>"Mano &amp; Mano" VDF Rouge</t>
  </si>
  <si>
    <t>ZRS-0543-23</t>
  </si>
  <si>
    <t>"Bonica Marieta" VDF Rouge</t>
  </si>
  <si>
    <t>carignan, grenache</t>
  </si>
  <si>
    <t>ZRS-0543-22</t>
  </si>
  <si>
    <t>ZRS-1044-23</t>
  </si>
  <si>
    <t>Libre VDF Red</t>
  </si>
  <si>
    <t>grenache, syrah, muscat petit grains, grenache gris, macabeu, chardonnay</t>
  </si>
  <si>
    <t>11-024-04-15</t>
  </si>
  <si>
    <t>"Sans Temps" VDF Rouge</t>
  </si>
  <si>
    <r>
      <rPr>
        <sz val="14"/>
        <color rgb="FF000000"/>
        <rFont val="Helvetica Neue"/>
        <family val="2"/>
      </rPr>
      <t xml:space="preserve">LES ARABESQUES (Saskia van der Horst) 🐂 - </t>
    </r>
    <r>
      <rPr>
        <i/>
        <sz val="14"/>
        <color rgb="FF000000"/>
        <rFont val="Helvetica Neue"/>
        <family val="2"/>
      </rPr>
      <t>last vintage!</t>
    </r>
  </si>
  <si>
    <t>ZRS-1188-23</t>
  </si>
  <si>
    <t>"Chloris" VDF White</t>
  </si>
  <si>
    <t>sauvignon blanc</t>
  </si>
  <si>
    <t>ZRS-1186-23</t>
  </si>
  <si>
    <t>"Ocarina" VDF Rosé</t>
  </si>
  <si>
    <t>cinsault, grenache, syrah, carignan</t>
  </si>
  <si>
    <t>ZRS-1185-23</t>
  </si>
  <si>
    <t>"Chopine" VDF Rouge</t>
  </si>
  <si>
    <t>ZRS-1187-23</t>
  </si>
  <si>
    <t>"Lou Pal" VDF Rouge</t>
  </si>
  <si>
    <t>LANGUEDOC</t>
  </si>
  <si>
    <t>JOSETTE Y MICHEL  (Philippe Essome - Fifi) 🌱</t>
  </si>
  <si>
    <t>ZRS-1059-23</t>
  </si>
  <si>
    <t>"Ou Tu Voudras, Quand Tu Voudras" VDF Rose</t>
  </si>
  <si>
    <t>ZRS-1061-23</t>
  </si>
  <si>
    <t>"Tostaky" VDF Red</t>
  </si>
  <si>
    <t>ZRS-1056-23</t>
  </si>
  <si>
    <t>"Le Dire C`est Bien, Le Fer C`est Mieux" VDF Red</t>
  </si>
  <si>
    <t>fer servadou</t>
  </si>
  <si>
    <t>ZRS-1060-23</t>
  </si>
  <si>
    <t>"So You`re Sicilian" VDF Red</t>
  </si>
  <si>
    <t>gamay, fer servadou</t>
  </si>
  <si>
    <t>ZRS-1057-22</t>
  </si>
  <si>
    <t>"Les Coudes sur La Table" VDF Red</t>
  </si>
  <si>
    <t>gamay</t>
  </si>
  <si>
    <t>DOMAINE BALANSA 🐂</t>
  </si>
  <si>
    <t>ZRS-1207-23</t>
  </si>
  <si>
    <t>"Holograppe" VDF Sparkling</t>
  </si>
  <si>
    <t>carignan blanc, carignan gris</t>
  </si>
  <si>
    <t>ZRS-0033-23</t>
  </si>
  <si>
    <t>"Aragon" VDF Blanc</t>
  </si>
  <si>
    <t>muscat blanc à petit grains, muscat d’alexandrie</t>
  </si>
  <si>
    <t>ZRS-0771-23</t>
  </si>
  <si>
    <t>"Sabari" VDF White</t>
  </si>
  <si>
    <t>rolle (vermentino), xarel-lo</t>
  </si>
  <si>
    <t>ZRS-0771-22</t>
  </si>
  <si>
    <t>rolle (vermentino)</t>
  </si>
  <si>
    <t>ZRS-0036-23</t>
  </si>
  <si>
    <t>"Coume de Maliès" Vallée du Paradis White</t>
  </si>
  <si>
    <t>grenache blanc/gris, vermentino, carignan blanc/gris, terret</t>
  </si>
  <si>
    <t>ZRS-0038-23</t>
  </si>
  <si>
    <t>"Pech de Rozies" Vallée du Paradis Rosé</t>
  </si>
  <si>
    <t>syrah, grenache noir</t>
  </si>
  <si>
    <t>ZRS-0037-23</t>
  </si>
  <si>
    <t>"La Vinhota" VDF Rouge</t>
  </si>
  <si>
    <t>lledoner pelut, grenache noir</t>
  </si>
  <si>
    <t>ZRS-0034-23</t>
  </si>
  <si>
    <t>"Bel Soula" Fitou AOC Rouge</t>
  </si>
  <si>
    <t>carignan, grenache noir, syrah</t>
  </si>
  <si>
    <t>ZRS-0035-22</t>
  </si>
  <si>
    <t>"Can del Rey" Fitou AOC Rouge</t>
  </si>
  <si>
    <t>ZRS-0039-23</t>
  </si>
  <si>
    <t>"Versicolore" VDF Rouge</t>
  </si>
  <si>
    <t>DOMAINE CHARLOTTE &amp; JEAN BAPTISTE SENAT (Caunes-Minervois) 🌱</t>
  </si>
  <si>
    <t>ZRS-0940-23</t>
  </si>
  <si>
    <t>"Aux Amis de ma Soeur" Aude Blanc</t>
  </si>
  <si>
    <t>grenache blanc, grenache gris</t>
  </si>
  <si>
    <t>ZRS-0249-23</t>
  </si>
  <si>
    <t>"Amalgame" Minervois Red</t>
  </si>
  <si>
    <t>grenache noir, grenache gris, picpoul noir, counoise, terret noir</t>
  </si>
  <si>
    <t>$126 (14cs)</t>
  </si>
  <si>
    <t>ZRS22-0391-21</t>
  </si>
  <si>
    <t>"Arbalète and Coquelicots" VDF Rouge</t>
  </si>
  <si>
    <t>carignan, mourvèdre, grenache</t>
  </si>
  <si>
    <t>ZRS-0248-22</t>
  </si>
  <si>
    <t>ZRS-0246-22</t>
  </si>
  <si>
    <t>"Hors Champs" VDF Rouge</t>
  </si>
  <si>
    <t>ZRS-0247-23</t>
  </si>
  <si>
    <t>"La Nine" Minervois Rouge</t>
  </si>
  <si>
    <t>carignan, grenache, cinsault, syrah, mourvèdre</t>
  </si>
  <si>
    <t>16-0532-16</t>
  </si>
  <si>
    <t>"Le Bois des Merveilles" Minervois Rouge</t>
  </si>
  <si>
    <t>11-049-03-19</t>
  </si>
  <si>
    <t>"l`Enclos de l`Âne" Minervois Rouge</t>
  </si>
  <si>
    <r>
      <rPr>
        <sz val="14"/>
        <color rgb="FF000000"/>
        <rFont val="Helvetica Neue"/>
        <family val="2"/>
      </rPr>
      <t xml:space="preserve">DOMAINE BENJAMIN TAILLANDIER (Caunes-Minervois) 🌱 - </t>
    </r>
    <r>
      <rPr>
        <i/>
        <sz val="14"/>
        <color rgb="FF000000"/>
        <rFont val="Helvetica Neue"/>
        <family val="2"/>
      </rPr>
      <t>new vintages!</t>
    </r>
  </si>
  <si>
    <t>ZRS-0258-24</t>
  </si>
  <si>
    <t>"Blanc" VDT Blanc</t>
  </si>
  <si>
    <t>terret gris, grenache gris, grenache blanc</t>
  </si>
  <si>
    <t>ZRS-1211-23</t>
  </si>
  <si>
    <t>"Tharseo" VDF Blanc</t>
  </si>
  <si>
    <t>muscat d'alexandrie, terret gris</t>
  </si>
  <si>
    <t>ZRS-0259-24</t>
  </si>
  <si>
    <t>"Six Roses" VDF Rosé</t>
  </si>
  <si>
    <t>cinsault, carignan, grenache</t>
  </si>
  <si>
    <t>ZRS-0793-23</t>
  </si>
  <si>
    <t>"Laguzelle" Minervois Rouge</t>
  </si>
  <si>
    <t>cinsault, carignan, syrah</t>
  </si>
  <si>
    <t>ZRS-1212-23</t>
  </si>
  <si>
    <t>"Oh Ma Jolie" VDF Red</t>
  </si>
  <si>
    <t>ZRS-0792-22</t>
  </si>
  <si>
    <t>"Viti Vini Bibi" Minervois Rouge</t>
  </si>
  <si>
    <t>grenache, cinsault</t>
  </si>
  <si>
    <t>ZRS22-0046-20</t>
  </si>
  <si>
    <t>"Bufentis" Minervois Rouge</t>
  </si>
  <si>
    <t>syrah, grenache</t>
  </si>
  <si>
    <t>19-0244-18</t>
  </si>
  <si>
    <t>"Audere" Minervois Rouge</t>
  </si>
  <si>
    <t>was $210</t>
  </si>
  <si>
    <t>ZRS-1213-23</t>
  </si>
  <si>
    <t>"B8" VDF Mousseux Sparkling White</t>
  </si>
  <si>
    <t>muscat d'alexandrie</t>
  </si>
  <si>
    <t>GAILLAC</t>
  </si>
  <si>
    <t>DOMAINE CAZOTTES (Occitanie) 🌱</t>
  </si>
  <si>
    <t>ZRS-0175-21</t>
  </si>
  <si>
    <t>"Bulleversant" VDF Mousseux Brut</t>
  </si>
  <si>
    <t>mauzac vert</t>
  </si>
  <si>
    <t>ZR-DC-01-21</t>
  </si>
  <si>
    <t>"Le Fruit" VDF Blanc</t>
  </si>
  <si>
    <t>loin de l'oeil, mauzac</t>
  </si>
  <si>
    <t>ZRS-0176-21</t>
  </si>
  <si>
    <t>"Le Fruit" VDF Rosé</t>
  </si>
  <si>
    <t>duras</t>
  </si>
  <si>
    <t>ZR-DC-02-21</t>
  </si>
  <si>
    <t>"Le Fruit" VDF Rouge</t>
  </si>
  <si>
    <t>braucol, syrah</t>
  </si>
  <si>
    <t>19-0646-19</t>
  </si>
  <si>
    <t>"Marcotte" VDF Blanc</t>
  </si>
  <si>
    <t>mauzac vert, loin de l'oeil</t>
  </si>
  <si>
    <t>ZR-DC-03-20</t>
  </si>
  <si>
    <t>"Champêtre" VDF Blanc</t>
  </si>
  <si>
    <t>ZRS-0174-20</t>
  </si>
  <si>
    <t>"Adèle" VDF Blanc</t>
  </si>
  <si>
    <t>mauzac rose</t>
  </si>
  <si>
    <t>ZR-DC-06-21</t>
  </si>
  <si>
    <t>"Marcotte" VDF Rouge</t>
  </si>
  <si>
    <t>braucol, duras</t>
  </si>
  <si>
    <t>19-0196-17</t>
  </si>
  <si>
    <t>"Champêtre" VDF Rouge</t>
  </si>
  <si>
    <t>ZR-DC-05-20</t>
  </si>
  <si>
    <t>Mauzac Rose VDF Orange</t>
  </si>
  <si>
    <t>ZRS-0178-21</t>
  </si>
  <si>
    <t>"Rackham" VDF Rouge</t>
  </si>
  <si>
    <t>jurançon noir</t>
  </si>
  <si>
    <t>ZRS-0177-20</t>
  </si>
  <si>
    <t>Prunelart VDF Rouge</t>
  </si>
  <si>
    <t>prunelart</t>
  </si>
  <si>
    <t>LOIRE / GAILLAC / BORDEAUX</t>
  </si>
  <si>
    <r>
      <rPr>
        <sz val="14"/>
        <color rgb="FF000000"/>
        <rFont val="Helvetica Neue"/>
        <family val="2"/>
      </rPr>
      <t xml:space="preserve">LES TETES / LES PARCELLES 🌱 - </t>
    </r>
    <r>
      <rPr>
        <i/>
        <sz val="14"/>
        <color rgb="FF000000"/>
        <rFont val="Helvetica Neue"/>
        <family val="2"/>
      </rPr>
      <t>new vintages!</t>
    </r>
  </si>
  <si>
    <t>ZRS-0983-NV</t>
  </si>
  <si>
    <t>"Tète - Au Bois Dormant" Sparkling White</t>
  </si>
  <si>
    <t>chenin blanc, chardonnay</t>
  </si>
  <si>
    <t>ZRS-0982-NV</t>
  </si>
  <si>
    <t>"Tète - Au Bois Dormant" Sparkling Rosé</t>
  </si>
  <si>
    <t>grolleau,gamay</t>
  </si>
  <si>
    <t>ZRS-0730-23</t>
  </si>
  <si>
    <t>"Tète Blanche" VDF White</t>
  </si>
  <si>
    <t>sauvignon blanc, vermentino, clairette blanche, mauzac rose</t>
  </si>
  <si>
    <t>$114 (14cs)</t>
  </si>
  <si>
    <t>ZRS-0732-23</t>
  </si>
  <si>
    <t>"Tète Orange" VDF White</t>
  </si>
  <si>
    <t>chenin blanc, muscadelle, mauzac rose, colombard</t>
  </si>
  <si>
    <t>ZRS22-0013-NV</t>
  </si>
  <si>
    <t>"Tète Rosé" VDF Rosé</t>
  </si>
  <si>
    <t>ZRS-0731-21</t>
  </si>
  <si>
    <t>"Tète Red" VDF Red</t>
  </si>
  <si>
    <t>gamay, cabernet franc, braucol, merlot</t>
  </si>
  <si>
    <t>ZRS-1298-23</t>
  </si>
  <si>
    <t>Chenin Blanc Touraine Azay Le Rideau White</t>
  </si>
  <si>
    <t>ZRS-1296-24</t>
  </si>
  <si>
    <t>Pineau d`Aunis VDF Red</t>
  </si>
  <si>
    <t>pineau d'aunis</t>
  </si>
  <si>
    <t>ZRS-1297-24</t>
  </si>
  <si>
    <t>Grolleau VDF Red</t>
  </si>
  <si>
    <t>grolleau</t>
  </si>
  <si>
    <t>ZRS-0737-22</t>
  </si>
  <si>
    <t>"Somentino" VDF Red</t>
  </si>
  <si>
    <t>vermentino, cinsault</t>
  </si>
  <si>
    <t>ZRS-0736-22</t>
  </si>
  <si>
    <t>Gamuto VDF Red</t>
  </si>
  <si>
    <t>gamay, muscadelle</t>
  </si>
  <si>
    <t>ZRS22-0242-21M</t>
  </si>
  <si>
    <t>"Gamuto" VDF Red 1.5L</t>
  </si>
  <si>
    <t>gamay, moscatel</t>
  </si>
  <si>
    <t>1500ml</t>
  </si>
  <si>
    <t>ZRS22-0014-21</t>
  </si>
  <si>
    <t>"Triangle" Bordeaux Supérieur Red</t>
  </si>
  <si>
    <t>merlot</t>
  </si>
  <si>
    <t>$102 (14cs)</t>
  </si>
  <si>
    <t>ZRS-0733-23</t>
  </si>
  <si>
    <t>Les Parcelles "Tète Nat - Igny Rusé" Pet-Nat White</t>
  </si>
  <si>
    <t>semillon, loin de l'oeil, grenache blanc</t>
  </si>
  <si>
    <t>ZRS-0734-21</t>
  </si>
  <si>
    <t>Les Parcelles "Tète Nat - Igny Rusé" Pet-Nat Orange</t>
  </si>
  <si>
    <t>ZRS-0735-22</t>
  </si>
  <si>
    <t>Les Parcelles "Tète Nat - Igny Rusé" Pet-Nat Rosé</t>
  </si>
  <si>
    <t>syrah, duras</t>
  </si>
  <si>
    <t>LOIRE VALLEY</t>
  </si>
  <si>
    <t>DOMAINE DE LA PAONNERIE (Jacques, Agnes, &amp; Marie Carroget) 🌱 🐂</t>
  </si>
  <si>
    <t>12-0137-13</t>
  </si>
  <si>
    <t>Coteaux de Loire Blanc</t>
  </si>
  <si>
    <t>melon de bourgogne</t>
  </si>
  <si>
    <t>ZRS200206-19</t>
  </si>
  <si>
    <t>"Vieilles Vignes" VDF Blanc</t>
  </si>
  <si>
    <t>17-1071-16</t>
  </si>
  <si>
    <t>"Vegyes" Coteaux d'Ancenis Blanc</t>
  </si>
  <si>
    <t>ZRS-0202-21</t>
  </si>
  <si>
    <t>"Rien Que Melon" VDF Blanc</t>
  </si>
  <si>
    <t>14-0209-18</t>
  </si>
  <si>
    <t>"Le Blanc de la Jacquerie" Anjou Blanc</t>
  </si>
  <si>
    <t>was $198</t>
  </si>
  <si>
    <t>14-0211-15</t>
  </si>
  <si>
    <t>"Champs Jumeaux" VDF Blanc</t>
  </si>
  <si>
    <t>ZRS-0199-21</t>
  </si>
  <si>
    <t>"Les Pentes" VDF Blanc</t>
  </si>
  <si>
    <t>14-0214-19</t>
  </si>
  <si>
    <t>"Le Rosé d'Ancenis" VDP Val de Loire Rosé</t>
  </si>
  <si>
    <t>ZRS-0197-21</t>
  </si>
  <si>
    <t>"La Chasse" VDF Rosé</t>
  </si>
  <si>
    <t>melon de bourgogne, gamay</t>
  </si>
  <si>
    <t>14-0216-18</t>
  </si>
  <si>
    <t>"Voilà du Gros Lot" VDP Val de Loire Rosé</t>
  </si>
  <si>
    <t>11-0958-14</t>
  </si>
  <si>
    <t>Coteaux d'Ancenis Rouge</t>
  </si>
  <si>
    <t>11-0957-15</t>
  </si>
  <si>
    <t>Anjou-Villages Rouge</t>
  </si>
  <si>
    <t>cabernet sauvignon</t>
  </si>
  <si>
    <t>ZRS-0201-21</t>
  </si>
  <si>
    <t>"Prologue" Val de Loire Rouge</t>
  </si>
  <si>
    <t>ZRS-0198-21</t>
  </si>
  <si>
    <t>"La Rosée" VDF Rouge</t>
  </si>
  <si>
    <t>abouriou</t>
  </si>
  <si>
    <t>ZRS-0200-21</t>
  </si>
  <si>
    <t>"Lundi" VDF Rouge</t>
  </si>
  <si>
    <t>grolleau, gamay</t>
  </si>
  <si>
    <t>ZRS22-0040-19</t>
  </si>
  <si>
    <t>"Simplement Gamay" VDP Val de Loire Rouge</t>
  </si>
  <si>
    <t>LES JARDINS DE LA MARTINIERE 🌱</t>
  </si>
  <si>
    <t>ZRS-0600-18</t>
  </si>
  <si>
    <t>"Syu Awa" VDF Sparkling Rosé</t>
  </si>
  <si>
    <t>cabernet franc</t>
  </si>
  <si>
    <t>ZRS-0599-18</t>
  </si>
  <si>
    <t>"Shi Ro" VDF White</t>
  </si>
  <si>
    <t>ZRS-0597-18</t>
  </si>
  <si>
    <t>"Akane no Oka" VDF Red</t>
  </si>
  <si>
    <t>ZRS-0598-18</t>
  </si>
  <si>
    <t>"Kô Ki" VDF Red</t>
  </si>
  <si>
    <t>DOMAINE DE L'ANGE VIN / L'OPERA DES VINS (Jean-Pierre Robinot) 🌱</t>
  </si>
  <si>
    <t>ZRS-0564-22</t>
  </si>
  <si>
    <t>"Fêtembulles" VDF Pét-Nat Blanc</t>
  </si>
  <si>
    <t>ZRS-0563-22</t>
  </si>
  <si>
    <t>"Les Années Folles" VDF Pét-Nat Rosé</t>
  </si>
  <si>
    <t>ZRS-0573-21</t>
  </si>
  <si>
    <t>"Cuvée Bistrologie" VDF Blanc</t>
  </si>
  <si>
    <t>ZRS-0574-21</t>
  </si>
  <si>
    <t>"Lumière des Silex" VDF Blanc</t>
  </si>
  <si>
    <t>ZRS-0572-21</t>
  </si>
  <si>
    <t>"Charme du Loire" VDF Blanc</t>
  </si>
  <si>
    <t>ZRS-0571-21</t>
  </si>
  <si>
    <t>"L'Iris du Loire" VDF Blanc</t>
  </si>
  <si>
    <t>ZRS-0569-18</t>
  </si>
  <si>
    <t>"Juliette Robinot" Jasnières Blanc</t>
  </si>
  <si>
    <t>14-0475-05</t>
  </si>
  <si>
    <t>"Les 4 Vents" Jasnières Blanc</t>
  </si>
  <si>
    <t>ZRS-0565-21</t>
  </si>
  <si>
    <t>"Concerto di Venezia" VDF Rouge</t>
  </si>
  <si>
    <t>cabernet franc, pineau d'aunis (Cheverny)</t>
  </si>
  <si>
    <t>ZRS-0566-21</t>
  </si>
  <si>
    <t>"Lumière des Sens" VDF Rouge</t>
  </si>
  <si>
    <t>ZRS-0570-21</t>
  </si>
  <si>
    <t>"Le Regard" VDF Rouge</t>
  </si>
  <si>
    <t>ZRS-0567-21</t>
  </si>
  <si>
    <t>"Nocturne" VDF Rouge</t>
  </si>
  <si>
    <t>ZRS-0568-18</t>
  </si>
  <si>
    <t>"Camille Robinot" VDF Rouge</t>
  </si>
  <si>
    <t>DOMAINE LE FACTEUR (Fabien Brutout) 🌱</t>
  </si>
  <si>
    <t>ZRS-0391-NV</t>
  </si>
  <si>
    <t>Vouvray Extra Brut Sparkling White</t>
  </si>
  <si>
    <t>ZRS-0391-NVM</t>
  </si>
  <si>
    <t>Vouvray Extra Brut Sparkling White MAGS</t>
  </si>
  <si>
    <t>ZRS-0393-23</t>
  </si>
  <si>
    <t>"Bulle du Facteur" VDF Pét-Nat White</t>
  </si>
  <si>
    <t>ZRS-0394-23</t>
  </si>
  <si>
    <t>"La Bulle du Facteur" VDF Sparkling Rosé</t>
  </si>
  <si>
    <t>ZRS-0396-22</t>
  </si>
  <si>
    <t>"La Petite Musette" VDF Blanc</t>
  </si>
  <si>
    <t>chenin blanc, sémillon</t>
  </si>
  <si>
    <t>ZRS-0395-22</t>
  </si>
  <si>
    <t>"La Petite Musette" VDF Rouge</t>
  </si>
  <si>
    <t xml:space="preserve">ZRS-0398-23    </t>
  </si>
  <si>
    <t>"Su'L'Velo" Vouvray Blanc</t>
  </si>
  <si>
    <t>ZRS-0397-22</t>
  </si>
  <si>
    <t>"Su'L'Velo" VDF Rouge</t>
  </si>
  <si>
    <t>pineau d'aunis, gamay</t>
  </si>
  <si>
    <t>ZRS-0392-22</t>
  </si>
  <si>
    <t>"La Bamboche" VDF Blanc</t>
  </si>
  <si>
    <t>DOMAINE DES HAUTS BAIGNEUX (Nicolas Grosbois &amp; Philippe Mesnier)</t>
  </si>
  <si>
    <t>ZRS-0273-NV</t>
  </si>
  <si>
    <t>"La Grosse Pierre" VDF White</t>
  </si>
  <si>
    <t>ZRS-0274-NV</t>
  </si>
  <si>
    <t>"Les Moulins" VDF Red</t>
  </si>
  <si>
    <r>
      <rPr>
        <sz val="14"/>
        <color rgb="FF000000"/>
        <rFont val="Helvetica Neue"/>
        <family val="2"/>
      </rPr>
      <t xml:space="preserve">JENNIFER BARIOU &amp; THIBAULT BODET 🌱 - </t>
    </r>
    <r>
      <rPr>
        <i/>
        <sz val="14"/>
        <color rgb="FF000000"/>
        <rFont val="Helvetica Neue"/>
        <family val="2"/>
      </rPr>
      <t>new vintages!</t>
    </r>
  </si>
  <si>
    <t>ZRS-1414-22</t>
  </si>
  <si>
    <t>"Petillant Blanc" VDF Sparkling</t>
  </si>
  <si>
    <t>ZRS-0133-22</t>
  </si>
  <si>
    <t>"Funambulle" VDF Pét-Nat Rosé</t>
  </si>
  <si>
    <t>gamay, seibel, grolleau</t>
  </si>
  <si>
    <t>ZRS-0135-23</t>
  </si>
  <si>
    <t>"Pistlis" Touraine-Azay-le-Rideau Blanc</t>
  </si>
  <si>
    <t>chenin blanc, sauvignon blanc</t>
  </si>
  <si>
    <t>ZRS-0132-22</t>
  </si>
  <si>
    <t>"Cheninpan" Touraine-Azay-le-Rideau Blanc</t>
  </si>
  <si>
    <t>ZRS-0490-23</t>
  </si>
  <si>
    <t>"Ça Grolleau`te" Touraine-Azay-le-Rideau Rosé</t>
  </si>
  <si>
    <t>ZRS-0490-22</t>
  </si>
  <si>
    <t>ZRS-0137-22</t>
  </si>
  <si>
    <t>"Vignes d`Ys" VDF Rouge</t>
  </si>
  <si>
    <t>grolleau, gamay, cabernet franc</t>
  </si>
  <si>
    <t>ZRS-0134-21</t>
  </si>
  <si>
    <t>Grolleau VDF Rouge</t>
  </si>
  <si>
    <t>ZRS-0136-22</t>
  </si>
  <si>
    <t>VDF Rouge</t>
  </si>
  <si>
    <t>côt</t>
  </si>
  <si>
    <t>ZRS-0136-20</t>
  </si>
  <si>
    <t>DOMAINE CHAHUT ET PRODIGES (Gregory Leclerc) 🌱</t>
  </si>
  <si>
    <t>17-0227-18</t>
  </si>
  <si>
    <t>"Nid de Guepes" Pet-Nat</t>
  </si>
  <si>
    <t>17-0226-18</t>
  </si>
  <si>
    <t>"La P'Tite Compet" Sparkling</t>
  </si>
  <si>
    <t>pinot noir, gamay, grolleau</t>
  </si>
  <si>
    <t>ZRS-0835-22</t>
  </si>
  <si>
    <t>"Têtes de Gondole" Blanc</t>
  </si>
  <si>
    <t>ZRS-0832-22</t>
  </si>
  <si>
    <t>"La Mule" Rouge</t>
  </si>
  <si>
    <t>17-0285-18</t>
  </si>
  <si>
    <t>"Les Groslocaux" Rouge</t>
  </si>
  <si>
    <t>gamay, grolleau, côt</t>
  </si>
  <si>
    <t>17-0223-18</t>
  </si>
  <si>
    <t>"Coup de Canon" Rouge</t>
  </si>
  <si>
    <t>ZRS-0834-21</t>
  </si>
  <si>
    <t>"Têtes Noires" Rouge</t>
  </si>
  <si>
    <t>ZRS-0209-20</t>
  </si>
  <si>
    <t>"Black Beat" Rouge</t>
  </si>
  <si>
    <t>pinot noir</t>
  </si>
  <si>
    <t>AUTOUR DE L’ANNE (vineyards in Languedoc) 🌱</t>
  </si>
  <si>
    <t>19-1024-18</t>
  </si>
  <si>
    <t>"Ann'onymousse" VDF Pet-Nat White</t>
  </si>
  <si>
    <t>vermentino, colombard</t>
  </si>
  <si>
    <t>ZRS-0215-22</t>
  </si>
  <si>
    <t>"Wonder WomAnne" VDF Pet-Nat Rosé</t>
  </si>
  <si>
    <t>cinsault, grenache, syrah</t>
  </si>
  <si>
    <t>ZRS-0213-21</t>
  </si>
  <si>
    <t>"Los Annegeles" VDF Blanc</t>
  </si>
  <si>
    <t>ZRS22-0229-NV</t>
  </si>
  <si>
    <t>"W'Anne Shot" VDF Blanc</t>
  </si>
  <si>
    <t>ZRS22-0223-NV</t>
  </si>
  <si>
    <t>"W'Anne Shot" VDF Rouge</t>
  </si>
  <si>
    <t>ZRS22-0221-20</t>
  </si>
  <si>
    <t>"Lethal WeapAnne" VDF Rouge</t>
  </si>
  <si>
    <t>merlot, cinsault, syrah, grenache, carignan, vermentino, colombard</t>
  </si>
  <si>
    <t>ZRS-0212-21</t>
  </si>
  <si>
    <t>"Les États d'Anne" VDF Rouge</t>
  </si>
  <si>
    <t>cinsault, grenache</t>
  </si>
  <si>
    <t>ZRS-0210-21</t>
  </si>
  <si>
    <t>"C.S.G" VDF Rouge</t>
  </si>
  <si>
    <t>cinsault, syrah, grenache</t>
  </si>
  <si>
    <t>ZRS-0214-21</t>
  </si>
  <si>
    <t>"Pot d'Anne" VDF Rouge</t>
  </si>
  <si>
    <t>ZRS22-0213-20</t>
  </si>
  <si>
    <t>"Anagramme" VDF Rouge</t>
  </si>
  <si>
    <t>ZRS22-0218-20</t>
  </si>
  <si>
    <t>"Anne, A Wine Again" VDF Rouge</t>
  </si>
  <si>
    <t>was $192</t>
  </si>
  <si>
    <r>
      <rPr>
        <sz val="14"/>
        <color rgb="FF000000"/>
        <rFont val="Helvetica Neue,Arial"/>
      </rPr>
      <t xml:space="preserve">PASCAL CAROLE 🌱🐂 - </t>
    </r>
    <r>
      <rPr>
        <i/>
        <sz val="14"/>
        <color rgb="FF000000"/>
        <rFont val="Helvetica Neue,Arial"/>
      </rPr>
      <t>new vintages!</t>
    </r>
  </si>
  <si>
    <t>ZRS-0791-22</t>
  </si>
  <si>
    <t>"Meli-moulin" VDF White</t>
  </si>
  <si>
    <t>ZRS-1395-23</t>
  </si>
  <si>
    <t>"Blueprint" VDF Red</t>
  </si>
  <si>
    <t>ZRS-1394-23</t>
  </si>
  <si>
    <t>"Au contraire VDF Red</t>
  </si>
  <si>
    <t>ZRS-0788-22</t>
  </si>
  <si>
    <t>"It was all a dream" VDF Red</t>
  </si>
  <si>
    <t xml:space="preserve">GUILLAUME NOIRE 🌱🐂 </t>
  </si>
  <si>
    <t>"Elements Ch" VDF White</t>
  </si>
  <si>
    <t>"Elements Gn Ga Sa" VDF Red</t>
  </si>
  <si>
    <t>sauvignon blanc, gamay, grolleau</t>
  </si>
  <si>
    <t>ZRS-0789-23</t>
  </si>
  <si>
    <t>"Elements Ga" VDF Red</t>
  </si>
  <si>
    <t>ZRS-0790-22</t>
  </si>
  <si>
    <t>"Elements Gn" VDF Red</t>
  </si>
  <si>
    <t>DOMAINE PHILIPPE TESSIER (Simon Tessier) 🌱</t>
  </si>
  <si>
    <t>ZRS-0127-21</t>
  </si>
  <si>
    <t>"Phil'En Bulle" Crémant Blanc</t>
  </si>
  <si>
    <t>menu pineau, romorantin</t>
  </si>
  <si>
    <t>ZRS-0125-22</t>
  </si>
  <si>
    <t>Cheverny Blanc</t>
  </si>
  <si>
    <t>sauvignon blanc, chardonnay, orbois</t>
  </si>
  <si>
    <t>ZRS-0518-22</t>
  </si>
  <si>
    <t>Cheverny Rosé</t>
  </si>
  <si>
    <t>gamay, pinot noir</t>
  </si>
  <si>
    <t>ZRS-0124-22</t>
  </si>
  <si>
    <t>Cheverny Rouge</t>
  </si>
  <si>
    <t>gamay, pinot noir, côt</t>
  </si>
  <si>
    <t>ZRS-0123-20</t>
  </si>
  <si>
    <t>"La Charbonnerie" Cheverny Blanc</t>
  </si>
  <si>
    <t>sauvignon blanc, chardonnay</t>
  </si>
  <si>
    <t>ZRS-0519-21</t>
  </si>
  <si>
    <t>Cour-Cheverny Blanc</t>
  </si>
  <si>
    <t>romorantin</t>
  </si>
  <si>
    <t>ZRS-0520-20</t>
  </si>
  <si>
    <t>"La Porte Dorée" Cour-Cheverny</t>
  </si>
  <si>
    <t>ZRS-0520-20M</t>
  </si>
  <si>
    <t>"La Porte Dorée" Cour-Cheverny 1.5L</t>
  </si>
  <si>
    <t>18-0386-17</t>
  </si>
  <si>
    <t>"Rosé d'Aunis" VDF Rosé</t>
  </si>
  <si>
    <t>ZRS-0517-22</t>
  </si>
  <si>
    <t>"Chemin Noir" VDF Rouge</t>
  </si>
  <si>
    <t>ZRS-0130-22</t>
  </si>
  <si>
    <t>"TOC" VDF Rouge</t>
  </si>
  <si>
    <t>ZRS-0128-21</t>
  </si>
  <si>
    <t>"Le Point du Jour" Cheverny Rouge</t>
  </si>
  <si>
    <t>pinot noir, gamay</t>
  </si>
  <si>
    <t>ZRS-0128-21M</t>
  </si>
  <si>
    <t>"Le Point du Jour" Cheverny Rouge 1.5L</t>
  </si>
  <si>
    <t>ZRS-0126-21</t>
  </si>
  <si>
    <t>"Les Sables" Cour-Cheverny Blanc</t>
  </si>
  <si>
    <t>18-0385M11</t>
  </si>
  <si>
    <t>"Martines" Cour-Cheverny Blanc 1.5L</t>
  </si>
  <si>
    <t>17-0039-16</t>
  </si>
  <si>
    <t>"Coganis" VDF Rouge</t>
  </si>
  <si>
    <t>côt,gamay, pineau d'aunis</t>
  </si>
  <si>
    <t>17-0039M15</t>
  </si>
  <si>
    <t>"Coganis" VDF Rouge 1.5L</t>
  </si>
  <si>
    <t>17-0869M15</t>
  </si>
  <si>
    <t>"Coquinze" VDF Rouge 1.5L</t>
  </si>
  <si>
    <t>ZRS15-0247-18</t>
  </si>
  <si>
    <t>"Nota Bene" Cheverny</t>
  </si>
  <si>
    <t>ZRS-0129-20</t>
  </si>
  <si>
    <t>"Point Nomme" Cheverny</t>
  </si>
  <si>
    <t>ZRS-0521-20</t>
  </si>
  <si>
    <t>"Romorantique" Cour-Cheverny</t>
  </si>
  <si>
    <t>ZR16-0167-15X15</t>
  </si>
  <si>
    <t>"Cuvée Roger" Cour-Cheverny Moelleux 500ml</t>
  </si>
  <si>
    <t>late harvest romorantin</t>
  </si>
  <si>
    <t>500ml</t>
  </si>
  <si>
    <r>
      <rPr>
        <sz val="14"/>
        <color rgb="FF000000"/>
        <rFont val="Helvetica Neue"/>
        <family val="2"/>
      </rPr>
      <t xml:space="preserve">ALEXANDRE BAIN (Pouilly-Fumé) 🐂 - </t>
    </r>
    <r>
      <rPr>
        <i/>
        <sz val="14"/>
        <color rgb="FF000000"/>
        <rFont val="Helvetica Neue"/>
        <family val="2"/>
      </rPr>
      <t>new vintages!</t>
    </r>
  </si>
  <si>
    <t>ZRS-0067-20</t>
  </si>
  <si>
    <t>"Pierre Précieuse" VDF Blanc</t>
  </si>
  <si>
    <t>ZRS-0066-22</t>
  </si>
  <si>
    <t>"L. d'Ange" VDF Blanc</t>
  </si>
  <si>
    <t>ZRS-1268-22</t>
  </si>
  <si>
    <t xml:space="preserve">"Terre d`Obus" VDF White </t>
  </si>
  <si>
    <t>19-0941-16</t>
  </si>
  <si>
    <t>"Mademoiselle M." VDF Blanc</t>
  </si>
  <si>
    <t>ZRS-0270-19</t>
  </si>
  <si>
    <t>"Champ Couturier" Blanc</t>
  </si>
  <si>
    <t>16-0549-14</t>
  </si>
  <si>
    <t>"Les Grandes Hâtes" Blanc</t>
  </si>
  <si>
    <t>CHAMPAGNE</t>
  </si>
  <si>
    <r>
      <rPr>
        <sz val="14"/>
        <color rgb="FF000000"/>
        <rFont val="Helvetica Neue"/>
        <family val="2"/>
      </rPr>
      <t xml:space="preserve">CHAMPAGNE BONNET-PONSON (Montagne de Reims) 🌱 - </t>
    </r>
    <r>
      <rPr>
        <i/>
        <sz val="14"/>
        <color rgb="FF000000"/>
        <rFont val="Helvetica Neue"/>
        <family val="2"/>
      </rPr>
      <t>new vintages!</t>
    </r>
  </si>
  <si>
    <t>ZRS-0172-NV</t>
  </si>
  <si>
    <t>"Cuvée Perpétuelle" Extra Brut Champagne 6pk</t>
  </si>
  <si>
    <t>pinot noir, chardonnay, pinot meunier</t>
  </si>
  <si>
    <t>ZRS-0173-NV</t>
  </si>
  <si>
    <t>"Cuvée Perpétuelle - Non Dosé" Champagne 6pk</t>
  </si>
  <si>
    <t>ZRS-1214-NV</t>
  </si>
  <si>
    <t>"Cuvée Perpétuelle" Extra Brut Champagne Rosé 6pk</t>
  </si>
  <si>
    <t>ZRS-0822-NV</t>
  </si>
  <si>
    <t>"Second Nature" Champagne Sparkling</t>
  </si>
  <si>
    <t>ZRS-0823-NV</t>
  </si>
  <si>
    <t>"Le Jour" Champagne Sparkling</t>
  </si>
  <si>
    <t>pinot meunier</t>
  </si>
  <si>
    <t>19-0887-11</t>
  </si>
  <si>
    <t>Jules Bonnet Blanc de Noirs Extra Brut Champagne</t>
  </si>
  <si>
    <t>ZRS-0171-21</t>
  </si>
  <si>
    <t>"Vignes Dieu" Coteaux Champenois Blanc 6pk</t>
  </si>
  <si>
    <t>ZRS-0171-22</t>
  </si>
  <si>
    <t>"Chamery" Blanc Coteaux Champenois White</t>
  </si>
  <si>
    <t>chardonnay, petite meslier</t>
  </si>
  <si>
    <t>ZRS-0825-22</t>
  </si>
  <si>
    <t>"Griblanc" Coteaux Champenois Blanc</t>
  </si>
  <si>
    <t>pinot noir, pinot meunier, chardonnay, pinot gris, pinot blanc, petite meslier, arbane</t>
  </si>
  <si>
    <t>ZRS-0824-22</t>
  </si>
  <si>
    <t>"Chamery" Rouge Pur Meunier Coteaux Champenois Red</t>
  </si>
  <si>
    <t>19-0888-20X6</t>
  </si>
  <si>
    <t>"Chamery Rouge" Coteaux Champenois Rouge 6pk</t>
  </si>
  <si>
    <t>BURGUNDY</t>
  </si>
  <si>
    <r>
      <rPr>
        <sz val="14"/>
        <color rgb="FF000000"/>
        <rFont val="Helvetica Neue"/>
        <family val="2"/>
      </rPr>
      <t xml:space="preserve">FRANCOIS DE NICOLAY 🐂 - </t>
    </r>
    <r>
      <rPr>
        <i/>
        <sz val="14"/>
        <color rgb="FF000000"/>
        <rFont val="Helvetica Neue"/>
        <family val="2"/>
      </rPr>
      <t>new vintages!</t>
    </r>
  </si>
  <si>
    <t>19-0772-NV</t>
  </si>
  <si>
    <t>"Objectif Bulles" Pét-Nat White 6pk</t>
  </si>
  <si>
    <t>ZRS-1033-NV</t>
  </si>
  <si>
    <t xml:space="preserve">"Bulles Dog" VDF Sparkling </t>
  </si>
  <si>
    <t>aligoté</t>
  </si>
  <si>
    <t>was $117</t>
  </si>
  <si>
    <t>ZRS-1033-NV2</t>
  </si>
  <si>
    <t>ZRS-1309-NV</t>
  </si>
  <si>
    <t>"Bulles Dog" VDF Sparkling Rosé</t>
  </si>
  <si>
    <t>aligoté, pinot noir</t>
  </si>
  <si>
    <t>ZRS-0425-20</t>
  </si>
  <si>
    <t>Bourgogne Aligoté Blanc</t>
  </si>
  <si>
    <t>ZRS-0428-22</t>
  </si>
  <si>
    <t>Bouzeron Blanc</t>
  </si>
  <si>
    <t>ZRS-0428-20</t>
  </si>
  <si>
    <t>Bourgogne Blanc</t>
  </si>
  <si>
    <t>ZRS-0430-20</t>
  </si>
  <si>
    <t>Coteaux de Champlitte Blanc</t>
  </si>
  <si>
    <t>18-0507-16</t>
  </si>
  <si>
    <t>Mâcon Azé Blanc</t>
  </si>
  <si>
    <t>ZRS-0436-22</t>
  </si>
  <si>
    <t>Mâcon-Villages Blanc</t>
  </si>
  <si>
    <t>ZRS-0431-20</t>
  </si>
  <si>
    <t>Cotes d'Auxerre Blanc</t>
  </si>
  <si>
    <t>17-0214-18</t>
  </si>
  <si>
    <t>"En Champans" Hautes CdB Blanc</t>
  </si>
  <si>
    <t>ZRS-0432-20</t>
  </si>
  <si>
    <t>"La Grande Chatelaine" CdB Blanc</t>
  </si>
  <si>
    <t>ZRS-0434-22</t>
  </si>
  <si>
    <t>"Les Montelons" Mercurey Blanc</t>
  </si>
  <si>
    <t>ZRS-1310-22</t>
  </si>
  <si>
    <t>Saint Veran White</t>
  </si>
  <si>
    <t>ZRS-0439-21</t>
  </si>
  <si>
    <t>St. Romain Blanc</t>
  </si>
  <si>
    <t>18-0510-17</t>
  </si>
  <si>
    <t>"Sur les Vris" Ladoix Blanc</t>
  </si>
  <si>
    <t>ZRS-0433-21</t>
  </si>
  <si>
    <t>"Les Maizieres" Rully Blanc</t>
  </si>
  <si>
    <t>ZRS-0433-22</t>
  </si>
  <si>
    <t>ZRS-0435-20</t>
  </si>
  <si>
    <t>"Les Vermots" Savigny les Beaune Blanc</t>
  </si>
  <si>
    <t>18-0505-16</t>
  </si>
  <si>
    <t>"Les Gréchons" Ladoix 1er Cru Blanc</t>
  </si>
  <si>
    <t>18-0500-19</t>
  </si>
  <si>
    <t>Chablis Village</t>
  </si>
  <si>
    <t>18-0509-18</t>
  </si>
  <si>
    <t>Chablis</t>
  </si>
  <si>
    <t>ZRS200205-18</t>
  </si>
  <si>
    <t>"La Côte aux Prêtres" Chablis</t>
  </si>
  <si>
    <t>18-0509-19</t>
  </si>
  <si>
    <t>"Vau de Vey" Chablis 1er Cru</t>
  </si>
  <si>
    <t>ZRS-0441-22</t>
  </si>
  <si>
    <t>"Sous la Velle" Meursault Blanc</t>
  </si>
  <si>
    <t>ZRS-1032-20</t>
  </si>
  <si>
    <t>"Cuvee Les Beaux Jours" Beaujolais Red</t>
  </si>
  <si>
    <t>ZRS-0426-22</t>
  </si>
  <si>
    <t>Bourgogne Rouge</t>
  </si>
  <si>
    <t>ZRS-0426-21</t>
  </si>
  <si>
    <t>ZRS-0429-20</t>
  </si>
  <si>
    <t>Coteaux de Champlitte Rouge</t>
  </si>
  <si>
    <t>19-0628-19</t>
  </si>
  <si>
    <t>Cotes d'Auxerre Rouge</t>
  </si>
  <si>
    <t>ZRS-0437-22</t>
  </si>
  <si>
    <t>Mercurey Rouge</t>
  </si>
  <si>
    <t>18-0508-16</t>
  </si>
  <si>
    <t>"Aux Montagnes" Côte du Nuits Villages</t>
  </si>
  <si>
    <t>19-0612-17</t>
  </si>
  <si>
    <t>"Les Briquottes" Ladoix Rouge</t>
  </si>
  <si>
    <t>17-0216-19</t>
  </si>
  <si>
    <t>"Aux Clous" Savigny les Beaune 1er Cru Rouge</t>
  </si>
  <si>
    <t>ZRS-0440-20</t>
  </si>
  <si>
    <t>Savigny les Beaune 1er Cru Rouge</t>
  </si>
  <si>
    <t>ZRS-0438-20</t>
  </si>
  <si>
    <t>Pernand-Vergelesses 1er Cru Rouge</t>
  </si>
  <si>
    <t>19-0614-17</t>
  </si>
  <si>
    <t>Clos Vougeot Rouge</t>
  </si>
  <si>
    <t>YONNE</t>
  </si>
  <si>
    <r>
      <rPr>
        <sz val="14"/>
        <color rgb="FF000000"/>
        <rFont val="Helvetica Neue"/>
        <family val="2"/>
      </rPr>
      <t xml:space="preserve">CHATEAU DE BÉRU 🌱 - </t>
    </r>
    <r>
      <rPr>
        <i/>
        <sz val="14"/>
        <color rgb="FF000000"/>
        <rFont val="Helvetica Neue"/>
        <family val="2"/>
      </rPr>
      <t xml:space="preserve"> new vintages!</t>
    </r>
  </si>
  <si>
    <t>ZRS-0025-19</t>
  </si>
  <si>
    <t>"Terroirs de Béru" Chablis</t>
  </si>
  <si>
    <t>ZRS-0523-19M</t>
  </si>
  <si>
    <t>"Terroirs de Béru" Chablis 1.5L</t>
  </si>
  <si>
    <t>ZRS-0526-22</t>
  </si>
  <si>
    <t>"Côte aux Prêtres" Chablis</t>
  </si>
  <si>
    <t>ZRS-0524-22</t>
  </si>
  <si>
    <t>"Montserre" Chablis</t>
  </si>
  <si>
    <t>ZRS-1397-22</t>
  </si>
  <si>
    <t>"Orangerie" Chablis</t>
  </si>
  <si>
    <t>19-03678-17</t>
  </si>
  <si>
    <t>"Orangerie Zero" Chablis</t>
  </si>
  <si>
    <t>16-0413-17</t>
  </si>
  <si>
    <t>"Vaucoupins" Chablis 1er Cru</t>
  </si>
  <si>
    <t>ZRS-0525-21</t>
  </si>
  <si>
    <t>"Clos Béru - Monopole" Chablis</t>
  </si>
  <si>
    <t>ZRS-0525-21M</t>
  </si>
  <si>
    <t>"Clos Béru - Monopole" Chablis 1.5L</t>
  </si>
  <si>
    <t>ATHENAÏS DE BÉRU (negociant side project) 🌱</t>
  </si>
  <si>
    <t>ZRS-0026-20</t>
  </si>
  <si>
    <t>"Love Joy" VDF Methode Ancestrale</t>
  </si>
  <si>
    <t>19-0845-20</t>
  </si>
  <si>
    <t>"Love Joy" Bourgogne Rosé</t>
  </si>
  <si>
    <t>pinot gris</t>
  </si>
  <si>
    <t>16-0903-14</t>
  </si>
  <si>
    <t>"Lovejoy" Bourgogne Rouge</t>
  </si>
  <si>
    <t>ZRS-0528-23</t>
  </si>
  <si>
    <t>Bourgogne Chardonnay</t>
  </si>
  <si>
    <t>ZRS-0529-21</t>
  </si>
  <si>
    <t>Bourgogne Aligoté</t>
  </si>
  <si>
    <t>ZRS-0770-21</t>
  </si>
  <si>
    <t>Aligoté Maceration Bourgogne White</t>
  </si>
  <si>
    <t>skin-contact aligoté</t>
  </si>
  <si>
    <t>ZRS-0024-20</t>
  </si>
  <si>
    <t>"Mont Embrasé" Saint-Bris Blanc</t>
  </si>
  <si>
    <t>sauvignon gris</t>
  </si>
  <si>
    <t>ZRS-1151-21</t>
  </si>
  <si>
    <t>"Ariane" VDF Rosé</t>
  </si>
  <si>
    <t>pinot noir, chardonnay, aligoté</t>
  </si>
  <si>
    <t>ZRS-1404-20</t>
  </si>
  <si>
    <t>Pinot Gris Bourgogne Rosé</t>
  </si>
  <si>
    <t>ZRS-1153-17</t>
  </si>
  <si>
    <t>Gamay VDF Red</t>
  </si>
  <si>
    <t>ZRS-1153-22</t>
  </si>
  <si>
    <t>"AmalGamay" VDF Rouge</t>
  </si>
  <si>
    <t>gamay, aligoté</t>
  </si>
  <si>
    <t>16-0906-18</t>
  </si>
  <si>
    <t>Brouilly Rouge</t>
  </si>
  <si>
    <t>ZRS-0531-20</t>
  </si>
  <si>
    <t>"Les Lavieres" Savigny 1er Cru Rouge</t>
  </si>
  <si>
    <t>ZRS-0769-20</t>
  </si>
  <si>
    <t>Epineuil Bourgogne Red</t>
  </si>
  <si>
    <t>ZRS-1152-21</t>
  </si>
  <si>
    <t>"Celeste" Cotes d`Auxerre Red</t>
  </si>
  <si>
    <t>ZRS-0022-21</t>
  </si>
  <si>
    <t>Côtes d'Auxerre Rouge</t>
  </si>
  <si>
    <t>pinot noir, chardonnay</t>
  </si>
  <si>
    <t>ZRS-0530-20</t>
  </si>
  <si>
    <t>"Amphore" Côtes d'Auxerre Rouge</t>
  </si>
  <si>
    <r>
      <rPr>
        <sz val="14"/>
        <color rgb="FF000000"/>
        <rFont val="Helvetica Neue"/>
        <family val="2"/>
      </rPr>
      <t xml:space="preserve">MARE NOSTRUM VINI (Antoine Isenbrandt, Athénaïs’s partner) 🌱 - </t>
    </r>
    <r>
      <rPr>
        <i/>
        <sz val="14"/>
        <color rgb="FF000000"/>
        <rFont val="Helvetica Neue"/>
        <family val="2"/>
      </rPr>
      <t>new to ZRS!</t>
    </r>
  </si>
  <si>
    <t>ZRS-1398-21</t>
  </si>
  <si>
    <t>"Zephyr" VDF White</t>
  </si>
  <si>
    <t>carignan (blanc de noir)</t>
  </si>
  <si>
    <t>ZRS-1399-22</t>
  </si>
  <si>
    <t xml:space="preserve">"Mistral" VDF White </t>
  </si>
  <si>
    <t>carignan blanc</t>
  </si>
  <si>
    <t>ZRS-1401-22</t>
  </si>
  <si>
    <t>"Siroc" VDF Orange</t>
  </si>
  <si>
    <t>muscat d'alexandrie, muscat petit grain</t>
  </si>
  <si>
    <t>ZRS-1402-21</t>
  </si>
  <si>
    <t xml:space="preserve">"Tramuntana" VDF Red </t>
  </si>
  <si>
    <t>ZRS-1400-21</t>
  </si>
  <si>
    <t>"Labech" VDF Red</t>
  </si>
  <si>
    <t>carignan, picuepoul blanc</t>
  </si>
  <si>
    <t>L’INSOLENT NEGOCE (François Ecot) 🌱</t>
  </si>
  <si>
    <t>15-0559</t>
  </si>
  <si>
    <t>"Les Exaltes" Bourgogne Aligoté</t>
  </si>
  <si>
    <t>17-0664</t>
  </si>
  <si>
    <t>"Divin Poison" VDF Blanc</t>
  </si>
  <si>
    <t>viognier</t>
  </si>
  <si>
    <t>ZRS-0826-22</t>
  </si>
  <si>
    <t>"Troma Onirique" VDF Blanc</t>
  </si>
  <si>
    <t>aligoté, xarel-lo (Penedès)</t>
  </si>
  <si>
    <t>19-0675-NV</t>
  </si>
  <si>
    <t>"Vinothropocene" VDF Blanc</t>
  </si>
  <si>
    <t>17-0662-18</t>
  </si>
  <si>
    <t>"Fratrie" VDF Rouge</t>
  </si>
  <si>
    <t>19-0040-NV</t>
  </si>
  <si>
    <t>"Trogne" VDF Rouge</t>
  </si>
  <si>
    <t>15-0561-15</t>
  </si>
  <si>
    <t>"Volée d'Quilles"</t>
  </si>
  <si>
    <t>16-0329-15</t>
  </si>
  <si>
    <t>"Wooly Bully" VDF Rouge</t>
  </si>
  <si>
    <t>field blend</t>
  </si>
  <si>
    <t>17-0707-NV</t>
  </si>
  <si>
    <t>"Humeur" VDF Rouge</t>
  </si>
  <si>
    <t>17-0666</t>
  </si>
  <si>
    <t>"Songes" VDF Rouge</t>
  </si>
  <si>
    <t>gamay (Beaujolais)</t>
  </si>
  <si>
    <t>11-041-01-NV</t>
  </si>
  <si>
    <t>"Consolent" VDF Rouge</t>
  </si>
  <si>
    <t>15-0560</t>
  </si>
  <si>
    <t>"Les Exaltes" Gamay</t>
  </si>
  <si>
    <t>ZRS22-0109-NV</t>
  </si>
  <si>
    <t>"Gamay Dire" VDF Gamay</t>
  </si>
  <si>
    <t>gamay, aligoté, chardonnay, chasselas</t>
  </si>
  <si>
    <t>17-0663</t>
  </si>
  <si>
    <t>"Lubie" VDF Rouge</t>
  </si>
  <si>
    <t>gamay (Fleurie)</t>
  </si>
  <si>
    <t>15-0895</t>
  </si>
  <si>
    <t>"L'Insolent" VDF Rouge</t>
  </si>
  <si>
    <t>15-0895-18</t>
  </si>
  <si>
    <t>"Six Cépages" VDF Rouge</t>
  </si>
  <si>
    <t>pinot noir, gamay, pinot beurot, abouriou, césar, pineau d'aunis</t>
  </si>
  <si>
    <t>was $288</t>
  </si>
  <si>
    <t>15-0896</t>
  </si>
  <si>
    <t>"Avec ou Sans Mercure" VDF Rouge</t>
  </si>
  <si>
    <t>pinot noir (Mercurey 1er Cru)</t>
  </si>
  <si>
    <t>ZRS-0003-NV</t>
  </si>
  <si>
    <t>"La Pipiola" Pét-Nat White</t>
  </si>
  <si>
    <t>xarel.lo (Penedès)</t>
  </si>
  <si>
    <t>ZRS-0827-22</t>
  </si>
  <si>
    <t>"Fou Gueux" VDF White</t>
  </si>
  <si>
    <t>xarel-lo, parellada, macabeu (Penedès)</t>
  </si>
  <si>
    <t>ZRS-0001-NV</t>
  </si>
  <si>
    <t>"Sapucaï" Vin de Pays de la Communauté Européenne White</t>
  </si>
  <si>
    <t>muscat d'alexandrie, xarel-lo (Penedès)</t>
  </si>
  <si>
    <t>ZRS-0002-NV</t>
  </si>
  <si>
    <t>"Sapucaï" Vin de Pays de la Communauté Européenne Red</t>
  </si>
  <si>
    <t>carignan, merlot, syrah, tempranillo (Penedès)</t>
  </si>
  <si>
    <t>ZRS-0828-22</t>
  </si>
  <si>
    <t>"Parade" VDF Red</t>
  </si>
  <si>
    <t>syrah, carignan (Penedès)</t>
  </si>
  <si>
    <r>
      <rPr>
        <sz val="14"/>
        <color rgb="FF000000"/>
        <rFont val="Helvetica Neue"/>
        <family val="2"/>
      </rPr>
      <t xml:space="preserve">LES FAVERELLES (Patrick Bringer, Vézelay) 🐂 - </t>
    </r>
    <r>
      <rPr>
        <i/>
        <sz val="14"/>
        <color rgb="FF000000"/>
        <rFont val="Helvetica Neue"/>
        <family val="2"/>
      </rPr>
      <t>new vintage!</t>
    </r>
  </si>
  <si>
    <t>ZRS-1332-22</t>
  </si>
  <si>
    <t>"Le Nez de Muse" Vezelay White</t>
  </si>
  <si>
    <t>ZRS-0777-20</t>
  </si>
  <si>
    <t>Bourgogne Vézelay Blanc</t>
  </si>
  <si>
    <t>11-0481-17</t>
  </si>
  <si>
    <t>12-0466-17</t>
  </si>
  <si>
    <t>"Pinot Déraisonné" Bourgogne Rouge</t>
  </si>
  <si>
    <t>COTE DE BEAUNE</t>
  </si>
  <si>
    <r>
      <rPr>
        <sz val="14"/>
        <color rgb="FF000000"/>
        <rFont val="Helvetica Neue"/>
        <family val="2"/>
      </rPr>
      <t xml:space="preserve">AMI 🌱 - </t>
    </r>
    <r>
      <rPr>
        <i/>
        <sz val="14"/>
        <color rgb="FF000000"/>
        <rFont val="Helvetica Neue"/>
        <family val="2"/>
      </rPr>
      <t>new vintages!</t>
    </r>
  </si>
  <si>
    <t>ZRS-1307-23</t>
  </si>
  <si>
    <t>"A-Miami VICE Le Pari" VDT Sparkling</t>
  </si>
  <si>
    <t>savagnin, aligoté</t>
  </si>
  <si>
    <t>ZRS-0748-23</t>
  </si>
  <si>
    <t>ZRS-0748-23M</t>
  </si>
  <si>
    <t>Bourgogne Aligoté 1.5L</t>
  </si>
  <si>
    <t>ZRS-0750-23</t>
  </si>
  <si>
    <t xml:space="preserve">Aligoté Maceration Bourgogne White </t>
  </si>
  <si>
    <t>ZRS-0750-22</t>
  </si>
  <si>
    <t>ZRS-0749-23</t>
  </si>
  <si>
    <t>"La Tête dans les Nuages" Bourgogne Blanc</t>
  </si>
  <si>
    <t>ZRS-0749-23M</t>
  </si>
  <si>
    <t>"La Tête dans les Nuages" Bourgogne Blanc MAGNUMS</t>
  </si>
  <si>
    <t>ZRS-1303-23</t>
  </si>
  <si>
    <t>"Homard d`Or" Bourgogne White</t>
  </si>
  <si>
    <t>ZRS22-0369-20</t>
  </si>
  <si>
    <t>"Les Mosnieres" Cote de Beaune Blanc</t>
  </si>
  <si>
    <t>18-0437-17</t>
  </si>
  <si>
    <t>"Vieilles Vignes" Saint Romain Blanc</t>
  </si>
  <si>
    <t>ZRS22-0370-20</t>
  </si>
  <si>
    <t>"Combe Bazin" Saint Romain Blanc</t>
  </si>
  <si>
    <t>11-054-12-14</t>
  </si>
  <si>
    <t>"Sous Roche" Saint Romain Blanc</t>
  </si>
  <si>
    <t>18-0438-17</t>
  </si>
  <si>
    <t>"Clos Rousseau" Santenay 1er Cru Blanc</t>
  </si>
  <si>
    <t>ZRS-0752-23</t>
  </si>
  <si>
    <t>"A-Miami Vice" VDT Rouge</t>
  </si>
  <si>
    <t>pinot noir, aligoté</t>
  </si>
  <si>
    <t>ZRS-0752-23M</t>
  </si>
  <si>
    <t>"A-Miami Vice" VDT Rouge MAGNUMS</t>
  </si>
  <si>
    <t>ZRS-0756-22</t>
  </si>
  <si>
    <t>"AMIE" VDF Rouge</t>
  </si>
  <si>
    <t>gamay, aligoté, grenache, grenache gris, carignan</t>
  </si>
  <si>
    <t>ZRS-0751-23</t>
  </si>
  <si>
    <t>"Le Gaminot" VDF Rouge</t>
  </si>
  <si>
    <t>pinot noir, gamay, aligoté, chardonnay</t>
  </si>
  <si>
    <t>ZRS-0751-23M</t>
  </si>
  <si>
    <t>"Le Gaminot" VDF Rouge 1.5L</t>
  </si>
  <si>
    <t>pinot noir, gamay, aligoté</t>
  </si>
  <si>
    <t>ZRS-0753-23</t>
  </si>
  <si>
    <t>"La Tête dans les Nuages" Bourgogne Rouge</t>
  </si>
  <si>
    <t>ZRS-0753-23M</t>
  </si>
  <si>
    <t>"La Tête dans les Nuages" Bourgogne Rouge MAGNUMS</t>
  </si>
  <si>
    <t>ZRS-1304-23</t>
  </si>
  <si>
    <t>"Homard Bleu" Bourgogne Red</t>
  </si>
  <si>
    <t>ZRS-0754-22</t>
  </si>
  <si>
    <t>Hautes Cotes de Beaune Rouge</t>
  </si>
  <si>
    <t>11-054-02-19</t>
  </si>
  <si>
    <t>Maranges Rouge</t>
  </si>
  <si>
    <t>ZRS22-0363-20</t>
  </si>
  <si>
    <t>ZRS22-0364-20</t>
  </si>
  <si>
    <t>Côtes de Nuits Village Rouge</t>
  </si>
  <si>
    <t>ZRS-1305-22</t>
  </si>
  <si>
    <t>"Tue Boeuf" Chorey-Les-Beaune Red</t>
  </si>
  <si>
    <t>ZRS-1306-23</t>
  </si>
  <si>
    <t>Pommard Rouge</t>
  </si>
  <si>
    <t>11-054-04-18</t>
  </si>
  <si>
    <t>ZRS22-0366-19</t>
  </si>
  <si>
    <t>"Les Poutures" Pommard 1er Cru Rouge</t>
  </si>
  <si>
    <r>
      <rPr>
        <sz val="14"/>
        <color rgb="FF000000"/>
        <rFont val="Helvetica Neue"/>
        <family val="2"/>
      </rPr>
      <t xml:space="preserve">JEAN-MARIE BERRUX (Meursault) 🐂 - </t>
    </r>
    <r>
      <rPr>
        <i/>
        <sz val="14"/>
        <color rgb="FF000000"/>
        <rFont val="Helvetica Neue"/>
        <family val="2"/>
      </rPr>
      <t>new vintages!</t>
    </r>
  </si>
  <si>
    <t>ZRS-0381-21</t>
  </si>
  <si>
    <t>"B&amp;B" VDF Blanc</t>
  </si>
  <si>
    <t>gringet (from Belluard in Savoie)</t>
  </si>
  <si>
    <t>ZRS-0382-21</t>
  </si>
  <si>
    <t>"Le Petit Tétu" Bourgogne Blanc</t>
  </si>
  <si>
    <t>ZRS-0382-22</t>
  </si>
  <si>
    <t>ZRS-0382-23</t>
  </si>
  <si>
    <t>ZRS-0382-23M</t>
  </si>
  <si>
    <t>"Le Petit Tétu" Bourgogne Blanc 1.5L</t>
  </si>
  <si>
    <t>ZRS-1359-23</t>
  </si>
  <si>
    <t>"Le Tétu" Bourgogne Blanc</t>
  </si>
  <si>
    <t>ZRS-1358-23</t>
  </si>
  <si>
    <t>"Le Petit Tétu" Bourgogne Rouge</t>
  </si>
  <si>
    <t>ZRS22-0231-20</t>
  </si>
  <si>
    <t>"Nondegu" Bourgogne Rouge</t>
  </si>
  <si>
    <t>ZRS-0383-21</t>
  </si>
  <si>
    <t>ZRS-0383-22</t>
  </si>
  <si>
    <t>ZRS-0383-23</t>
  </si>
  <si>
    <t xml:space="preserve">DOMAINE DERAIN 🌱 </t>
  </si>
  <si>
    <t>ZRS-1180-22</t>
  </si>
  <si>
    <t>"Landre" Bourgogne White</t>
  </si>
  <si>
    <t>ZRS-1174-22</t>
  </si>
  <si>
    <t>"La Combe" Bourgogne White</t>
  </si>
  <si>
    <t>FIFI-0029-22</t>
  </si>
  <si>
    <t>"Allez Goutons" VDF White</t>
  </si>
  <si>
    <t>ZRS-0971-22</t>
  </si>
  <si>
    <t>"La Corvee Aux Moines" Bourgogne White</t>
  </si>
  <si>
    <t>ZRS-1173-22</t>
  </si>
  <si>
    <t xml:space="preserve">St. Aubin White </t>
  </si>
  <si>
    <t>ZRS-1177-22</t>
  </si>
  <si>
    <t>"En Remilly" St. Aubin 1er Cru White</t>
  </si>
  <si>
    <t>FIFI-0032-20</t>
  </si>
  <si>
    <t>"En Vesvau" Saint Aubin White</t>
  </si>
  <si>
    <t>ZRS-1178-22</t>
  </si>
  <si>
    <t>"Sur Le Sentier Du Clou" Saint Aubin 1er Cru White</t>
  </si>
  <si>
    <t>ZRS-1184-22</t>
  </si>
  <si>
    <t>"La Combe Au Sud" Saint Aubin 1er Cru White</t>
  </si>
  <si>
    <t>FIFI-0047-20</t>
  </si>
  <si>
    <t>"Las Nubes" Casablanca Valley Red</t>
  </si>
  <si>
    <t>FIFI-0045-21</t>
  </si>
  <si>
    <t>"D`Rain D`Rain" VDF Red</t>
  </si>
  <si>
    <t>ZRS-1179-22</t>
  </si>
  <si>
    <t>"Les Riaux" Bourgogne Red</t>
  </si>
  <si>
    <t>ZRS-0969-22</t>
  </si>
  <si>
    <t>"La Plante Chassey" Mercurey Red</t>
  </si>
  <si>
    <t>ZRS-1175-22</t>
  </si>
  <si>
    <t>"Le Ban" Saint Aubin Red</t>
  </si>
  <si>
    <t>ZRS-1183-22</t>
  </si>
  <si>
    <t>"Le Puits" St. Aubin 1er Cru Red</t>
  </si>
  <si>
    <t>ZRS-0967-22</t>
  </si>
  <si>
    <t>"Les Petits Noizons" Pommard Red</t>
  </si>
  <si>
    <t>ZRS-0968-19</t>
  </si>
  <si>
    <t>"En Vosne" Gevrey Chambertin Red</t>
  </si>
  <si>
    <t xml:space="preserve">JULIEN ALTABER 🌱 </t>
  </si>
  <si>
    <t>FIFI-0082-22</t>
  </si>
  <si>
    <t>"Foufou`nette" VDF Sparkling</t>
  </si>
  <si>
    <t>aligoté, apricot</t>
  </si>
  <si>
    <t>FIFI-0089-22</t>
  </si>
  <si>
    <t>"Skinbull" VDF Sparkling</t>
  </si>
  <si>
    <t>ZRS-1143-23</t>
  </si>
  <si>
    <t>"Ecume" VDF Sparkling Rosé</t>
  </si>
  <si>
    <t>aligoté, gamay</t>
  </si>
  <si>
    <t>ZRS-1137-23</t>
  </si>
  <si>
    <t>Aligote Bourgogne White</t>
  </si>
  <si>
    <t>ZRS-0960-22</t>
  </si>
  <si>
    <t>Bourgogne White</t>
  </si>
  <si>
    <t>ZRS-1138-23</t>
  </si>
  <si>
    <t>"La Fleur au Verre" Bourgogne White</t>
  </si>
  <si>
    <t>ZRS-0964-21</t>
  </si>
  <si>
    <t>"En Chapon" VDF White</t>
  </si>
  <si>
    <t>ZRS-1142-20</t>
  </si>
  <si>
    <t>"Intuition Talmot" VDF White</t>
  </si>
  <si>
    <t>FIFI-0016-18</t>
  </si>
  <si>
    <t>"Intuition Les Fas" VDF White</t>
  </si>
  <si>
    <t>FIFI-0015-18</t>
  </si>
  <si>
    <t>"Intuition Foudre" VDF White</t>
  </si>
  <si>
    <t>FIFI-0017-16</t>
  </si>
  <si>
    <t>"Secret de Cave" VDF White</t>
  </si>
  <si>
    <t>ZRS-0965-22</t>
  </si>
  <si>
    <t>"Plein Po" VDF White</t>
  </si>
  <si>
    <t>skin-contact chardonnay</t>
  </si>
  <si>
    <t>ZRS-1141-23</t>
  </si>
  <si>
    <t>"Po a Po VDF White</t>
  </si>
  <si>
    <t>ZRS-0961-22</t>
  </si>
  <si>
    <t>Bourgogne Red</t>
  </si>
  <si>
    <t>ZRS-1139-23</t>
  </si>
  <si>
    <t>"La Fleur au Verre" Bourgogne Red</t>
  </si>
  <si>
    <t>ZRS-0962-22</t>
  </si>
  <si>
    <t>Maranages Red</t>
  </si>
  <si>
    <t>ZRS-0963-22</t>
  </si>
  <si>
    <t>"Sous La Velle" Monthelie 1er Cru Red</t>
  </si>
  <si>
    <t>ZRS-1136-23</t>
  </si>
  <si>
    <t>Coteaux Bourguignons Red</t>
  </si>
  <si>
    <t>FIFI-0083-22</t>
  </si>
  <si>
    <t>Gamay Bourgogne Red</t>
  </si>
  <si>
    <t>FIFI-0087-22</t>
  </si>
  <si>
    <t>"Metisse" VDF Red</t>
  </si>
  <si>
    <t>MARTHE HENRY BOILLOT 🌱</t>
  </si>
  <si>
    <t xml:space="preserve">ZRS-1063-20    </t>
  </si>
  <si>
    <t>Aligote Bourgogne Blanc</t>
  </si>
  <si>
    <t xml:space="preserve">ZRS-1063-21    </t>
  </si>
  <si>
    <t>ZRS-1076-21</t>
  </si>
  <si>
    <t>Chardonnay Bourgogne White</t>
  </si>
  <si>
    <t xml:space="preserve">ZRS-1080-21    </t>
  </si>
  <si>
    <t>"Saint Martin" Bourgogne White</t>
  </si>
  <si>
    <t>ZRS-1065-20</t>
  </si>
  <si>
    <t>"Les Grandes Gouttes" Bourgogne Blanc</t>
  </si>
  <si>
    <t>ZRS-1068-20</t>
  </si>
  <si>
    <t>"Le Bievaux" Santenay Blanc</t>
  </si>
  <si>
    <t>ZRS-1069-20</t>
  </si>
  <si>
    <t>Saint Romain White</t>
  </si>
  <si>
    <t>ZRS-1079-21</t>
  </si>
  <si>
    <t xml:space="preserve">"Perriere" Saint Romain White </t>
  </si>
  <si>
    <t>ZRS-1070-20</t>
  </si>
  <si>
    <t>Sous la Velle Meursault Blanc</t>
  </si>
  <si>
    <t xml:space="preserve">ZRS-0373-21 </t>
  </si>
  <si>
    <t>Fleurie Rouge</t>
  </si>
  <si>
    <t>ZRS-1081-21</t>
  </si>
  <si>
    <t xml:space="preserve">ZRS-1072-20    </t>
  </si>
  <si>
    <t>Pinot Noir Bourgogne Rouge</t>
  </si>
  <si>
    <t>ZRS-1073-20</t>
  </si>
  <si>
    <t>ZRS-1074-20</t>
  </si>
  <si>
    <t>Maranges Red</t>
  </si>
  <si>
    <t>ZRS-1074-21</t>
  </si>
  <si>
    <t>ZRS-1075-20</t>
  </si>
  <si>
    <r>
      <rPr>
        <sz val="14"/>
        <color rgb="FF000000"/>
        <rFont val="Helvetica Neue"/>
        <family val="2"/>
      </rPr>
      <t xml:space="preserve">MAISON EN BELLES LIES 🐂 - </t>
    </r>
    <r>
      <rPr>
        <i/>
        <sz val="14"/>
        <color rgb="FF000000"/>
        <rFont val="Helvetica Neue"/>
        <family val="2"/>
      </rPr>
      <t>new vintages!</t>
    </r>
  </si>
  <si>
    <t>ZRS-0811-21</t>
  </si>
  <si>
    <t>ZRS-0813-22</t>
  </si>
  <si>
    <t>17-0536-14</t>
  </si>
  <si>
    <t>"Ambre" VDF Blanc</t>
  </si>
  <si>
    <t>chardonnay, aligoté</t>
  </si>
  <si>
    <t>ZRS-0814-21</t>
  </si>
  <si>
    <t>Monthélie Blanc</t>
  </si>
  <si>
    <t>ZR-BL-04-20</t>
  </si>
  <si>
    <t>Santenay Blanc</t>
  </si>
  <si>
    <t>ZR-BL-05-20</t>
  </si>
  <si>
    <t>"Sous La Roche" Santenay Blanc</t>
  </si>
  <si>
    <t>ZR-BL-06-20</t>
  </si>
  <si>
    <t>"La Perrières" Saint Romain Blanc</t>
  </si>
  <si>
    <t>ZRS-0815-21</t>
  </si>
  <si>
    <t>Corton Charlemagne Grand Cru Blanc</t>
  </si>
  <si>
    <t>ZR-BL-01-20</t>
  </si>
  <si>
    <t>Beaujolais Villages</t>
  </si>
  <si>
    <t>ZR-BL-01-20M</t>
  </si>
  <si>
    <t>Beaujolais Villages 1.5L</t>
  </si>
  <si>
    <t>ZR-BL-08-19</t>
  </si>
  <si>
    <t>"L'Etrange" VDF Rouge</t>
  </si>
  <si>
    <t>pinot noir, gamay, aligoté, chardonnay; vin de presse</t>
  </si>
  <si>
    <t>ZR-BL-08-20</t>
  </si>
  <si>
    <t>ZR-BL-08-20M</t>
  </si>
  <si>
    <t>"L'Etrange" VDF Rouge 1.5L</t>
  </si>
  <si>
    <t>ZRS-0816-21</t>
  </si>
  <si>
    <t>Hautes-Côtes de Beaune Rouge</t>
  </si>
  <si>
    <t>ZRS-0819-22</t>
  </si>
  <si>
    <t>15-0204M18</t>
  </si>
  <si>
    <t>Maranges Rouge 1.5L</t>
  </si>
  <si>
    <t>ZRS-0820-21</t>
  </si>
  <si>
    <t>"Les Clos Roussots" Maranges 1er Cru Rouge</t>
  </si>
  <si>
    <t>ZRS-0817-22</t>
  </si>
  <si>
    <t>Aloxe-Corton Rouge</t>
  </si>
  <si>
    <t>15-0208-18</t>
  </si>
  <si>
    <t>"Les Perrières" Corton Grand Cru Rouge</t>
  </si>
  <si>
    <t>ZRS-0818-21</t>
  </si>
  <si>
    <t>"En Charlemagne" Corton Grand Cru Red</t>
  </si>
  <si>
    <t>MACONNAIS</t>
  </si>
  <si>
    <t>ALEXANDRE JOUVEAUX (Uchizy) 🌱</t>
  </si>
  <si>
    <t>11-044-01-19</t>
  </si>
  <si>
    <t>Le Mont Blanc</t>
  </si>
  <si>
    <t>ZRS-0861-18</t>
  </si>
  <si>
    <t>O18 (Zero-Cinq) Blanc</t>
  </si>
  <si>
    <t>13-0392-16</t>
  </si>
  <si>
    <t>Combarnier Blanc</t>
  </si>
  <si>
    <t>15-0052-16</t>
  </si>
  <si>
    <t>L'Orme</t>
  </si>
  <si>
    <t>13-0393-14</t>
  </si>
  <si>
    <t>Prety Blanc</t>
  </si>
  <si>
    <t>15-0730-16</t>
  </si>
  <si>
    <t>La Vigne du Clos Blanc</t>
  </si>
  <si>
    <t>DOMAINE LES FAUVETTES (Maryse Chatelin) 🌱</t>
  </si>
  <si>
    <t>ZRS-0880-22</t>
  </si>
  <si>
    <t>"De l'Aube à l'Aube..." Bourgogne Rouge</t>
  </si>
  <si>
    <t>MAISON VALETTE (Philippe Valette) 🌱</t>
  </si>
  <si>
    <t>ZRS-0119-20</t>
  </si>
  <si>
    <t>ZRS-0118-NV</t>
  </si>
  <si>
    <t>Mâcon-Chaintré Vieilles-Vignes Blanc</t>
  </si>
  <si>
    <t>2018,19,21</t>
  </si>
  <si>
    <t>ZRS-0118-NVM</t>
  </si>
  <si>
    <t>Mâcon-Chaintré Vieilles-Vignes Blanc 1.5L</t>
  </si>
  <si>
    <t>ZR11-0500-14</t>
  </si>
  <si>
    <t>Viré-Clesse</t>
  </si>
  <si>
    <t>12-0999-13</t>
  </si>
  <si>
    <t>Pouilly-Vinzelles Blanc</t>
  </si>
  <si>
    <t>ZRS-0868-NV</t>
  </si>
  <si>
    <t>"Et Pourtant..." VDF Blanc</t>
  </si>
  <si>
    <t>2020, 21</t>
  </si>
  <si>
    <t>ZRS-0868-MNV</t>
  </si>
  <si>
    <t>"Et Pourtant..." VDF Blanc 1.5L</t>
  </si>
  <si>
    <t>ZRS-0120-NV</t>
  </si>
  <si>
    <t>"MesdemoiZelles" VDF Blanc</t>
  </si>
  <si>
    <t>ZRS-0120-MNV</t>
  </si>
  <si>
    <t>"MesdemoiZelles" VDF Blanc 1.5L</t>
  </si>
  <si>
    <t>ZRS-0121-18</t>
  </si>
  <si>
    <t>Pouilly-Fuissé Tradition Blanc</t>
  </si>
  <si>
    <t>ZRS-0121-18M</t>
  </si>
  <si>
    <t>Pouilly-Fuissé Tradition Blanc 1.5L</t>
  </si>
  <si>
    <t>ZRS-0122-NV</t>
  </si>
  <si>
    <t>"Clos Reyssié" Pouilly-Fuissé Blanc</t>
  </si>
  <si>
    <t>ZRS-0117-NV</t>
  </si>
  <si>
    <t>"Le Clos de Monsieur Noly" Pouilly-Fuissé Blanc</t>
  </si>
  <si>
    <t>BEAUJOLAIS</t>
  </si>
  <si>
    <t>LES SOURIANTS 🌱</t>
  </si>
  <si>
    <t>ZRS-1024-22</t>
  </si>
  <si>
    <t>"Galipet" VDF Sparkling Rosé</t>
  </si>
  <si>
    <t>gamay, gewurztraminer</t>
  </si>
  <si>
    <t>ZRS-1027-22</t>
  </si>
  <si>
    <t>"Sourire de Nouveau" Beaujolais Red</t>
  </si>
  <si>
    <t>ZRS-1026-22</t>
  </si>
  <si>
    <t>"Sourire au Naturel" Beaujolais Red</t>
  </si>
  <si>
    <r>
      <rPr>
        <sz val="14"/>
        <color rgb="FF000000"/>
        <rFont val="Helvetica Neue"/>
        <family val="2"/>
      </rPr>
      <t xml:space="preserve">OBORA (Angela Quiblier &amp; Hugo Foizel) 🌱 - </t>
    </r>
    <r>
      <rPr>
        <i/>
        <sz val="14"/>
        <color rgb="FF000000"/>
        <rFont val="Helvetica Neue"/>
        <family val="2"/>
      </rPr>
      <t>new vintages!</t>
    </r>
  </si>
  <si>
    <t>ZRS-0903-22</t>
  </si>
  <si>
    <t>"Blanc.co" VDF White</t>
  </si>
  <si>
    <t>ZRS-0904-22</t>
  </si>
  <si>
    <t>"Bob" VDF Red</t>
  </si>
  <si>
    <t>ZRS-0902-22</t>
  </si>
  <si>
    <t>Julienas Red</t>
  </si>
  <si>
    <t>ZRS-0901-22</t>
  </si>
  <si>
    <t>Chénas Red</t>
  </si>
  <si>
    <t>ZRS-0030-21</t>
  </si>
  <si>
    <t>"En Papolet" Chénas Rouge</t>
  </si>
  <si>
    <t>DOMAINE DES JEUNES POUSSES (Angela Quiblier &amp; Hugo Foizel) 🌱</t>
  </si>
  <si>
    <t>ZRS-0585-22</t>
  </si>
  <si>
    <t>"Replat de Vavre" Beaujolais Villages Rouge</t>
  </si>
  <si>
    <t>ZRS-0585-21</t>
  </si>
  <si>
    <t>ZRS22-0199-20</t>
  </si>
  <si>
    <t>ZRS-0584-22</t>
  </si>
  <si>
    <t>"Aux Chanes" Beaujolais Villages Rouge</t>
  </si>
  <si>
    <t>ZRS-0584-21</t>
  </si>
  <si>
    <t>ZRS22-0198-20</t>
  </si>
  <si>
    <t>ZRS-1109-22</t>
  </si>
  <si>
    <t xml:space="preserve">"La Croix" Beaujolais Villages d`Emeringes </t>
  </si>
  <si>
    <t xml:space="preserve">DOMAINE DES MORIERS (François de Nicolay) 🐂 </t>
  </si>
  <si>
    <t>ZRS200101-19</t>
  </si>
  <si>
    <t>Beaujolais Villages Rouge</t>
  </si>
  <si>
    <t>ZRS200100-19</t>
  </si>
  <si>
    <t>"Les Charmes" Morgon Rouge</t>
  </si>
  <si>
    <t>ZRS200099-19</t>
  </si>
  <si>
    <t>"La Madone" Morgon Rouge</t>
  </si>
  <si>
    <t>ZRS200102-18</t>
  </si>
  <si>
    <t>Morgon Rouge</t>
  </si>
  <si>
    <t>17-0489-19</t>
  </si>
  <si>
    <t>Moulin-à-Vent Rouge</t>
  </si>
  <si>
    <t>was $270</t>
  </si>
  <si>
    <r>
      <rPr>
        <sz val="14"/>
        <color rgb="FF000000"/>
        <rFont val="Helvetica Neue"/>
        <family val="2"/>
      </rPr>
      <t xml:space="preserve">LE GRAIN DE SENEVE (Herve Ravera, Marchampt) 🐂 - </t>
    </r>
    <r>
      <rPr>
        <i/>
        <sz val="14"/>
        <color rgb="FF000000"/>
        <rFont val="Helvetica Neue"/>
        <family val="2"/>
      </rPr>
      <t>new vintages!</t>
    </r>
  </si>
  <si>
    <t>ZRS-1237-23</t>
  </si>
  <si>
    <t>"Pierre de Faite" VDF Red</t>
  </si>
  <si>
    <t>ZRS-0676-23</t>
  </si>
  <si>
    <t>"Roue Libre" VDF Rouge</t>
  </si>
  <si>
    <t>ZRS-0676-22</t>
  </si>
  <si>
    <t>ZR-GS-01-20M</t>
  </si>
  <si>
    <t>"Roue Libre" VDF Rouge 1.5L</t>
  </si>
  <si>
    <t>ZRS-0675-23M</t>
  </si>
  <si>
    <t>"Vos Lettres Sont Irresistibles" Rouge 1.5L</t>
  </si>
  <si>
    <t>12-0670M</t>
  </si>
  <si>
    <t>"500 Metres" VDF Rouge 1.5L</t>
  </si>
  <si>
    <t>18-0064MNV</t>
  </si>
  <si>
    <t>"Le Monde est Trop Petit" VDF Rouge 1.5L</t>
  </si>
  <si>
    <t>JULIEN MERLE 🌱</t>
  </si>
  <si>
    <t>16-0135-18</t>
  </si>
  <si>
    <t>"Le Merle Blanc" Beaujolais Blanc</t>
  </si>
  <si>
    <t>was $180</t>
  </si>
  <si>
    <t>19-0072-17</t>
  </si>
  <si>
    <t>"Blanc Bec" VDF Blanc</t>
  </si>
  <si>
    <t>16-0137-14</t>
  </si>
  <si>
    <t>"Cor de Rosa" Rosé</t>
  </si>
  <si>
    <t>16-0136-16</t>
  </si>
  <si>
    <t>"Philibert" Beaujolais Rouge</t>
  </si>
  <si>
    <t>16-0134-19</t>
  </si>
  <si>
    <t>"Champ Blanc" VDF Rouge</t>
  </si>
  <si>
    <t>ZRS200149-19</t>
  </si>
  <si>
    <t>"La Passée du Merle" VDF Rouge</t>
  </si>
  <si>
    <t>ZRS200148-19</t>
  </si>
  <si>
    <t>"Bord d'aile de Merle" VDF Rouge</t>
  </si>
  <si>
    <t>gamay (carbonic)</t>
  </si>
  <si>
    <t>AUVERGNE</t>
  </si>
  <si>
    <t>DOMAINE LA BOHEME (Patrick Bouju) 🌱</t>
  </si>
  <si>
    <t>ZR-PB-07-21</t>
  </si>
  <si>
    <t>"Festejar!" VDF Pét-Nat Blanc</t>
  </si>
  <si>
    <t>chardonnay, pinot blanc, pinot gris, sylvaner</t>
  </si>
  <si>
    <t>ZRS-0356-22</t>
  </si>
  <si>
    <t>"Festejar!" VDF Pét-Nat Rosé</t>
  </si>
  <si>
    <t>gamay (Beaujolais), syrah (Perpignan), cabernet franc (Bordeaux)</t>
  </si>
  <si>
    <t>ZRS-0361-23</t>
  </si>
  <si>
    <t>"Picapol" VDF Blanc</t>
  </si>
  <si>
    <t>picapoll blanc (picpoul)</t>
  </si>
  <si>
    <t>ZR-PB-06-20</t>
  </si>
  <si>
    <t>"R" VDF Blanc</t>
  </si>
  <si>
    <t>riesling (Savoie)</t>
  </si>
  <si>
    <t>ZRS-1258-22</t>
  </si>
  <si>
    <t>"CC" VDF White</t>
  </si>
  <si>
    <t>ZRS-0363-21</t>
  </si>
  <si>
    <t>"The Blanc" VDF Blanc</t>
  </si>
  <si>
    <t>ZRS-0057-NV</t>
  </si>
  <si>
    <t>"J" VDF Blanc</t>
  </si>
  <si>
    <t>jacquère (Savoie)</t>
  </si>
  <si>
    <t>ZRS-0013-20</t>
  </si>
  <si>
    <t>"A" VDF Blanc</t>
  </si>
  <si>
    <t>altesse, chardonnay (Savoie)</t>
  </si>
  <si>
    <t>ZRS-0746-22</t>
  </si>
  <si>
    <t>"G&amp;M" VDF Blanc</t>
  </si>
  <si>
    <t>muscat, grenache gris, riesling, pinot auxerrois</t>
  </si>
  <si>
    <t>ZRS-0055-20</t>
  </si>
  <si>
    <t>"Ergastoline" VDF Blanc</t>
  </si>
  <si>
    <t>roussanne/bergeron (savoie)</t>
  </si>
  <si>
    <t>ZRS-0357-22</t>
  </si>
  <si>
    <t>"Love Song" VDF Rosé</t>
  </si>
  <si>
    <t>15-0808-14</t>
  </si>
  <si>
    <t>"Brutal" VDF Rouge</t>
  </si>
  <si>
    <t>gamay d'auvergne</t>
  </si>
  <si>
    <t>ZRS-0359-21</t>
  </si>
  <si>
    <t>"Môl" VDF Rouge</t>
  </si>
  <si>
    <t>syrah, carignan, cinsault, merlot, grenache, gamay, muscat</t>
  </si>
  <si>
    <t>ZRS-0360-23</t>
  </si>
  <si>
    <t>"P" VDF Rouge</t>
  </si>
  <si>
    <t>ZRS-0014-21</t>
  </si>
  <si>
    <t>"MO" VDF Rouge</t>
  </si>
  <si>
    <t>mondeuse (Savoie)</t>
  </si>
  <si>
    <t>ZRS-0747-22</t>
  </si>
  <si>
    <t>"Niglo" VDF Red</t>
  </si>
  <si>
    <t>ZRS-0362-22</t>
  </si>
  <si>
    <t>"Super B" VDF Rouge</t>
  </si>
  <si>
    <t>ZRS210353-18</t>
  </si>
  <si>
    <t>"Sein Pour Sein" VDF Rouge</t>
  </si>
  <si>
    <t>ZRS-0358-22</t>
  </si>
  <si>
    <t>"Lulu" VDF Rouge</t>
  </si>
  <si>
    <t>ZRS-0355-22</t>
  </si>
  <si>
    <t>"Cailloux" VDF Rouge</t>
  </si>
  <si>
    <t>pinot noir, gamay d'auvergne</t>
  </si>
  <si>
    <r>
      <rPr>
        <sz val="14"/>
        <color rgb="FF000000"/>
        <rFont val="Helvetica Neue"/>
        <family val="2"/>
      </rPr>
      <t xml:space="preserve">MARIE &amp; VINCENT TRICOT 🌱 - </t>
    </r>
    <r>
      <rPr>
        <i/>
        <sz val="14"/>
        <color rgb="FF000000"/>
        <rFont val="Helvetica Neue"/>
        <family val="2"/>
      </rPr>
      <t xml:space="preserve"> new vintages!</t>
    </r>
  </si>
  <si>
    <t>ZRS14-0220-19</t>
  </si>
  <si>
    <t>"Bulleversante" VDF Sparkling Blanc</t>
  </si>
  <si>
    <t>chardonnay, muscat</t>
  </si>
  <si>
    <t>17-0540-19</t>
  </si>
  <si>
    <t>"Jour de Fête" VDF Sparkling Rosé</t>
  </si>
  <si>
    <t>ZRS-0223-22</t>
  </si>
  <si>
    <t>"White Light" VDF Blanc</t>
  </si>
  <si>
    <t>ZRS-0219-22</t>
  </si>
  <si>
    <t>"Désiré..." VDF Blanc</t>
  </si>
  <si>
    <t>ZRS-0257-22</t>
  </si>
  <si>
    <t>"Escargot" VDF Blanc</t>
  </si>
  <si>
    <t>ZRS-0778-23</t>
  </si>
  <si>
    <t>"Rasséréné" VDF Blanc</t>
  </si>
  <si>
    <t>11-031-12-16</t>
  </si>
  <si>
    <t>"OX" VDF Blanc 500ml</t>
  </si>
  <si>
    <t>pinot noir (oxidative)</t>
  </si>
  <si>
    <t>ZRS-0222-23</t>
  </si>
  <si>
    <t>VDF Gamay Rosé</t>
  </si>
  <si>
    <t>ZRS22-0443-21</t>
  </si>
  <si>
    <t>"3 Bonhommes " VDF Rosé</t>
  </si>
  <si>
    <t>13-0173-19</t>
  </si>
  <si>
    <t>"3 Bonhommes" VDF Rouge</t>
  </si>
  <si>
    <t>ZRS-0220-24</t>
  </si>
  <si>
    <t>"3 Bonhommes MC" VDF Rouge</t>
  </si>
  <si>
    <t>11-031-09-20</t>
  </si>
  <si>
    <t>"Rouge Lux" VDF Rouge</t>
  </si>
  <si>
    <t>ZRS-0221-24</t>
  </si>
  <si>
    <t>"Les Petites Fleurs" VDF Rouge</t>
  </si>
  <si>
    <t>ZRS-0256-24</t>
  </si>
  <si>
    <t>"Les Milans" VDF Rouge</t>
  </si>
  <si>
    <t>13-0171-20</t>
  </si>
  <si>
    <t>"Les Marcottes" VDF Rouge</t>
  </si>
  <si>
    <t>ZRS-0779-23</t>
  </si>
  <si>
    <t>"La Petit Rouge de la Côte Ouest" VDF Rouge</t>
  </si>
  <si>
    <t>HENRI CHAUVET 🌱</t>
  </si>
  <si>
    <t>ZRS-0068-22M</t>
  </si>
  <si>
    <t>"A Fleur de Peau" Côtes d'Auvergne Blanc</t>
  </si>
  <si>
    <t>ZRS-0857-22</t>
  </si>
  <si>
    <t>"Froussard" Cotes d`Auvergne White</t>
  </si>
  <si>
    <t>ZRS-0317-22</t>
  </si>
  <si>
    <t>"Qui Sait" VDF Blanc</t>
  </si>
  <si>
    <t>ZRS-0075-21</t>
  </si>
  <si>
    <t>"Rosée d`Automne" VDF Rosé</t>
  </si>
  <si>
    <t>ZRS-0074-21</t>
  </si>
  <si>
    <t>"Rescapés" VDF Rosé</t>
  </si>
  <si>
    <t>ZRS-0858-22</t>
  </si>
  <si>
    <t>Rouge Cotes d`Auvergne Boudes</t>
  </si>
  <si>
    <t>gamay d'auvergne, gamay (beaujolais)</t>
  </si>
  <si>
    <t>ZRS-0859-22</t>
  </si>
  <si>
    <t>"Abrupts" Cotes d`Auvergne Boudes</t>
  </si>
  <si>
    <t>ZRS-0860-22</t>
  </si>
  <si>
    <t>"Vie Ordinaire" VDF Red</t>
  </si>
  <si>
    <t>ZRS-0071-21</t>
  </si>
  <si>
    <t>"Ensauvagés" Côtes d'Auvergne Rouge</t>
  </si>
  <si>
    <t>ZRS-0072-21</t>
  </si>
  <si>
    <t>"Entre Chien et Loup" VDF Rouge</t>
  </si>
  <si>
    <t>ZRS-0069-21</t>
  </si>
  <si>
    <t>"A l`Aube" Côtes d'Auvergne Rouge</t>
  </si>
  <si>
    <t>gamay d'auvergne, pinot noir, chardonnay</t>
  </si>
  <si>
    <t>ZRS-0070-21</t>
  </si>
  <si>
    <t>"De Cendre et d`âme" Côtes d'Auvergne Rouge</t>
  </si>
  <si>
    <t>ZRS-0076-21</t>
  </si>
  <si>
    <t>"Tout là-Haut" Côtes d'Auvergne Rouge</t>
  </si>
  <si>
    <t>ZRS-0315-22</t>
  </si>
  <si>
    <t>"Au Chant de la Huppe" Côtes d`Auvergne Rouge</t>
  </si>
  <si>
    <t>ZRS-0316-22</t>
  </si>
  <si>
    <t>"Contre Nature" VDF Rouge</t>
  </si>
  <si>
    <t>ZRS-0073-21</t>
  </si>
  <si>
    <t>"Envol" Côtes d'Auvergne Rouge</t>
  </si>
  <si>
    <t>ARDECHE</t>
  </si>
  <si>
    <r>
      <rPr>
        <sz val="14"/>
        <color rgb="FF000000"/>
        <rFont val="Helvetica Neue"/>
        <family val="2"/>
      </rPr>
      <t xml:space="preserve">DOMAINE LES DEUX TERRES 🌱 - </t>
    </r>
    <r>
      <rPr>
        <i/>
        <sz val="14"/>
        <color rgb="FF000000"/>
        <rFont val="Helvetica Neue"/>
        <family val="2"/>
      </rPr>
      <t>new vintages!</t>
    </r>
  </si>
  <si>
    <t>ZRS-0446-24</t>
  </si>
  <si>
    <t>"Vin Nu Blanc" VDF Blanc</t>
  </si>
  <si>
    <t>chardonnay, ugni blanc</t>
  </si>
  <si>
    <t>ZRS-0445-22</t>
  </si>
  <si>
    <t>"Vin Nu Rouge" VDF Rouge</t>
  </si>
  <si>
    <t>ZRS-0443-22</t>
  </si>
  <si>
    <t>"L'Adret" VDF Blanc</t>
  </si>
  <si>
    <t>11-010-04-20</t>
  </si>
  <si>
    <t>"Paulatim" VDF Blanc</t>
  </si>
  <si>
    <t>ZRS-0181-21</t>
  </si>
  <si>
    <t>14-0236-15</t>
  </si>
  <si>
    <t>"Pythie" Rosé</t>
  </si>
  <si>
    <t>ZRS-0180-24</t>
  </si>
  <si>
    <t>"Jaja" VDF Rouge</t>
  </si>
  <si>
    <t>merlot, cinsault, grenache</t>
  </si>
  <si>
    <t>"La Reboule" VDF Rouge</t>
  </si>
  <si>
    <t>cabernet sauvignon, grenache, merlot</t>
  </si>
  <si>
    <t>ZRS-0182-21</t>
  </si>
  <si>
    <t>"Ripaille" VDF Rouge</t>
  </si>
  <si>
    <t>ZRS-0447-23</t>
  </si>
  <si>
    <t>"Zig Zag" VDF Rouge</t>
  </si>
  <si>
    <t>ZRS-0447-22</t>
  </si>
  <si>
    <t>ZRS-0183-21</t>
  </si>
  <si>
    <t>"Silène" VDF Rouge</t>
  </si>
  <si>
    <t>merlot, cabernet sauvignon</t>
  </si>
  <si>
    <t>ZRS-0179-21</t>
  </si>
  <si>
    <t>"Bric à Brac" VDF Rouge</t>
  </si>
  <si>
    <t>GREGORY GUILLAUME 🌱</t>
  </si>
  <si>
    <t>ZRS-1331-NV</t>
  </si>
  <si>
    <t>"Chapicave" VDF White</t>
  </si>
  <si>
    <t>ZRS-0873-NV</t>
  </si>
  <si>
    <t>"Lucky" VDF Blanc</t>
  </si>
  <si>
    <t>grenache blanc</t>
  </si>
  <si>
    <t>14-0206</t>
  </si>
  <si>
    <t>"Lou Coulego" VDF Blanc</t>
  </si>
  <si>
    <t>14-0207X6</t>
  </si>
  <si>
    <t>"Louforosé" VDF Rosé 6pk</t>
  </si>
  <si>
    <t>alicante</t>
  </si>
  <si>
    <t>14-0204-20</t>
  </si>
  <si>
    <t>"L'Epicurean" VDF Rouge</t>
  </si>
  <si>
    <t>ZRS-0871-NV</t>
  </si>
  <si>
    <t>"L'Excentrique" VDF Rouge</t>
  </si>
  <si>
    <t>14-0203</t>
  </si>
  <si>
    <t>"Koforobe" VDF Rouge</t>
  </si>
  <si>
    <t>merlot, syrah</t>
  </si>
  <si>
    <t>ZRS-0870-NV</t>
  </si>
  <si>
    <t>"Abracadaboum" VDF Red</t>
  </si>
  <si>
    <t>merlot, grenache</t>
  </si>
  <si>
    <t>15-0564-19</t>
  </si>
  <si>
    <t>"Mystère" VDF Rouge</t>
  </si>
  <si>
    <t>ZRS-0874-NV</t>
  </si>
  <si>
    <t>"Testard" VDF Red</t>
  </si>
  <si>
    <r>
      <rPr>
        <sz val="14"/>
        <color rgb="FF000000"/>
        <rFont val="Helvetica Neue"/>
        <family val="2"/>
      </rPr>
      <t xml:space="preserve">ANDERS FREDERIK STEEN &amp; ANNE BRUUN BLAUERT 🌱🐂 - </t>
    </r>
    <r>
      <rPr>
        <i/>
        <sz val="14"/>
        <color rgb="FF000000"/>
        <rFont val="Helvetica Neue"/>
        <family val="2"/>
      </rPr>
      <t>new vintages!</t>
    </r>
  </si>
  <si>
    <t>ZRS-1280-23</t>
  </si>
  <si>
    <t>Forever and Ever Child VDF Sparkling Rose</t>
  </si>
  <si>
    <t>ZRS-0645-22</t>
  </si>
  <si>
    <t>Should we just rely on luck? VDF Sparkling Rose</t>
  </si>
  <si>
    <t>cinsault, chardonnay, grenache blanc &amp; noir, syrah, merlot</t>
  </si>
  <si>
    <t>ZRS-0647-21</t>
  </si>
  <si>
    <t>Hold me closer VDF White</t>
  </si>
  <si>
    <t>sauvignon blanc, chardonnay, marsanne</t>
  </si>
  <si>
    <t>ZRS-0647-21M</t>
  </si>
  <si>
    <t>Hold me closer VDF White 1.5L</t>
  </si>
  <si>
    <t>Once I had a choice of being better VDF White</t>
  </si>
  <si>
    <t>chardonnay, sauvignon blanc</t>
  </si>
  <si>
    <t>Once I had a choice of being better VDF White 1.5L</t>
  </si>
  <si>
    <t>ZRS-1279-23</t>
  </si>
  <si>
    <t>In the End All That is Left VDF Rose</t>
  </si>
  <si>
    <t>syrah, viognier</t>
  </si>
  <si>
    <t>ZRS-1278-23</t>
  </si>
  <si>
    <t>Weightless Fingers VDF Rose</t>
  </si>
  <si>
    <t>grenache noir, grenache blanc</t>
  </si>
  <si>
    <t>ZRS-1282-20</t>
  </si>
  <si>
    <t>Tout Ce Qui est Beau Revient VDF White</t>
  </si>
  <si>
    <t>gewurztraminer</t>
  </si>
  <si>
    <t>ZRS-1283-19</t>
  </si>
  <si>
    <t>It`s the Smell of the Pine Trees VDF White</t>
  </si>
  <si>
    <t>pinot noir, pinot gris, gewurztraminer</t>
  </si>
  <si>
    <t>ZRS-1284-17</t>
  </si>
  <si>
    <t>Palpite Un Peu Comme Un Coeur Sauvage VDF White</t>
  </si>
  <si>
    <t>pinot noir, gewurztraminer</t>
  </si>
  <si>
    <t>ZRS-1285-13</t>
  </si>
  <si>
    <t>Aging a Wildflower VDF White</t>
  </si>
  <si>
    <t>ZRS-0652-19</t>
  </si>
  <si>
    <t>I was Born in a Small town VDF White</t>
  </si>
  <si>
    <t>ZRS-0653-18</t>
  </si>
  <si>
    <t>Parfois je monte a l`etage et je me sens un peu perdu VDF White</t>
  </si>
  <si>
    <t>direct press pinot noir</t>
  </si>
  <si>
    <t>C`etait bien hier soir? Bah .. Tu sais .. VDF Rose</t>
  </si>
  <si>
    <t>cabernet sauvignon, gewurztraminer</t>
  </si>
  <si>
    <t>ZRS-0651-20</t>
  </si>
  <si>
    <t>Comme un Double-Vitrage VDF Rose</t>
  </si>
  <si>
    <t>pinot noir, pinot gris, sylvaner, muscat</t>
  </si>
  <si>
    <t>ZRS-0650-19</t>
  </si>
  <si>
    <t>C`est dans les yeux qu`on le voit VDF Red</t>
  </si>
  <si>
    <t>grenache noir, chardonnay</t>
  </si>
  <si>
    <t>ZRS-1281-22</t>
  </si>
  <si>
    <t>Inside I`m a Boat Built of Paper VDF Red</t>
  </si>
  <si>
    <t>ZRS-0648-21</t>
  </si>
  <si>
    <t>Bad lighting Call you later VDF Red</t>
  </si>
  <si>
    <t>ZRS-0654-19</t>
  </si>
  <si>
    <t>Les Vignes des Enfants VDF Red</t>
  </si>
  <si>
    <t>petite syrah</t>
  </si>
  <si>
    <t>ZRS-0654-20</t>
  </si>
  <si>
    <r>
      <rPr>
        <sz val="14"/>
        <color rgb="FF000000"/>
        <rFont val="Helvetica Neue"/>
        <family val="2"/>
      </rPr>
      <t xml:space="preserve">MAS D'INTRAS 🌱 - </t>
    </r>
    <r>
      <rPr>
        <i/>
        <sz val="14"/>
        <color rgb="FF000000"/>
        <rFont val="Helvetica Neue"/>
        <family val="2"/>
      </rPr>
      <t>new vintages!</t>
    </r>
  </si>
  <si>
    <t>ZRS-1326-24</t>
  </si>
  <si>
    <t>Chardonnay Ardeche White</t>
  </si>
  <si>
    <t>ZRS-1009-23</t>
  </si>
  <si>
    <t>Viognier VDF White</t>
  </si>
  <si>
    <t>ZRS-0380-22</t>
  </si>
  <si>
    <t>"Cuvée de la Montagnère" IGP Ardèche White</t>
  </si>
  <si>
    <t>viognier, grenache blanc, chardonnay, clairette</t>
  </si>
  <si>
    <t>ZRS-1327-24</t>
  </si>
  <si>
    <t>"Isidora" Ardèche Rosé 2024</t>
  </si>
  <si>
    <t>grenache, merlot</t>
  </si>
  <si>
    <t>ZRS-0379-23</t>
  </si>
  <si>
    <t>"Le Champ des Filles" IGP Ardèche Rosé</t>
  </si>
  <si>
    <t>grenache, merlot, syrah</t>
  </si>
  <si>
    <t>ZRS-1328-23</t>
  </si>
  <si>
    <t>"La Souche" Ardèche Red</t>
  </si>
  <si>
    <t>ZRS-1008-23</t>
  </si>
  <si>
    <t>Grenache VDF Red</t>
  </si>
  <si>
    <t>ZRS-1007-23</t>
  </si>
  <si>
    <t>Carignan "Nature" IGP Ardèche Red</t>
  </si>
  <si>
    <t>HERAULT</t>
  </si>
  <si>
    <t>LES VIGNES D'OLIVIER (Olivier Cohen) 🌱</t>
  </si>
  <si>
    <t>14-0992-NV</t>
  </si>
  <si>
    <t>VDF Rosé</t>
  </si>
  <si>
    <t>16-0139-NV</t>
  </si>
  <si>
    <t>"Rond Vert" VDF Rouge</t>
  </si>
  <si>
    <t>syrah, merlot, carignan</t>
  </si>
  <si>
    <t>19-1341-18</t>
  </si>
  <si>
    <t>"Ronds Noirs - LOU2018" VDF Rouge</t>
  </si>
  <si>
    <t>carignan, syrah, grenache, merlot</t>
  </si>
  <si>
    <t>ZRS-0451-21</t>
  </si>
  <si>
    <t>"Ronds Noirs" VDF Rouge</t>
  </si>
  <si>
    <t>ZRS-0452-23</t>
  </si>
  <si>
    <t>"Ronds Rouges" VDF Rouge</t>
  </si>
  <si>
    <t>ZRS-0452-22</t>
  </si>
  <si>
    <t>ZRS200324-NV</t>
  </si>
  <si>
    <t>"L'Envolée" VDF Rosé</t>
  </si>
  <si>
    <t>syrah, grenache, cinsault</t>
  </si>
  <si>
    <t>17-0428-NV</t>
  </si>
  <si>
    <t>"VO" VDF Rouge</t>
  </si>
  <si>
    <t>ZRS22-0485-NV</t>
  </si>
  <si>
    <t>"Champ Traversier" VDF Rouge</t>
  </si>
  <si>
    <t>ZRS-2001-NV</t>
  </si>
  <si>
    <t>"Cuvée Speciale - Garde Prolongée" VDF Rouge</t>
  </si>
  <si>
    <t>ZRS-0448-NV</t>
  </si>
  <si>
    <t>"Cuvée Speciale" VDF Rouge</t>
  </si>
  <si>
    <t>19-0301-NV</t>
  </si>
  <si>
    <t>"Déferlante 1" VDF Rouge</t>
  </si>
  <si>
    <t>syrah, carignan, grenache, cinsault</t>
  </si>
  <si>
    <t>19-0715-NV</t>
  </si>
  <si>
    <t>"Déferlante 2" VDF Rosé</t>
  </si>
  <si>
    <t>chenin; syrah, grenache</t>
  </si>
  <si>
    <t>19-1340-NV</t>
  </si>
  <si>
    <t>"Déferlante 3" VDF Rouge</t>
  </si>
  <si>
    <t>chenin; syrah, grenache; ugni blanc, carignan, vermentino</t>
  </si>
  <si>
    <t>ZRS200127-NV</t>
  </si>
  <si>
    <t>"Déferlante Pressée" VDF Rosé</t>
  </si>
  <si>
    <t>ZRS-0450-22</t>
  </si>
  <si>
    <t>"Déferlante Blanche" VDF Blanc</t>
  </si>
  <si>
    <t>chenin blanc, cinsault, ugni blanc</t>
  </si>
  <si>
    <t>ZRS-0786-24</t>
  </si>
  <si>
    <t>"Déferlante Orangée" VDF White</t>
  </si>
  <si>
    <t>skin-contact clairette, direct press cinsault</t>
  </si>
  <si>
    <t>ZRS-0449-23</t>
  </si>
  <si>
    <t>"Déferlante Rouge" VDF Rouge</t>
  </si>
  <si>
    <t>merlot, cinsault, ugni blanc, carignan</t>
  </si>
  <si>
    <t>GARD</t>
  </si>
  <si>
    <t xml:space="preserve">LOLITA (Lolita Sene) 🌱 </t>
  </si>
  <si>
    <t>ZRS-0803-23</t>
  </si>
  <si>
    <t>Bling Bling VDF White</t>
  </si>
  <si>
    <t>Couscous VDF White</t>
  </si>
  <si>
    <t>direct press cinsault</t>
  </si>
  <si>
    <t>ZRS-0353-23</t>
  </si>
  <si>
    <t>"Kiffe Kiffe" VDF Blanc</t>
  </si>
  <si>
    <t>ZRS-1256-23</t>
  </si>
  <si>
    <t>"Dimanche" VDF White</t>
  </si>
  <si>
    <t>chardonnay, grenche blanc, grenache gris</t>
  </si>
  <si>
    <t>ZRS22-0127-21</t>
  </si>
  <si>
    <t>"Far Niente" VDF Blanc</t>
  </si>
  <si>
    <t>grenache noir, grenache gris, clairette rose, clairette blanche, cinsault</t>
  </si>
  <si>
    <t>ZRS-0352-23</t>
  </si>
  <si>
    <t>"Ginger Sushi" VDF Blanc</t>
  </si>
  <si>
    <t>direct press grenache, clairette</t>
  </si>
  <si>
    <t>ZRS200240-20</t>
  </si>
  <si>
    <t>"Mise en Bec" VDF Blanc</t>
  </si>
  <si>
    <t>ZRS22-0126-21</t>
  </si>
  <si>
    <t>"Mise en Bouche" VDF Rouge</t>
  </si>
  <si>
    <t>grenache noir/gris, clairette rose/blanche, cinsault</t>
  </si>
  <si>
    <t>ZRS20-0284-19</t>
  </si>
  <si>
    <t>"Tralala" VDF Rouge</t>
  </si>
  <si>
    <t>syrah (méthode ancestrale)</t>
  </si>
  <si>
    <t>ZRS-0351-23</t>
  </si>
  <si>
    <t>"Couscous" VDF Rouge</t>
  </si>
  <si>
    <t>ZRS-0354-23</t>
  </si>
  <si>
    <t>"Papanapator" VDF Rouge</t>
  </si>
  <si>
    <t>ZRS22-0399-21</t>
  </si>
  <si>
    <t>"Adorable" VDF Rouge</t>
  </si>
  <si>
    <t>ZRS20289-20</t>
  </si>
  <si>
    <t>"150 BPM" VDF Rouge</t>
  </si>
  <si>
    <t>clairette, cinsault, mourvèdre</t>
  </si>
  <si>
    <r>
      <rPr>
        <sz val="14"/>
        <color rgb="FF000000"/>
        <rFont val="Helvetica Neue"/>
        <family val="2"/>
      </rPr>
      <t xml:space="preserve">AD VINUM (Sébastien "Catouille" Chatillon) 🌱- </t>
    </r>
    <r>
      <rPr>
        <i/>
        <sz val="14"/>
        <color rgb="FF000000"/>
        <rFont val="Helvetica Neue"/>
        <family val="2"/>
      </rPr>
      <t>new cuvées!</t>
    </r>
  </si>
  <si>
    <t>18-0258-18</t>
  </si>
  <si>
    <t>"Les Sables" VDF Blanc</t>
  </si>
  <si>
    <t>clairette blanche</t>
  </si>
  <si>
    <t>18-0258M18</t>
  </si>
  <si>
    <t>"Les Sables" VDF Blanc 1.5L</t>
  </si>
  <si>
    <t>ZRS2102-20</t>
  </si>
  <si>
    <t>"Riot" VDF Blanc</t>
  </si>
  <si>
    <t>gewürztraminer (Alsace)</t>
  </si>
  <si>
    <t>was $300</t>
  </si>
  <si>
    <t>ZRS2107-20</t>
  </si>
  <si>
    <t>"Ravaged" VDF Blanc</t>
  </si>
  <si>
    <t>was $294</t>
  </si>
  <si>
    <t>17-0544-18</t>
  </si>
  <si>
    <t>"Levat" VDF Rosé</t>
  </si>
  <si>
    <t>grenache, cinsault, picpoul, grenache blanc, clairette</t>
  </si>
  <si>
    <t>was $246</t>
  </si>
  <si>
    <t>19-0576-18</t>
  </si>
  <si>
    <t>"Cicle" VDF Rosé</t>
  </si>
  <si>
    <t>clairette, cinsault</t>
  </si>
  <si>
    <t>was $318</t>
  </si>
  <si>
    <t>19-0576M18</t>
  </si>
  <si>
    <t>"Cicle" VDF Rosé 1.5L</t>
  </si>
  <si>
    <t>19-0733M18</t>
  </si>
  <si>
    <t>"Ampli" VDF Rosé 1.5L</t>
  </si>
  <si>
    <t>carignan, bourboulenc</t>
  </si>
  <si>
    <t>was $282</t>
  </si>
  <si>
    <t>ZRS-0509-21</t>
  </si>
  <si>
    <t>Hamac VDF Red</t>
  </si>
  <si>
    <t>grenache, carignan, ugni blanc</t>
  </si>
  <si>
    <t>ZRS2106-21</t>
  </si>
  <si>
    <t>"St. Agathe" VDF Rouge</t>
  </si>
  <si>
    <t>ZRS2108-21</t>
  </si>
  <si>
    <t>"Leon" VDF Rouge</t>
  </si>
  <si>
    <t>grenache, syrah, sauvignon blanc</t>
  </si>
  <si>
    <t>ZRS2100-20</t>
  </si>
  <si>
    <t>"Les Amants Maudits" VDF Rouge</t>
  </si>
  <si>
    <t>grenache, ugni blanc, sur lies de gewürztraminer</t>
  </si>
  <si>
    <t>19-0578-18</t>
  </si>
  <si>
    <t>"Verres" VDF Rouge</t>
  </si>
  <si>
    <t>grenache noir/blanc, counnoise, roussanne, bourboulenc, cinsault</t>
  </si>
  <si>
    <t>was $276</t>
  </si>
  <si>
    <t>ZRS2110-NV</t>
  </si>
  <si>
    <t>"La Confidence" VDF Rouge</t>
  </si>
  <si>
    <t>grenache, syrah, ugni blanc, sauvignon blanc</t>
  </si>
  <si>
    <t>19-0578M18</t>
  </si>
  <si>
    <t>"Verres" VDF Red 1.5L</t>
  </si>
  <si>
    <t>g. noir/blanc, counnoise, roussanne, bourboulenc, cinsault</t>
  </si>
  <si>
    <t>ZRS200229-19</t>
  </si>
  <si>
    <t>"A Far l'Amore Cominica Tu" VDF Rouge</t>
  </si>
  <si>
    <t>mourvèdre, ugni blanc from Romain Le Bars; grenache, syrah</t>
  </si>
  <si>
    <t>was $336</t>
  </si>
  <si>
    <t>ZRS22-0212-19</t>
  </si>
  <si>
    <t>"BIM" VDF Rouge</t>
  </si>
  <si>
    <t>ZRS-0511-NV</t>
  </si>
  <si>
    <t>"Volemie" VDF Red</t>
  </si>
  <si>
    <t>ZRS-0510-22</t>
  </si>
  <si>
    <t>"Les Arcs" Rouge VDF Red</t>
  </si>
  <si>
    <t>ZRS-0665-NV</t>
  </si>
  <si>
    <t>"Immaculee" VDF Red</t>
  </si>
  <si>
    <t>pinot noir (Savigny-les-Beaune)</t>
  </si>
  <si>
    <t>11-006-01-19</t>
  </si>
  <si>
    <t>"Blood Farmers" VDF Rouge</t>
  </si>
  <si>
    <t>grenache, mourvèdre, roussanne, d.press carignan</t>
  </si>
  <si>
    <t>ZRS2101-20</t>
  </si>
  <si>
    <t>"Lifeboat" VDF Rouge</t>
  </si>
  <si>
    <t>grenache, syrah, carignan, mourvèdre</t>
  </si>
  <si>
    <t>18-0260-17</t>
  </si>
  <si>
    <t>"Les Sabots" VDF Rouge</t>
  </si>
  <si>
    <t>caladoc, sauvignon blanc</t>
  </si>
  <si>
    <t>ZRS2104-20</t>
  </si>
  <si>
    <t>Les Petits Agités "Petit Agité" VDF Rouge</t>
  </si>
  <si>
    <t>cinsault, marsanne</t>
  </si>
  <si>
    <t>18-0259-17</t>
  </si>
  <si>
    <t>"Marroca" VDF Rouge</t>
  </si>
  <si>
    <t>cinsault, roussanne</t>
  </si>
  <si>
    <t>ZRS2105-20</t>
  </si>
  <si>
    <t>"Fahrenheit" VDF Rouge</t>
  </si>
  <si>
    <t>ZRS200234-19</t>
  </si>
  <si>
    <t>"They Hear About Us" VDF Rouge</t>
  </si>
  <si>
    <t>ZRS200234M19</t>
  </si>
  <si>
    <t>"They Hear About Us" VDF Rouge 1.5L</t>
  </si>
  <si>
    <t>ZRS200230-19</t>
  </si>
  <si>
    <t>"Back On The Streets" VDF Rouge</t>
  </si>
  <si>
    <t>grenache noir, syrah, ugni blanc – from Romain le Bars</t>
  </si>
  <si>
    <t>ZRS2109-20</t>
  </si>
  <si>
    <t>"Falaises" VDF Rouge</t>
  </si>
  <si>
    <t>19-1079J17</t>
  </si>
  <si>
    <t>"Falaises" VDF Rouge JERO</t>
  </si>
  <si>
    <t>5000ml</t>
  </si>
  <si>
    <t>ZRS200232-19</t>
  </si>
  <si>
    <t>"Oursin" VDF Rouge</t>
  </si>
  <si>
    <t>grenache, syrah, cinsault</t>
  </si>
  <si>
    <t>ZRS200235-20</t>
  </si>
  <si>
    <t>"Rock'n Roll Suicide" VDF Rouge</t>
  </si>
  <si>
    <t>pinot blanc &amp; gris, grenache blanc &amp; gris</t>
  </si>
  <si>
    <t>ZRS2103-20</t>
  </si>
  <si>
    <t>"Une cote dans la nuit" VDF Rouge</t>
  </si>
  <si>
    <t>pinot noir (Côte de Nuits)</t>
  </si>
  <si>
    <t>was $492</t>
  </si>
  <si>
    <t>ZRS200233-NV</t>
  </si>
  <si>
    <t>Rancio</t>
  </si>
  <si>
    <t>pinot noir (Burgundy); grenache, cinsault (Tavel); rancio/oxidative</t>
  </si>
  <si>
    <t>ROMAIN LE BARS 🌱</t>
  </si>
  <si>
    <t>ZRS-1029-23</t>
  </si>
  <si>
    <t>Ugni Blanc Petillant Naturel VDF Sparkling</t>
  </si>
  <si>
    <t>ugni blanc</t>
  </si>
  <si>
    <t>ZRS-0550-22</t>
  </si>
  <si>
    <t>Roussanne Petillant Naturel VDF Sparkling</t>
  </si>
  <si>
    <t>roussanne</t>
  </si>
  <si>
    <t>ZRS-0546-23</t>
  </si>
  <si>
    <t>"Le Clau" VDF Blanc</t>
  </si>
  <si>
    <t>ugni blanc, roussanne</t>
  </si>
  <si>
    <t>ZRS22-0027-21</t>
  </si>
  <si>
    <t>"Les Secondaires" VDF Blanc</t>
  </si>
  <si>
    <t>ZRS-0545-23</t>
  </si>
  <si>
    <t>"La Roussanne" VDF Blanc</t>
  </si>
  <si>
    <t>ZRS-1028-23</t>
  </si>
  <si>
    <t>"Homme de la Roche" VDF Rouge</t>
  </si>
  <si>
    <t>ZRS201330-20</t>
  </si>
  <si>
    <t>"A 2 c'est mieux" VDF Rouge</t>
  </si>
  <si>
    <t>cinsault, carignan</t>
  </si>
  <si>
    <t>ZRS-0131-23</t>
  </si>
  <si>
    <t>"Nouveau Nez" VDF Rouge</t>
  </si>
  <si>
    <t>carignan, cinsault, mourvèdre, grenache</t>
  </si>
  <si>
    <t>ZRS-0549-23</t>
  </si>
  <si>
    <t>"Pousse Cailloux" VDF Rouge</t>
  </si>
  <si>
    <t>grenache, syrah, cinsault, ugni blanc</t>
  </si>
  <si>
    <t>ZRS22-0028-20</t>
  </si>
  <si>
    <t>"Les Nuits de Java" VDF Rouge</t>
  </si>
  <si>
    <t>cinsault, grenache, mourvèdre, syrah</t>
  </si>
  <si>
    <t>ZRS-0812-23</t>
  </si>
  <si>
    <t>"Les Vestides" VDF Red</t>
  </si>
  <si>
    <t>ZRS-0551-22</t>
  </si>
  <si>
    <t>Tavel Rosé</t>
  </si>
  <si>
    <t>ZRS-0548-23</t>
  </si>
  <si>
    <t>Lirac Rosé</t>
  </si>
  <si>
    <t>ZRS-0547-22</t>
  </si>
  <si>
    <t>Lirac Rouge</t>
  </si>
  <si>
    <t>grenache, mourvèdre, syrah, cinsault, carignan</t>
  </si>
  <si>
    <t>ZRS-0547-22M</t>
  </si>
  <si>
    <t>Lirac Rouge 1.5L</t>
  </si>
  <si>
    <r>
      <rPr>
        <sz val="14"/>
        <color theme="1"/>
        <rFont val="Helvetica Neue"/>
        <family val="2"/>
      </rPr>
      <t xml:space="preserve">DOMAINE MONT DE MARIE 🌱 - </t>
    </r>
    <r>
      <rPr>
        <i/>
        <sz val="14"/>
        <color theme="1"/>
        <rFont val="Helvetica Neue"/>
        <family val="2"/>
      </rPr>
      <t>new to portfolio!</t>
    </r>
  </si>
  <si>
    <t>ZRS-1238-22</t>
  </si>
  <si>
    <t>"Salve Ager" VDF Red 6pk</t>
  </si>
  <si>
    <t>ZRS-1239-22</t>
  </si>
  <si>
    <t>"Puech Coucou" VDF Red 6pk</t>
  </si>
  <si>
    <t>cinsault, oeillade</t>
  </si>
  <si>
    <t>FIFI-0052-22</t>
  </si>
  <si>
    <t>"Anatheme" VDF Red 6pk</t>
  </si>
  <si>
    <t>aramon, grenache, cinsault, carignan</t>
  </si>
  <si>
    <t>DOMAINE LA FERME DES MAGESSES 🌱</t>
  </si>
  <si>
    <t>ZRS-0263-21</t>
  </si>
  <si>
    <t>"Jeu de Billes" VDF White 6pk</t>
  </si>
  <si>
    <t>clairette rose</t>
  </si>
  <si>
    <t>ZRS-0262-21</t>
  </si>
  <si>
    <t>"Invisible Love" VDF White 6pk</t>
  </si>
  <si>
    <t>cinsault (blanc de noir)</t>
  </si>
  <si>
    <t>ZRS-0264-21</t>
  </si>
  <si>
    <t>"L`Envol" VDF Rosé 6pk</t>
  </si>
  <si>
    <t>ZRS-0261-21</t>
  </si>
  <si>
    <t>"Campeye" VDF Red 6pk</t>
  </si>
  <si>
    <t>cinsault, mourvèdre, grenache blanc</t>
  </si>
  <si>
    <t>ZRS-0265-21</t>
  </si>
  <si>
    <t>"L`Outsider" VDF Red 6pk</t>
  </si>
  <si>
    <t>ZRS-0267-21</t>
  </si>
  <si>
    <t>"Caminito" VDF Red 6pk</t>
  </si>
  <si>
    <t>mourvèdre, syrah, clairette rose</t>
  </si>
  <si>
    <t>ZRS-0266-20</t>
  </si>
  <si>
    <t>"Passiflore" VDF Red 6pk</t>
  </si>
  <si>
    <t>mourvèdre, cinsault</t>
  </si>
  <si>
    <t>BANDOL</t>
  </si>
  <si>
    <t>CHATEAU SAINTE ANNE 🌱</t>
  </si>
  <si>
    <t>ZRS-0576-22</t>
  </si>
  <si>
    <t>Côtes de Provence White</t>
  </si>
  <si>
    <t>clairette, ugni blanc</t>
  </si>
  <si>
    <t>ZRS-0575-22</t>
  </si>
  <si>
    <t>Côtes de Provence Rosé</t>
  </si>
  <si>
    <t>mourvèdre, cinsault, grenache</t>
  </si>
  <si>
    <t>ZRS-0313-22</t>
  </si>
  <si>
    <t>Côtes de Provence Rouge</t>
  </si>
  <si>
    <t>ZRS-0555-23</t>
  </si>
  <si>
    <t>Bandol Blanc</t>
  </si>
  <si>
    <t>ugni blanc, clairette</t>
  </si>
  <si>
    <t>ZRS-0312-22</t>
  </si>
  <si>
    <t>Bandol Rosé</t>
  </si>
  <si>
    <t>cinsault, grenache, mourvèdre</t>
  </si>
  <si>
    <t>ZRS-0311-98</t>
  </si>
  <si>
    <t>Bandol Rouge</t>
  </si>
  <si>
    <t>ZRS-0311-00</t>
  </si>
  <si>
    <t>ZRS-0311-07</t>
  </si>
  <si>
    <t>ZRS-0311-12</t>
  </si>
  <si>
    <t>ZRS-0311-18</t>
  </si>
  <si>
    <t>ZRS-0311-20</t>
  </si>
  <si>
    <t>19-0272-16</t>
  </si>
  <si>
    <t>"Cuvée Collection" Bandol Rouge</t>
  </si>
  <si>
    <t>RHONE</t>
  </si>
  <si>
    <r>
      <rPr>
        <sz val="14"/>
        <color rgb="FF000000"/>
        <rFont val="Helvetica Neue"/>
        <family val="2"/>
      </rPr>
      <t xml:space="preserve">DOMAINE LATTARD 🌱 - </t>
    </r>
    <r>
      <rPr>
        <i/>
        <sz val="14"/>
        <color rgb="FF000000"/>
        <rFont val="Helvetica Neue"/>
        <family val="2"/>
      </rPr>
      <t>new vintages!</t>
    </r>
  </si>
  <si>
    <t>ZRS-0877-23</t>
  </si>
  <si>
    <t>VDF Roussanne</t>
  </si>
  <si>
    <t>ZRS-0878-23</t>
  </si>
  <si>
    <t>VDF Viognier</t>
  </si>
  <si>
    <t>ZRS-0879-22</t>
  </si>
  <si>
    <t>VDF Syrah Rosé</t>
  </si>
  <si>
    <t>ZRS-0374-22</t>
  </si>
  <si>
    <t>VDF Gamay</t>
  </si>
  <si>
    <t>ZRS-0876-23</t>
  </si>
  <si>
    <t>VDF Syrah</t>
  </si>
  <si>
    <t>DOMAINE DE LA ROCHE BUISSIERE (Antoine &amp; Laurence Joly, Faucon) 🌱</t>
  </si>
  <si>
    <t>ZRS-2205-NV</t>
  </si>
  <si>
    <t>"Le Rosé" Côtes du Rhône Rosé</t>
  </si>
  <si>
    <t>ZRS-2206-23</t>
  </si>
  <si>
    <t>"O La Belle Vie VDF Red"</t>
  </si>
  <si>
    <t>ZRS-0586-22</t>
  </si>
  <si>
    <t>"Petit Jo" VDF Rouge</t>
  </si>
  <si>
    <t>was $120</t>
  </si>
  <si>
    <t>ZRS-0587-22</t>
  </si>
  <si>
    <t>"Petite Jeanne" Côtes du Rhône Rouge</t>
  </si>
  <si>
    <t>ZR-RB-02-21</t>
  </si>
  <si>
    <t>"Prémices" Côtes du Rhône Rouge</t>
  </si>
  <si>
    <t>grenache, syrah (carbonic)</t>
  </si>
  <si>
    <t>was $144</t>
  </si>
  <si>
    <t>ZRS-0588-22</t>
  </si>
  <si>
    <t>ZR-RB-03-20</t>
  </si>
  <si>
    <t>"Flonflons" Côtes du Rhône Rouge</t>
  </si>
  <si>
    <t>was $156</t>
  </si>
  <si>
    <t>ZRS-0590-21</t>
  </si>
  <si>
    <t>19-0872-19</t>
  </si>
  <si>
    <t>"Le Claux" Côtes du Rhône Rouge</t>
  </si>
  <si>
    <t>ZRS-0591-20</t>
  </si>
  <si>
    <t>"Gaïa" Côtes du Rhône Rouge</t>
  </si>
  <si>
    <r>
      <rPr>
        <sz val="14"/>
        <color rgb="FF000000"/>
        <rFont val="Helvetica Neue"/>
        <family val="2"/>
      </rPr>
      <t xml:space="preserve">CLOS DES MOURRES (Cairanne) 🌱 - </t>
    </r>
    <r>
      <rPr>
        <i/>
        <sz val="14"/>
        <color rgb="FF000000"/>
        <rFont val="Helvetica Neue"/>
        <family val="2"/>
      </rPr>
      <t>new to portfolio!</t>
    </r>
  </si>
  <si>
    <t>ZRS-1356-24</t>
  </si>
  <si>
    <t>"Pompette" VDF White</t>
  </si>
  <si>
    <t>grenache blanc, clairette, bourboulenc</t>
  </si>
  <si>
    <t>ZRS-1357-24</t>
  </si>
  <si>
    <t>"Pompette" VDF Rosé</t>
  </si>
  <si>
    <t>caladoc - cross between malbec &amp; grenache</t>
  </si>
  <si>
    <t>ZRS-1355-23</t>
  </si>
  <si>
    <t>"Pompette" VDF Red</t>
  </si>
  <si>
    <t>aubun, counoise, cinsault, tempranillo</t>
  </si>
  <si>
    <t>FIFI-0102-22</t>
  </si>
  <si>
    <t>"A Table!" VDF Red</t>
  </si>
  <si>
    <t>FIFI-0072-21</t>
  </si>
  <si>
    <t>"Rosy" VDF Red</t>
  </si>
  <si>
    <t>grenache blanc, grenache rouge</t>
  </si>
  <si>
    <t>FIFI-0103-21</t>
  </si>
  <si>
    <t>"NoVice" Cotes du Rhone Red</t>
  </si>
  <si>
    <t>grenache, mourvèdre, syrah</t>
  </si>
  <si>
    <t>FIFI-0104-21</t>
  </si>
  <si>
    <t>Adessias Cairanne Red</t>
  </si>
  <si>
    <r>
      <rPr>
        <sz val="14"/>
        <color rgb="FF000000"/>
        <rFont val="Helvetica Neue"/>
        <family val="2"/>
      </rPr>
      <t xml:space="preserve">MAS MELLET (Costières des Nîmes) 🌱 - </t>
    </r>
    <r>
      <rPr>
        <i/>
        <sz val="14"/>
        <color rgb="FF000000"/>
        <rFont val="Helvetica Neue"/>
        <family val="2"/>
      </rPr>
      <t>new to portfolio!</t>
    </r>
  </si>
  <si>
    <t xml:space="preserve">ZRS-1037-23    </t>
  </si>
  <si>
    <t>"Le B" VDF White</t>
  </si>
  <si>
    <t>roussanne, vermentino, grenache blanc, viognier</t>
  </si>
  <si>
    <t>ZRS-1038-23</t>
  </si>
  <si>
    <t>"Fleur des Salines" VDF White</t>
  </si>
  <si>
    <t xml:space="preserve">ZRS-1039-23    </t>
  </si>
  <si>
    <t>"La Maceration des Salines" VDF White</t>
  </si>
  <si>
    <t>skin-contact vermentino</t>
  </si>
  <si>
    <t>ZRS-1040-23</t>
  </si>
  <si>
    <t>"Lily Rose" VDF Rosé</t>
  </si>
  <si>
    <t xml:space="preserve">ZRS-1041-23    </t>
  </si>
  <si>
    <t>"La Soif des Salines" VDF Rosé</t>
  </si>
  <si>
    <t>aramon, cinsault</t>
  </si>
  <si>
    <t>ZRS-1035-23</t>
  </si>
  <si>
    <t>"Les Salines" VDF Rosé</t>
  </si>
  <si>
    <t>ZRS-1034-23</t>
  </si>
  <si>
    <t>"Pari Finesse" Costieres des Nimes Red</t>
  </si>
  <si>
    <t>grenache, syrah, carignan</t>
  </si>
  <si>
    <t>ZRS-1036-23</t>
  </si>
  <si>
    <t>"Le Chemin des Salines" VDF Red</t>
  </si>
  <si>
    <t>ZRS-1042-23</t>
  </si>
  <si>
    <t>"L`Ame des Salines" VDF Red</t>
  </si>
  <si>
    <t>ZRS-1043-21</t>
  </si>
  <si>
    <t>"Camille 1946" VDF Red</t>
  </si>
  <si>
    <t>SAVOIE</t>
  </si>
  <si>
    <r>
      <rPr>
        <sz val="14"/>
        <color rgb="FF000000"/>
        <rFont val="Helvetica Neue"/>
        <family val="2"/>
      </rPr>
      <t xml:space="preserve">JEAN-YVES PERON (some vineyards in Piedmont, Italy) 🌱🐂 - </t>
    </r>
    <r>
      <rPr>
        <i/>
        <sz val="14"/>
        <color rgb="FF000000"/>
        <rFont val="Helvetica Neue"/>
        <family val="2"/>
      </rPr>
      <t>new vintages!</t>
    </r>
  </si>
  <si>
    <t>ZRS-1276-NV</t>
  </si>
  <si>
    <t>"Poire de la Combe d'Ire" Sparkling Cider</t>
  </si>
  <si>
    <t>pear cider</t>
  </si>
  <si>
    <t>ZRS-0720-22</t>
  </si>
  <si>
    <t>"La Petite Robe" VDF Blanc</t>
  </si>
  <si>
    <t>jacquère</t>
  </si>
  <si>
    <t>ZRS-0720-21</t>
  </si>
  <si>
    <t>ZRS-0719-22</t>
  </si>
  <si>
    <t>"Les Œillets" VDF Blanc</t>
  </si>
  <si>
    <t>ZRS-1271-22</t>
  </si>
  <si>
    <t>"Les Œillets Amphore" VDF Blanc</t>
  </si>
  <si>
    <t>ZRS-0740-22</t>
  </si>
  <si>
    <t>"Pierra Menta" VDF White</t>
  </si>
  <si>
    <t>gringet</t>
  </si>
  <si>
    <t>ZRS-1270-22</t>
  </si>
  <si>
    <t>"Côtillon des dames" VDF Blanc</t>
  </si>
  <si>
    <t>jacquère, altesse</t>
  </si>
  <si>
    <t>ZRS-0738-20</t>
  </si>
  <si>
    <t>"Côtillon des dames" Reserve VDF Blanc</t>
  </si>
  <si>
    <t>ZRS-1272-22</t>
  </si>
  <si>
    <t>"Les Vignes du Cheney" VDF White</t>
  </si>
  <si>
    <t>altesse, chardonnay, gewurztraminer, cinsault mondeuse</t>
  </si>
  <si>
    <t>ZRS-0716-22</t>
  </si>
  <si>
    <t>"La Tour Sarazine" VDF Blanc</t>
  </si>
  <si>
    <t>jacquère, muscat</t>
  </si>
  <si>
    <t>ZRS-0727-22</t>
  </si>
  <si>
    <t>"Les Barrieux" VDF Blanc</t>
  </si>
  <si>
    <t>roussanne, jacquère</t>
  </si>
  <si>
    <t>ZRS-0718-22</t>
  </si>
  <si>
    <t>"Le Grande Journée" VDF Blanc</t>
  </si>
  <si>
    <t>altesse</t>
  </si>
  <si>
    <t>ZRS-0721-22M</t>
  </si>
  <si>
    <t>"Vin de Lies" VDF Blanc MAGNUMS</t>
  </si>
  <si>
    <t>jacquère, altesse, roussanne, muscat, favorita, cortese</t>
  </si>
  <si>
    <t>ZRS-1275-22</t>
  </si>
  <si>
    <t>"Le Pache" VDF Red</t>
  </si>
  <si>
    <t>mondeuse</t>
  </si>
  <si>
    <t>ZRS-1274-22</t>
  </si>
  <si>
    <t>"Vers la Maison" VDF Rouge</t>
  </si>
  <si>
    <t>ZRS-0725-22</t>
  </si>
  <si>
    <t>"Champs Levat" VDF Rouge</t>
  </si>
  <si>
    <t>14-0257-18</t>
  </si>
  <si>
    <t>"Le Pas de l'Ours" VDF Rouge</t>
  </si>
  <si>
    <t>ZRS-0728-19</t>
  </si>
  <si>
    <t>"Côte Pelée" VDF Rouge</t>
  </si>
  <si>
    <t>18-0861-16</t>
  </si>
  <si>
    <t>"Voisins" VDF Blanc</t>
  </si>
  <si>
    <t>riesling</t>
  </si>
  <si>
    <t>18-0864-16</t>
  </si>
  <si>
    <t>"Voisins" VDF Rouge</t>
  </si>
  <si>
    <t>carignan, cabernet sauvignon</t>
  </si>
  <si>
    <t>18-0862-16</t>
  </si>
  <si>
    <t>"Voisins Maceration" VDF Rouge</t>
  </si>
  <si>
    <t>ZRS-0713-22</t>
  </si>
  <si>
    <t>"I Vicini Favorita" Vin CEE Blanc</t>
  </si>
  <si>
    <t>favorita</t>
  </si>
  <si>
    <t>ZRS-0715-22</t>
  </si>
  <si>
    <t>"I Vicini Cortese" Vin CEE Blanc</t>
  </si>
  <si>
    <t>cortese</t>
  </si>
  <si>
    <t>ZRS-0714-22</t>
  </si>
  <si>
    <t>"I Vicini Moscato" Vin CEE Blanc</t>
  </si>
  <si>
    <t>moscato</t>
  </si>
  <si>
    <t>19-0690-17</t>
  </si>
  <si>
    <t>"I Vicini Mosc. Maceration" Vin CEE Blanc</t>
  </si>
  <si>
    <t>ZRS392-18</t>
  </si>
  <si>
    <t>"I Vicini Pinot Nero" Vin CEE Rouge</t>
  </si>
  <si>
    <t>pinot Nero</t>
  </si>
  <si>
    <t>ZRS-1273-22</t>
  </si>
  <si>
    <t>"Casa Rossa" VDF Red</t>
  </si>
  <si>
    <t>grignolino, freisa, barbera</t>
  </si>
  <si>
    <t>ZRS-0723-22</t>
  </si>
  <si>
    <t>"I Vicini Barbera" Vin CEE Rouge</t>
  </si>
  <si>
    <t>barbera</t>
  </si>
  <si>
    <t>ZRS-0743-NV</t>
  </si>
  <si>
    <t>"I Vicini Reserve" Vin CEE Rouge</t>
  </si>
  <si>
    <t>barbera, pinot noir</t>
  </si>
  <si>
    <t>ZRS200201-19</t>
  </si>
  <si>
    <t>"I Vicini Grignolino" Vin CEE Rouge</t>
  </si>
  <si>
    <t>grignolino</t>
  </si>
  <si>
    <r>
      <rPr>
        <sz val="14"/>
        <color rgb="FF000000"/>
        <rFont val="Helvetica Neue"/>
        <family val="2"/>
      </rPr>
      <t xml:space="preserve">AXEL DOMONT 🌱🐂 - </t>
    </r>
    <r>
      <rPr>
        <i/>
        <sz val="14"/>
        <color rgb="FF000000"/>
        <rFont val="Helvetica Neue"/>
        <family val="2"/>
      </rPr>
      <t xml:space="preserve"> new vintages!</t>
    </r>
  </si>
  <si>
    <t>ZRS-0155-23</t>
  </si>
  <si>
    <t>"Jardin Secret" VDF White</t>
  </si>
  <si>
    <t>"Kilometre 0" VDF Blanc</t>
  </si>
  <si>
    <t>ZRS-0153-22</t>
  </si>
  <si>
    <t>"Chien d`Arret" VDF Blanc</t>
  </si>
  <si>
    <t>ZRS-1325-22</t>
  </si>
  <si>
    <t>"Eterlou" VDF White</t>
  </si>
  <si>
    <t>ZRS-0154-23</t>
  </si>
  <si>
    <t>"Flamme Rouge" VDF Rouge</t>
  </si>
  <si>
    <t>mondeuse, pinot noir, gamay</t>
  </si>
  <si>
    <t>ZRS-0156-21</t>
  </si>
  <si>
    <t>"Rencontres" VDF Rouge</t>
  </si>
  <si>
    <r>
      <rPr>
        <sz val="14"/>
        <color rgb="FF000000"/>
        <rFont val="Helvetica Neue"/>
        <family val="2"/>
      </rPr>
      <t xml:space="preserve">LES CORTIS 🌱 - </t>
    </r>
    <r>
      <rPr>
        <i/>
        <sz val="14"/>
        <color rgb="FF000000"/>
        <rFont val="Helvetica Neue"/>
        <family val="2"/>
      </rPr>
      <t>new vintages!</t>
    </r>
  </si>
  <si>
    <t>ZRS-1393-24</t>
  </si>
  <si>
    <t>"Astrome" VDF White</t>
  </si>
  <si>
    <t>chardonnay, altesse</t>
  </si>
  <si>
    <t>ZRS-1392-24</t>
  </si>
  <si>
    <t>"Obuscule" VDF Red</t>
  </si>
  <si>
    <t>gamay, chardonnay, pinot noir</t>
  </si>
  <si>
    <t>ZRS-1229-23</t>
  </si>
  <si>
    <t>"Naxide" VDF White</t>
  </si>
  <si>
    <t>ZRS-1023-23</t>
  </si>
  <si>
    <t>"Teraxe" VDF White</t>
  </si>
  <si>
    <t>skin contact altesse, chardonnay</t>
  </si>
  <si>
    <t>ZRS-1022-23</t>
  </si>
  <si>
    <t>"Gastine" VDF Rosé</t>
  </si>
  <si>
    <t>gamay, chardonnay</t>
  </si>
  <si>
    <t>ZRS-1230-23</t>
  </si>
  <si>
    <t>"Uzée" VDF Red</t>
  </si>
  <si>
    <t>gamay, mondeuse</t>
  </si>
  <si>
    <t>FIFI-0101-22</t>
  </si>
  <si>
    <t>"Brisure" VDF Red</t>
  </si>
  <si>
    <t>altesse, gamay</t>
  </si>
  <si>
    <t>BUGEY</t>
  </si>
  <si>
    <r>
      <rPr>
        <sz val="14"/>
        <color theme="1"/>
        <rFont val="Helvetica Neue"/>
        <family val="2"/>
      </rPr>
      <t xml:space="preserve">TAILLEURS CUEILLEURS (Chloé Bey &amp; Jordan d'Osualdo) 🐂 - </t>
    </r>
    <r>
      <rPr>
        <i/>
        <sz val="14"/>
        <color theme="1"/>
        <rFont val="Helvetica Neue"/>
        <family val="2"/>
      </rPr>
      <t>new vintages!</t>
    </r>
  </si>
  <si>
    <t>ZRS-0170-22</t>
  </si>
  <si>
    <t>Sarvazo VDF Pét-Nat Rosé</t>
  </si>
  <si>
    <t>ZRS-0168-21</t>
  </si>
  <si>
    <t>Nua VDF White</t>
  </si>
  <si>
    <t>ZRS-0166-21</t>
  </si>
  <si>
    <t>Lyëna VDF White</t>
  </si>
  <si>
    <t>ZRS-0166-21M</t>
  </si>
  <si>
    <t>Lyëna VDF White 1.5L</t>
  </si>
  <si>
    <t>ZRS-0164-22</t>
  </si>
  <si>
    <t>Grenalâ VDF Red</t>
  </si>
  <si>
    <t>ZRS-0164-21</t>
  </si>
  <si>
    <t>Grenalâ VDF Red 1.5L</t>
  </si>
  <si>
    <t>ZRS-0169-22</t>
  </si>
  <si>
    <t>Rita &amp; Rova VDF Red</t>
  </si>
  <si>
    <t>ZRS-0169-21</t>
  </si>
  <si>
    <t>ZRS-0169-22M</t>
  </si>
  <si>
    <t>Rita &amp; Rova VDF Red 1.5L</t>
  </si>
  <si>
    <t>ZRS-0165-22</t>
  </si>
  <si>
    <t>Kovè VDF Red</t>
  </si>
  <si>
    <t>ZRS-0165-21</t>
  </si>
  <si>
    <t>ZRS-0165-22M</t>
  </si>
  <si>
    <t>Kovè VDF Red 1.5L</t>
  </si>
  <si>
    <t>ZRS-0167-21</t>
  </si>
  <si>
    <t>Novêra VDF Red</t>
  </si>
  <si>
    <t>ZRS-0167-21M</t>
  </si>
  <si>
    <t>Novêra VDF Red 1.5L</t>
  </si>
  <si>
    <t>ZRS-0163-22</t>
  </si>
  <si>
    <t>A L`Abada VDF Red</t>
  </si>
  <si>
    <t>gamay, gamay fréaux</t>
  </si>
  <si>
    <t>ZRS-0163-22M</t>
  </si>
  <si>
    <t>A L`Abada VDF Red 1.5L</t>
  </si>
  <si>
    <r>
      <rPr>
        <sz val="14"/>
        <color rgb="FF000000"/>
        <rFont val="Helvetica Neue"/>
        <family val="2"/>
      </rPr>
      <t xml:space="preserve">CHATEAU DES ECLAZ 🌱 - </t>
    </r>
    <r>
      <rPr>
        <i/>
        <sz val="14"/>
        <color rgb="FF000000"/>
        <rFont val="Helvetica Neue"/>
        <family val="2"/>
      </rPr>
      <t xml:space="preserve"> new vintages!</t>
    </r>
  </si>
  <si>
    <t>ZRS-1380-23</t>
  </si>
  <si>
    <t>"Perle Des Eclaz" VDF Sparkling</t>
  </si>
  <si>
    <t>ZRS-0554-23</t>
  </si>
  <si>
    <t>"Cuvée Fleurus" Bugey Blanc</t>
  </si>
  <si>
    <t>ZRS-1382-23</t>
  </si>
  <si>
    <t>Chardonnay Cru Manicle Bugey White</t>
  </si>
  <si>
    <t>ZRS-1379-22</t>
  </si>
  <si>
    <t>"Cuvée Hohenlinden" Cru Manicle Bugey Blanc</t>
  </si>
  <si>
    <t>ZRS-1381-23</t>
  </si>
  <si>
    <t>Pinot Noir Bugey Red</t>
  </si>
  <si>
    <t>ZRS-1381-23M</t>
  </si>
  <si>
    <t>Pinot Noir Bugey Red 1.5L</t>
  </si>
  <si>
    <t>JURA</t>
  </si>
  <si>
    <t>BRUYERE &amp; HOUILLON 🐂</t>
  </si>
  <si>
    <t>limited availability</t>
  </si>
  <si>
    <t>DOMAINE DES MIROIRS 🌱</t>
  </si>
  <si>
    <t>DOMAINE DE L’OCTAVIN (Alice Bouvet, Arbois) 🌱🐂</t>
  </si>
  <si>
    <t>11-1206-NV</t>
  </si>
  <si>
    <t>"Foutre d'Escampette" Blanc</t>
  </si>
  <si>
    <t>inquire</t>
  </si>
  <si>
    <t>ZRS11-0791-19</t>
  </si>
  <si>
    <t>"Corvées de Trousseau" Rouge</t>
  </si>
  <si>
    <t>trousseau</t>
  </si>
  <si>
    <t>ZRS-0616-21</t>
  </si>
  <si>
    <t>"P'tit Poussot" Blanc</t>
  </si>
  <si>
    <t>11-0793-18</t>
  </si>
  <si>
    <t>"Pamina" Blanc</t>
  </si>
  <si>
    <t>ZRS-0621-21</t>
  </si>
  <si>
    <t>"Dorabella" Rouge</t>
  </si>
  <si>
    <t>poulsard</t>
  </si>
  <si>
    <t>12-0784-16</t>
  </si>
  <si>
    <t>Cul Rond Cuisse Arbois Blanc</t>
  </si>
  <si>
    <t>trousseau blanc</t>
  </si>
  <si>
    <t>13-0627-07</t>
  </si>
  <si>
    <t>Cherubin Blanc Vin Jaune</t>
  </si>
  <si>
    <t>13-0628-18</t>
  </si>
  <si>
    <t>"Commendatore" Rouge</t>
  </si>
  <si>
    <t>13-0630-13</t>
  </si>
  <si>
    <t>"Zest de Savagnin" Blanc</t>
  </si>
  <si>
    <t>savagnin</t>
  </si>
  <si>
    <t>13-0962-15</t>
  </si>
  <si>
    <t>ULM Rouge</t>
  </si>
  <si>
    <t>15-0728-17</t>
  </si>
  <si>
    <t>Brutal Rouge</t>
  </si>
  <si>
    <t>15-0786-14</t>
  </si>
  <si>
    <t>Chez Andre</t>
  </si>
  <si>
    <t>15-0832-14</t>
  </si>
  <si>
    <t>Brutal Blanc</t>
  </si>
  <si>
    <t>19-0705-19</t>
  </si>
  <si>
    <t>"Betty Bulles" VDF Pet-Nat Blanc</t>
  </si>
  <si>
    <t>chardonnay, molette, muscat, sylvaner</t>
  </si>
  <si>
    <t>16-0651-18</t>
  </si>
  <si>
    <t>"Betty Bulles" Pet-Nat Rosé</t>
  </si>
  <si>
    <t>16-0652-16</t>
  </si>
  <si>
    <t>"Charlot" VDF Rouge</t>
  </si>
  <si>
    <t>chardonnay, merlot</t>
  </si>
  <si>
    <t>16-0653-17</t>
  </si>
  <si>
    <t>"Charmay" VDF Rouge</t>
  </si>
  <si>
    <t>chardonnay,gamay</t>
  </si>
  <si>
    <t>16-0654-17</t>
  </si>
  <si>
    <t>"Mayga" VDF Rouge</t>
  </si>
  <si>
    <t>16-0655-18</t>
  </si>
  <si>
    <t>"Potion Magique" Rouge</t>
  </si>
  <si>
    <t>chardonnay, savagnin, poulsard</t>
  </si>
  <si>
    <t>16-0764-15</t>
  </si>
  <si>
    <t>"Tour de France"</t>
  </si>
  <si>
    <t>all of the above</t>
  </si>
  <si>
    <t>16-0669-16</t>
  </si>
  <si>
    <t>Amphore Rouge</t>
  </si>
  <si>
    <t>ZRS-0618-22</t>
  </si>
  <si>
    <t>"Ganache" VDF Rouge</t>
  </si>
  <si>
    <t>grenache ,gamay</t>
  </si>
  <si>
    <t>17-0675-16</t>
  </si>
  <si>
    <t>"Mont d'Alicante" VDF Rouge</t>
  </si>
  <si>
    <t>alicante (Carcassonne), mondeuse (Savoie)</t>
  </si>
  <si>
    <t>17-0679-18</t>
  </si>
  <si>
    <t>"Zerlina" VDF Rouge</t>
  </si>
  <si>
    <t>pinot noir, trousseau</t>
  </si>
  <si>
    <t>ZRS17-0712-17</t>
  </si>
  <si>
    <t>"Reine de la Nuit" VDF Blanc</t>
  </si>
  <si>
    <t>chardonnay, savagnin</t>
  </si>
  <si>
    <t>15-0856-16</t>
  </si>
  <si>
    <t>"Chez Jean Marc" VDF Rouge</t>
  </si>
  <si>
    <t>17-0857-14</t>
  </si>
  <si>
    <t>"Chez Fabien" VDF Rouge</t>
  </si>
  <si>
    <t>grenache, chardonnay</t>
  </si>
  <si>
    <t>ZRS-0620-21</t>
  </si>
  <si>
    <t>"Elle Aime" VDF Rouge</t>
  </si>
  <si>
    <t>17-1022-17</t>
  </si>
  <si>
    <t>"Grenabar" VDF Rouge</t>
  </si>
  <si>
    <t>grenache, colombard</t>
  </si>
  <si>
    <t>ZRS-0623-21</t>
  </si>
  <si>
    <t>"Cariboom!" VDF Rouge</t>
  </si>
  <si>
    <t>ZRS-0114-21</t>
  </si>
  <si>
    <t>"Ivre de Vivre" VDF Blanc</t>
  </si>
  <si>
    <t>ZRS200337-19</t>
  </si>
  <si>
    <t>"Sly Vin" VDF Blanc</t>
  </si>
  <si>
    <t>sylvaner</t>
  </si>
  <si>
    <t>ZRS200221-20</t>
  </si>
  <si>
    <t>"Clé à Molette" VDF Blanc</t>
  </si>
  <si>
    <t>molette (Bugey)</t>
  </si>
  <si>
    <t>ZRS-0115-22</t>
  </si>
  <si>
    <t>"Mus'cat" VDF Blanc</t>
  </si>
  <si>
    <t>muscat</t>
  </si>
  <si>
    <t>19-0454-17</t>
  </si>
  <si>
    <t>"Raph'Noël" VDF Rouge</t>
  </si>
  <si>
    <t>ZRS-0613-21</t>
  </si>
  <si>
    <t>"Le Roi des Cepages" VDF Blanc</t>
  </si>
  <si>
    <t>ZRS-0112-20</t>
  </si>
  <si>
    <t>"Hip Hip J" VDF Chardonnay</t>
  </si>
  <si>
    <t>ZRS-0619-18</t>
  </si>
  <si>
    <t>"Hip Hip J" VDF Poulsard</t>
  </si>
  <si>
    <t>ZRS-0113-20</t>
  </si>
  <si>
    <t>"Hip Hip J" VDF Savagnin</t>
  </si>
  <si>
    <t>ZRS-0624-21</t>
  </si>
  <si>
    <t>"Joker" Jacquere Macerée VDF Blanc</t>
  </si>
  <si>
    <t>ZRS-0614-21</t>
  </si>
  <si>
    <t>"Cigogne" VDF Gewurztraminer</t>
  </si>
  <si>
    <t>gewürztraminer</t>
  </si>
  <si>
    <t>ZRS-0615-21</t>
  </si>
  <si>
    <t>"Cigogne" VDF Rosé</t>
  </si>
  <si>
    <t>gewürztraminer, pinot gris</t>
  </si>
  <si>
    <t>KARNAGE (STEPHANE PLANCHE &amp; CHARLES DAGAND) 🌱</t>
  </si>
  <si>
    <t>ZR-KA-03-20</t>
  </si>
  <si>
    <t>Guy Rouk VDF White</t>
  </si>
  <si>
    <t>auxerrois</t>
  </si>
  <si>
    <t>ZR-KA-04-20</t>
  </si>
  <si>
    <t>Zak VDF White</t>
  </si>
  <si>
    <t>mauzac</t>
  </si>
  <si>
    <t>ZR-KA-01-21</t>
  </si>
  <si>
    <t>Greska VDF White</t>
  </si>
  <si>
    <t>grenache blanc, muscat d'alexandria</t>
  </si>
  <si>
    <t>ZR-KA-07-20</t>
  </si>
  <si>
    <t>Kolombour VDF White</t>
  </si>
  <si>
    <t>colombard, bourboulenc</t>
  </si>
  <si>
    <t>ZR-KA-02-21</t>
  </si>
  <si>
    <t>Kube VDF Rose</t>
  </si>
  <si>
    <t>grenache blanc, grenache gris, grenache noir</t>
  </si>
  <si>
    <t>ZR-KA-05-20</t>
  </si>
  <si>
    <t>Kassette B VDF Red</t>
  </si>
  <si>
    <t>alicante bouchet, merlot</t>
  </si>
  <si>
    <t>ZR-KA-06-18</t>
  </si>
  <si>
    <t>Wouj2 VDF Red</t>
  </si>
  <si>
    <r>
      <rPr>
        <sz val="14"/>
        <color rgb="FF000000"/>
        <rFont val="Helvetica Neue"/>
        <family val="2"/>
      </rPr>
      <t xml:space="preserve">DOMAINE DE LA PINTE 🐂 - </t>
    </r>
    <r>
      <rPr>
        <i/>
        <sz val="14"/>
        <color rgb="FF000000"/>
        <rFont val="Helvetica Neue"/>
        <family val="2"/>
      </rPr>
      <t>new vintages!</t>
    </r>
  </si>
  <si>
    <t>ZRS-0406-22</t>
  </si>
  <si>
    <t>Arbois Chardonnay</t>
  </si>
  <si>
    <t>ZRS-0408-20</t>
  </si>
  <si>
    <t>"Fonteneille" Arbois Chardonnay</t>
  </si>
  <si>
    <t>ZRS-1289-22</t>
  </si>
  <si>
    <t>Melon a Queue Rouge Arbois Pupillin White</t>
  </si>
  <si>
    <t>melon à queue rouge (chardonnay)</t>
  </si>
  <si>
    <t>ZRS-1289-22M</t>
  </si>
  <si>
    <t>Melon a Queue Rouge Arbois Pupillin White MAGNUMS</t>
  </si>
  <si>
    <t>ZRS-0411-20</t>
  </si>
  <si>
    <t>Savagnin Ouille Arbois White</t>
  </si>
  <si>
    <t>ZRS-0411-20M</t>
  </si>
  <si>
    <t>Savagnin Ouille Arbois White MAGNUMS</t>
  </si>
  <si>
    <t>ZRS-0411-18</t>
  </si>
  <si>
    <t>Savagnin Ouille 60 Mois Arbois White</t>
  </si>
  <si>
    <t>ZRS-1166-23</t>
  </si>
  <si>
    <t>"Sav'Or" VDF Blanc</t>
  </si>
  <si>
    <t>skin-contact savagnin</t>
  </si>
  <si>
    <t>ZRS-0407-NV</t>
  </si>
  <si>
    <t>"Cuvée d'Automne" Arbois Blanc</t>
  </si>
  <si>
    <t>ZRS-0410-23</t>
  </si>
  <si>
    <t>"Pinte Bien" Arbois Rouge</t>
  </si>
  <si>
    <t>ZRS-0409-22</t>
  </si>
  <si>
    <t>"La Capitaine" Arbois Rouge</t>
  </si>
  <si>
    <t>pinot noir, poulsard</t>
  </si>
  <si>
    <t>ZRS-0409-22M</t>
  </si>
  <si>
    <t>"La Capitaine" Arbois Rouge MAGNUMS</t>
  </si>
  <si>
    <t>18-0548-18</t>
  </si>
  <si>
    <t>"l'Ami Karl" Arbois Rouge</t>
  </si>
  <si>
    <t>18-0380-14</t>
  </si>
  <si>
    <t>Arbois Pinot Noir</t>
  </si>
  <si>
    <t>18-0380M15</t>
  </si>
  <si>
    <t>Arbois Pinot Noir 1.5L</t>
  </si>
  <si>
    <t>ZRS-0412-23</t>
  </si>
  <si>
    <t>Trousseau Arbois Red</t>
  </si>
  <si>
    <t>18-0518-09</t>
  </si>
  <si>
    <t>Arbois Vin Jaune</t>
  </si>
  <si>
    <t>CAVES JEAN BOURDY (Arnay, Jean-Philippe Bourdy) 🐂</t>
  </si>
  <si>
    <t>ZRS-1199-NV</t>
  </si>
  <si>
    <t>Crémant de Jura</t>
  </si>
  <si>
    <t>ZRS-1200-NV</t>
  </si>
  <si>
    <t>Crémant de Jura Rosé</t>
  </si>
  <si>
    <t>ZRS-1197-21</t>
  </si>
  <si>
    <t>Côtes du Jura Chardonnay</t>
  </si>
  <si>
    <t>ZRS-1198-22</t>
  </si>
  <si>
    <t>Côtes du Jura Savagnin</t>
  </si>
  <si>
    <t>ZRS-1198-16</t>
  </si>
  <si>
    <t>ZRS-1204-22</t>
  </si>
  <si>
    <t>"Jeanne" Côtes du Jura Blanc</t>
  </si>
  <si>
    <t>ZRS-1201-23</t>
  </si>
  <si>
    <t>"Suzanne" Côtes du Jura Rosé</t>
  </si>
  <si>
    <t>ZRS-1196-22</t>
  </si>
  <si>
    <t>Côtes du Jura Rouge</t>
  </si>
  <si>
    <t>pinot, trousseau, poulsard</t>
  </si>
  <si>
    <t>ZRS-1203-22</t>
  </si>
  <si>
    <t>"Lola" Côtes du Jura Rouge</t>
  </si>
  <si>
    <t>trousseau, poulsard, chardonnay</t>
  </si>
  <si>
    <t>"Chloe" Côtes du Jura Rouge</t>
  </si>
  <si>
    <t>11-005-01-20</t>
  </si>
  <si>
    <t>"Le Jaja d'Henriettes" Côtes du Jura Rouge</t>
  </si>
  <si>
    <t>trousseau, poulsard</t>
  </si>
  <si>
    <t>11-005-03-20</t>
  </si>
  <si>
    <t>"Cuvée d'Automne" Côtes du Jura Rouge</t>
  </si>
  <si>
    <t>trousseau, poulsard, pinot noir</t>
  </si>
  <si>
    <t>11-005-10-18</t>
  </si>
  <si>
    <t>"Galant des Abbesses" Macvin</t>
  </si>
  <si>
    <t>Macvin; fortified, with spices</t>
  </si>
  <si>
    <t>16-0451-09</t>
  </si>
  <si>
    <t>Vin Jaune</t>
  </si>
  <si>
    <t>620ml</t>
  </si>
  <si>
    <t>16-0450-09</t>
  </si>
  <si>
    <t>Château-Chalon Vin Jaune</t>
  </si>
  <si>
    <t>DOMAINE BURONFOSSE (Peggy et Jean-Pascal Buronfosse, Rotalier) 🐂</t>
  </si>
  <si>
    <t>ZRS12-1221-18</t>
  </si>
  <si>
    <t>Crémant du Jura</t>
  </si>
  <si>
    <t>ZRS12-1220-18</t>
  </si>
  <si>
    <t>"Indigene" Crémant du Jura</t>
  </si>
  <si>
    <t>ZRS12-1222-16</t>
  </si>
  <si>
    <t>"Les Ammonites" Côtes du Jura Blanc</t>
  </si>
  <si>
    <t>ZR12-1223-20</t>
  </si>
  <si>
    <t>"Marcus Terentius Varro" Côtes du Jura Blanc</t>
  </si>
  <si>
    <t>ZRS13-0390-19</t>
  </si>
  <si>
    <t>"L'Hopital" Côtes du Jura Blanc</t>
  </si>
  <si>
    <t>ZRS14-0570-19</t>
  </si>
  <si>
    <t>"Les Belemnites" Côtes du Jura Blanc</t>
  </si>
  <si>
    <t>savagnin, chardonnay</t>
  </si>
  <si>
    <t>ZRS14-0797-15</t>
  </si>
  <si>
    <t>"Éphémère" Côtes du Jura Blanc</t>
  </si>
  <si>
    <t>ZRS15-0859-15</t>
  </si>
  <si>
    <t>"Varron" Côtes du Jura Savagnin</t>
  </si>
  <si>
    <t>ZRS13-0391-20</t>
  </si>
  <si>
    <t>"Varron" Côtes du Jura Chardonnay</t>
  </si>
  <si>
    <t>ZRS15-0866-15</t>
  </si>
  <si>
    <t>"Varron Nature" Côtes du Jura Blanc</t>
  </si>
  <si>
    <t>ZRS15-0882-16</t>
  </si>
  <si>
    <t>"Entre Deux" Côtes du Jura Blanc</t>
  </si>
  <si>
    <t>ZRS15-0883-14</t>
  </si>
  <si>
    <t>"Le Pré du Bief" Côtes du Jura Blanc</t>
  </si>
  <si>
    <t>ZRS20-0121-17</t>
  </si>
  <si>
    <t>"Courant d'Air" Côtes du Jura Blanc</t>
  </si>
  <si>
    <t>ZRS200297-19</t>
  </si>
  <si>
    <t>"Sous Le Monceau" Côtes du Jura Blanc</t>
  </si>
  <si>
    <t>ZRS200120MNV</t>
  </si>
  <si>
    <t>"A Part" Côtes du Jura Blanc 1.5L</t>
  </si>
  <si>
    <t>ZRS15-0883-19</t>
  </si>
  <si>
    <t>"Geodes" Côtes du Jura Savagnin 1.5L</t>
  </si>
  <si>
    <t>16-0618-20</t>
  </si>
  <si>
    <t>"Les Soupois" Côtes du Jura Blanc</t>
  </si>
  <si>
    <t>ZRS15-0889-20</t>
  </si>
  <si>
    <t>"Se Kwa Sa" VDF Rouge</t>
  </si>
  <si>
    <t>poulsard, enfarine, teinturier, besclan</t>
  </si>
  <si>
    <t>ZR15-0940-20</t>
  </si>
  <si>
    <t>Côtes du Jura Pinot Noir</t>
  </si>
  <si>
    <t>ZRS12-1224-18</t>
  </si>
  <si>
    <t>"Sous Le Monceau" Côtes du Jura Rouge</t>
  </si>
  <si>
    <t>ZRS200122-20</t>
  </si>
  <si>
    <t>"L'Hopital" Côtes du Jura Rouge</t>
  </si>
  <si>
    <t>ZRS16-0619-18</t>
  </si>
  <si>
    <t>"Les Soupois" Côtes du Jura Rouge</t>
  </si>
  <si>
    <t>16-0640-15</t>
  </si>
  <si>
    <t>"Les Fontaines" Côtes du Jura Rouge</t>
  </si>
  <si>
    <t>18-0844-11</t>
  </si>
  <si>
    <t>"L'Attente" Vin Jaune</t>
  </si>
  <si>
    <t>MAISON MAENAD 🌱🐂</t>
  </si>
  <si>
    <t>ZRS-0553-20</t>
  </si>
  <si>
    <t>"De L'Avant" Cotes du Jura Blanc</t>
  </si>
  <si>
    <t>11-023-02-19</t>
  </si>
  <si>
    <t>"Le Neant" VDF Rouge</t>
  </si>
  <si>
    <t>ZRS-0552-21</t>
  </si>
  <si>
    <t>"Les Oublies" VDF Rouge</t>
  </si>
  <si>
    <t>gamay, field blend</t>
  </si>
  <si>
    <r>
      <rPr>
        <sz val="14"/>
        <color rgb="FF000000"/>
        <rFont val="Helvetica Neue"/>
        <family val="2"/>
      </rPr>
      <t xml:space="preserve">DOMAINE DE LA RENARDIÈRE 🌱 - </t>
    </r>
    <r>
      <rPr>
        <i/>
        <sz val="14"/>
        <color rgb="FF000000"/>
        <rFont val="Helvetica Neue"/>
        <family val="2"/>
      </rPr>
      <t>new to portfolio!</t>
    </r>
  </si>
  <si>
    <t>ZRS-1154-20</t>
  </si>
  <si>
    <t xml:space="preserve">Crèmant du Jura Sparkling </t>
  </si>
  <si>
    <t>ZRS-1155-21</t>
  </si>
  <si>
    <t>"Jurassique" Arbois Pupillin White</t>
  </si>
  <si>
    <t>ZRS-1156-22</t>
  </si>
  <si>
    <t>"Les Vianderies" Arbois Pupillin White</t>
  </si>
  <si>
    <t>ZRS-1157-22</t>
  </si>
  <si>
    <t xml:space="preserve">"Vines of 1966" Arbois Pupillin White </t>
  </si>
  <si>
    <t>ZRS-1158-21</t>
  </si>
  <si>
    <t>"Les Terrasses" Arbois Pupillin White</t>
  </si>
  <si>
    <t>ZRS-1170-NV</t>
  </si>
  <si>
    <t>Arbois Pupillin White</t>
  </si>
  <si>
    <t>ZRS-1160-22</t>
  </si>
  <si>
    <t xml:space="preserve">"Maceration" VDF White </t>
  </si>
  <si>
    <t>ZRS-1159-22</t>
  </si>
  <si>
    <t>Arbois Pupillin Red</t>
  </si>
  <si>
    <t>ALSACE</t>
  </si>
  <si>
    <t>DOMAINE GESCHICKT (Fred &amp; Arnaud Geschickt, Ammerschwihr) 🐂</t>
  </si>
  <si>
    <t>ZRS-0845-NV</t>
  </si>
  <si>
    <t>"Balthazar" Piquette VDF Sparkling</t>
  </si>
  <si>
    <t>gewurztraminer, pinot gris, riesling, h2o</t>
  </si>
  <si>
    <t>ZRS-0840-22</t>
  </si>
  <si>
    <t>"One Drop" Alsace VDF Sparkling</t>
  </si>
  <si>
    <t>chasselas, muscat, gewurztraminer, pinot blanc, riesling</t>
  </si>
  <si>
    <t>17-0614-NV</t>
  </si>
  <si>
    <t>"Double Zero" Cremant d'Alsace</t>
  </si>
  <si>
    <t>pinot auxerrois, riesling</t>
  </si>
  <si>
    <t>ZRS-0841-NV</t>
  </si>
  <si>
    <t>"Obi Wine Keno Bulle" Pét-Nat</t>
  </si>
  <si>
    <t>pinot auxerrois, gewurztraminer, muscat</t>
  </si>
  <si>
    <t>ZRS-0102-23</t>
  </si>
  <si>
    <t>Riesling Alsace White</t>
  </si>
  <si>
    <t>17-0558-17</t>
  </si>
  <si>
    <t>"6 Pieds sur Terre" Vin d'Alsace White</t>
  </si>
  <si>
    <t>pinot blanc/gris/noir, riesling, muscat, gewürztraminer</t>
  </si>
  <si>
    <t>ZRS-0838-22</t>
  </si>
  <si>
    <t>"Le Schlouk" Vin d'Alsace White</t>
  </si>
  <si>
    <t>gewürztraminer, riesling</t>
  </si>
  <si>
    <t>ZRS-0839-23</t>
  </si>
  <si>
    <t>"Phénix" Vin d'Alsace Red</t>
  </si>
  <si>
    <t>pinot gris, gewürztraminer</t>
  </si>
  <si>
    <t>ZRS-1235-22</t>
  </si>
  <si>
    <t>"Im Schloss" Riesling Alsace White</t>
  </si>
  <si>
    <t>ZRS-0921-21</t>
  </si>
  <si>
    <t>"Pfulben" Kaefferkopf Grand Cru Alsace White</t>
  </si>
  <si>
    <t>gewurztraminer, riesling, pinot gris</t>
  </si>
  <si>
    <t>ZRS-0922-22</t>
  </si>
  <si>
    <t>"Purberg" Kaefferkopf Grand Cru Alsace Orange</t>
  </si>
  <si>
    <t>17-0619-18</t>
  </si>
  <si>
    <t>Wineck-Schlossberg Grand Cru Riesling</t>
  </si>
  <si>
    <t>17-0620-NV</t>
  </si>
  <si>
    <t>"Beetle Juice" Vin d'Alsace Rosé</t>
  </si>
  <si>
    <t>gewürztraminer, coeur de pigeon cherries</t>
  </si>
  <si>
    <t>ZRS-0842-23</t>
  </si>
  <si>
    <t>Pinot Noir Alsace Red</t>
  </si>
  <si>
    <t>ZRS200188-18</t>
  </si>
  <si>
    <t>Pinot Noir "K" Vin d'Alsace Red</t>
  </si>
  <si>
    <t>BORDEAUX</t>
  </si>
  <si>
    <t xml:space="preserve">LES TERRES DUBIEN 🌱🐂 </t>
  </si>
  <si>
    <t>ZRS-0658-19</t>
  </si>
  <si>
    <t>"L`Etoile Du Berger" Bordeaux Red</t>
  </si>
  <si>
    <t>ZRS-0662-20</t>
  </si>
  <si>
    <t>"Initial BC" Blaye Cotes de Bordeaux Red</t>
  </si>
  <si>
    <t>merlot, malbec</t>
  </si>
  <si>
    <t>ZRS-0663-23</t>
  </si>
  <si>
    <t>"Un Coup d`Ma Doc" VDF Red</t>
  </si>
  <si>
    <t>ZRS-0664-22</t>
  </si>
  <si>
    <t>"Synopsis" Medoc Red</t>
  </si>
  <si>
    <t>SWITZERLAND</t>
  </si>
  <si>
    <t>VALAIS</t>
  </si>
  <si>
    <r>
      <rPr>
        <sz val="14"/>
        <color rgb="FF000000"/>
        <rFont val="Helvetica Neue"/>
        <family val="2"/>
      </rPr>
      <t xml:space="preserve">MATTHIAS ORSETT 🌱 - </t>
    </r>
    <r>
      <rPr>
        <i/>
        <sz val="14"/>
        <color rgb="FF000000"/>
        <rFont val="Helvetica Neue"/>
        <family val="2"/>
      </rPr>
      <t>new to portfolio!</t>
    </r>
  </si>
  <si>
    <t>ZRS-0928-23</t>
  </si>
  <si>
    <t>"L`Arène" Switzerland White</t>
  </si>
  <si>
    <t>chasselas</t>
  </si>
  <si>
    <t>ZRS-0928-22</t>
  </si>
  <si>
    <t>"Gaspard" Switzerland White</t>
  </si>
  <si>
    <t>ZRS-0927-23</t>
  </si>
  <si>
    <t>"La Rayure" Switzerland Rosé</t>
  </si>
  <si>
    <t>chasselas, gamay</t>
  </si>
  <si>
    <t>ZRS-0929-23</t>
  </si>
  <si>
    <t>"Les Arcs" Swizterland Red</t>
  </si>
  <si>
    <t>garanoir</t>
  </si>
  <si>
    <t>ZRS-0932-23</t>
  </si>
  <si>
    <t xml:space="preserve">"Les Fuseaux" Switzerland Red </t>
  </si>
  <si>
    <t>gameret</t>
  </si>
  <si>
    <t>ZRS-0930-23</t>
  </si>
  <si>
    <t>"Les Choucas" Switzerland Red</t>
  </si>
  <si>
    <t>ZRS-0925-23</t>
  </si>
  <si>
    <t>"Cuvée Damia" Switzerland Red</t>
  </si>
  <si>
    <t>GERMANY</t>
  </si>
  <si>
    <t>RHEINHESSEN</t>
  </si>
  <si>
    <t>SOMA VINES 🌱🐂</t>
  </si>
  <si>
    <t>ZRS22-0294-21</t>
  </si>
  <si>
    <t>Golden Hour German White</t>
  </si>
  <si>
    <t>ZRS22-0297-20</t>
  </si>
  <si>
    <t>Crossing Borders German Rose</t>
  </si>
  <si>
    <t>ZRS22-0297-21</t>
  </si>
  <si>
    <t>ZRS22-0295-21</t>
  </si>
  <si>
    <t>Grand Crew German Red</t>
  </si>
  <si>
    <t>pinot noir, pinot gris</t>
  </si>
  <si>
    <t>ZRS22-0293-21</t>
  </si>
  <si>
    <t>Electric Pulp German Red</t>
  </si>
  <si>
    <r>
      <rPr>
        <sz val="14"/>
        <color rgb="FF000000"/>
        <rFont val="Helvetica Neue"/>
        <family val="2"/>
      </rPr>
      <t xml:space="preserve">WEINGUT SCHMITT (Bianka &amp; Daniel Schmitt) 🐂 - </t>
    </r>
    <r>
      <rPr>
        <i/>
        <sz val="14"/>
        <color rgb="FF000000"/>
        <rFont val="Helvetica Neue"/>
        <family val="2"/>
      </rPr>
      <t>closeout!</t>
    </r>
  </si>
  <si>
    <t>ZRS200145-18</t>
  </si>
  <si>
    <t>"Sándor Cidre" Sparkling Cider</t>
  </si>
  <si>
    <t>apples</t>
  </si>
  <si>
    <t>ZRS-0245-21</t>
  </si>
  <si>
    <t>Pétillant Naturel White</t>
  </si>
  <si>
    <t>huxelrebe, scheurebe, ortega, weißburgunder, grauburgunder</t>
  </si>
  <si>
    <t>ZRS200141-19</t>
  </si>
  <si>
    <t>Pétillant Naturel Rosé</t>
  </si>
  <si>
    <t>portugieser, dornfelder</t>
  </si>
  <si>
    <t>ZRS-0243-20</t>
  </si>
  <si>
    <t>Riesling Sekt Brut Nature</t>
  </si>
  <si>
    <t>ZRS20115-18</t>
  </si>
  <si>
    <t>"Pinot Sekt" Brut Nature</t>
  </si>
  <si>
    <t>weißburgunder, spätburgunder</t>
  </si>
  <si>
    <t>ZRS22-0424-21</t>
  </si>
  <si>
    <t>"Frei.Körper.Kultur FIZZ" Pét-Nat Rosé</t>
  </si>
  <si>
    <t>merlot, pinot noir, portugieser, dornfelder</t>
  </si>
  <si>
    <t>was $150</t>
  </si>
  <si>
    <t>ZRS22-0180-21</t>
  </si>
  <si>
    <t>"Frei.Körper.Kultur Weiß" Rheinhessen White 1L</t>
  </si>
  <si>
    <t>scheurebe, pinot blanc, huxelrebe, pinot gris, ortega</t>
  </si>
  <si>
    <t>1000ml</t>
  </si>
  <si>
    <t>$156 (14cs)</t>
  </si>
  <si>
    <t>ZRS22-0181-21</t>
  </si>
  <si>
    <t>"Frei.Körper.Kultur Weiß" Rheinhessen White 20L keg</t>
  </si>
  <si>
    <t>20L keg</t>
  </si>
  <si>
    <t>ZRS22-0430-21</t>
  </si>
  <si>
    <t>"Frei.Körper.Kultur Rosé" Rheinhessen Rosé 1L</t>
  </si>
  <si>
    <t>as $168</t>
  </si>
  <si>
    <t>ZRS22-0182-21</t>
  </si>
  <si>
    <t>"Frei.Körper.Kultur Rosé" Rheinhessen Rosé 20L keg</t>
  </si>
  <si>
    <t>ZRS200138-19</t>
  </si>
  <si>
    <t>"Frei.Körper.Kultur Rot" Rheinhessen Red 1L</t>
  </si>
  <si>
    <t>merlot, st. laurent, portugieser, blaufränkisch, spätburgunder</t>
  </si>
  <si>
    <t>ZRS200138K-20</t>
  </si>
  <si>
    <t>"Frei.Körper.Kultur Rot" Rheinhessen Red 20L keg</t>
  </si>
  <si>
    <t>ZRS20111-20</t>
  </si>
  <si>
    <t>"Frei.Körper.Kultur Schadelfrei" Glühwein 1L</t>
  </si>
  <si>
    <t>mulled wine - dornfelder, regent, and organic spices</t>
  </si>
  <si>
    <t>was $162</t>
  </si>
  <si>
    <t>ZRS-0442-22</t>
  </si>
  <si>
    <t>Rheinhessen Riesling Dry</t>
  </si>
  <si>
    <t>ZRS200140-20</t>
  </si>
  <si>
    <t>Rheinhessen Müller-Thurgau</t>
  </si>
  <si>
    <t>müller-thurgau</t>
  </si>
  <si>
    <t>ZRS22-0185-21</t>
  </si>
  <si>
    <t>Rheinhessen Rosé</t>
  </si>
  <si>
    <t>merlot, spätburgunder, portugieser, dornfelder</t>
  </si>
  <si>
    <t>ZRS20117-20</t>
  </si>
  <si>
    <t>Rheinhessen Rosé 1.5L</t>
  </si>
  <si>
    <t>17-0584-17</t>
  </si>
  <si>
    <t>Rheinhessen Rot</t>
  </si>
  <si>
    <t>ZRS-0310-21</t>
  </si>
  <si>
    <t>Rheinhessen Spätburgunder</t>
  </si>
  <si>
    <t>spätburgunder</t>
  </si>
  <si>
    <t>ZRS200147-18</t>
  </si>
  <si>
    <t>"Zold" Rheinhessen White</t>
  </si>
  <si>
    <t>ZRS20114-19</t>
  </si>
  <si>
    <t>"Parzellas" Weissburgunder Trocken</t>
  </si>
  <si>
    <t>weißburgunder (amphora)</t>
  </si>
  <si>
    <t>ZRS-0242-21</t>
  </si>
  <si>
    <t>"Riesling M" Rheinhessen White</t>
  </si>
  <si>
    <t>riesling (Monsheim)</t>
  </si>
  <si>
    <t>was $204</t>
  </si>
  <si>
    <t>19-0954-17</t>
  </si>
  <si>
    <t>"Feminin" Rheinhessen White</t>
  </si>
  <si>
    <t>17-0676-17</t>
  </si>
  <si>
    <t>"Wild Pony" Rheinhessen White</t>
  </si>
  <si>
    <t>riesling, sylvaner, muskateller</t>
  </si>
  <si>
    <t>ZRS-0244-21</t>
  </si>
  <si>
    <t>"Voodoo Doll" Rheinhessen White</t>
  </si>
  <si>
    <t>ZRS200136-18</t>
  </si>
  <si>
    <t>"Erdreich" Rheinhessen White</t>
  </si>
  <si>
    <t>gelber muskateller, bacchus, riesling, weißburgunder</t>
  </si>
  <si>
    <t>19-0830-15</t>
  </si>
  <si>
    <t>"Orpheus" Rheinhessen White</t>
  </si>
  <si>
    <t>weißburgunder</t>
  </si>
  <si>
    <t>ZRS20113-19</t>
  </si>
  <si>
    <t>Rheinhessen Kékfrankos</t>
  </si>
  <si>
    <t>kékfrankos</t>
  </si>
  <si>
    <t>ZRS22-0429-20</t>
  </si>
  <si>
    <t>WEINGUT MANN (Andi Mann) 🌱</t>
  </si>
  <si>
    <t>ZRS-0304-21</t>
  </si>
  <si>
    <t>"Weiss" Rheinischer White</t>
  </si>
  <si>
    <t>riesling, müller-thurgau, scheurebe, huxelrebe</t>
  </si>
  <si>
    <t>ZRS200295-20D</t>
  </si>
  <si>
    <t>"Rotlich" Rheinischer Red *DAMAGED LABELS*</t>
  </si>
  <si>
    <t>portugieser</t>
  </si>
  <si>
    <t>21cs avail.</t>
  </si>
  <si>
    <t>ZRS-0301-21</t>
  </si>
  <si>
    <t>"Rotlich" Rheinischer Red</t>
  </si>
  <si>
    <t>ZRS22-0431-20</t>
  </si>
  <si>
    <t>"Rotlich X" Rheinischer Red</t>
  </si>
  <si>
    <t>merlot, müller-thurgau, spätburgunder</t>
  </si>
  <si>
    <t>ZRS200294-20D</t>
  </si>
  <si>
    <t>"Rot" Rheinischer Red *DAMAGED LABELS*</t>
  </si>
  <si>
    <t>dornfelder, merlot</t>
  </si>
  <si>
    <t>26.67cs av.</t>
  </si>
  <si>
    <t>ZRS200294-20</t>
  </si>
  <si>
    <t>"Rot" Rheinischer Red</t>
  </si>
  <si>
    <t>ZRS-0298-21</t>
  </si>
  <si>
    <t>Müller-Thurgau Rheinischer White 1L</t>
  </si>
  <si>
    <t>ZRS22-0245-19</t>
  </si>
  <si>
    <t>"Rosa X" Rheinischer Rosé 1L</t>
  </si>
  <si>
    <t>riesling, dornfelder, portugieser, scheurebe</t>
  </si>
  <si>
    <t>ZRS-0305-21</t>
  </si>
  <si>
    <t>"Purpur" Rheinischer Weissburgunder</t>
  </si>
  <si>
    <t>ZRS200219-19</t>
  </si>
  <si>
    <t>"Kirschyard" Rheinischer Chardonnay</t>
  </si>
  <si>
    <t>ZRS-0299-21</t>
  </si>
  <si>
    <t>Riesling x Grauburgunder Rheinischer White</t>
  </si>
  <si>
    <t>riesling, grauburgunder</t>
  </si>
  <si>
    <t>ZRS-0296-21</t>
  </si>
  <si>
    <t>"Calx" Rheinischer Grauburgunder</t>
  </si>
  <si>
    <t>grauburgunder</t>
  </si>
  <si>
    <t>ZRS-0297-21</t>
  </si>
  <si>
    <t>"Qhimmel" Rheinischer Grauburgunder</t>
  </si>
  <si>
    <t>ZRS200290-19</t>
  </si>
  <si>
    <t>"Purpur X Calx" Rheinischer Spätburgunder</t>
  </si>
  <si>
    <t>ZRS-0302-20</t>
  </si>
  <si>
    <t>"Calx" Rheinischer Spätburgunder</t>
  </si>
  <si>
    <t>"Purpur" Rheinischer Spätburgunder</t>
  </si>
  <si>
    <t>ZRS22-0432-19</t>
  </si>
  <si>
    <t>"Purpur Galgen" Rheinischer Red</t>
  </si>
  <si>
    <t>AUSTRIA</t>
  </si>
  <si>
    <t>STYRIA</t>
  </si>
  <si>
    <t>WEINGUT WERLITSCH (Edward Tscheppe) 🐂</t>
  </si>
  <si>
    <t>ZRS-0532-21</t>
  </si>
  <si>
    <t>"Welschriesling vom Opok" Steirerland White</t>
  </si>
  <si>
    <t>welschriesling</t>
  </si>
  <si>
    <t>ZRS22-0002-17</t>
  </si>
  <si>
    <t>"Ex Vero II S" Steirerland Sparkling</t>
  </si>
  <si>
    <t>sauvignon blanc, morillon (chardonnay)</t>
  </si>
  <si>
    <r>
      <rPr>
        <sz val="14"/>
        <color rgb="FF000000"/>
        <rFont val="Helvetica Neue"/>
        <family val="2"/>
      </rPr>
      <t xml:space="preserve">MICHI LORENZ 🐂 - </t>
    </r>
    <r>
      <rPr>
        <i/>
        <sz val="14"/>
        <color rgb="FF000000"/>
        <rFont val="Helvetica Neue"/>
        <family val="2"/>
      </rPr>
      <t xml:space="preserve"> new vintages!</t>
    </r>
  </si>
  <si>
    <t>ZRS-0196-22</t>
  </si>
  <si>
    <t>"Wicked Garden" Steirerland White</t>
  </si>
  <si>
    <t>pinot blanc, riesling, sauvignon blanc</t>
  </si>
  <si>
    <t>ZRS-0196-21</t>
  </si>
  <si>
    <t>ZRS-0195-22</t>
  </si>
  <si>
    <t>"Schist Happens" Steirerland White</t>
  </si>
  <si>
    <t>ZRS-0194-20</t>
  </si>
  <si>
    <t>"Revoluzza" Steirerland White</t>
  </si>
  <si>
    <t>ZRS-0193-19</t>
  </si>
  <si>
    <t>"Redvoluzza" Steirerland Rosé</t>
  </si>
  <si>
    <t>cabernet sauvignon, merlot, zweigelt</t>
  </si>
  <si>
    <t>ZRS-0192-21</t>
  </si>
  <si>
    <t>"Aura" Steirerland White</t>
  </si>
  <si>
    <t>"Halo" Steirerland White</t>
  </si>
  <si>
    <t>ZRS-0192-20</t>
  </si>
  <si>
    <t>ZRS-1172-21</t>
  </si>
  <si>
    <t>"Schilcher" Steirerland Red</t>
  </si>
  <si>
    <t>blauer wildbacher</t>
  </si>
  <si>
    <t>WEINVIERTEL</t>
  </si>
  <si>
    <t xml:space="preserve">MICHAEL GINDL 🐂 </t>
  </si>
  <si>
    <t>ZRS-0347-21</t>
  </si>
  <si>
    <t>"Bubbles" Weinviertel Pet-Nat Red</t>
  </si>
  <si>
    <t>rösler, blauburgunder</t>
  </si>
  <si>
    <t>ZRS-0350-22</t>
  </si>
  <si>
    <t>"Michi's Farm - White" Weinviertel White</t>
  </si>
  <si>
    <t>grüner veltliner, gelber muskateller</t>
  </si>
  <si>
    <t>ZRS-1220-23</t>
  </si>
  <si>
    <t>"Michi's Farm - Orange" Weinviertel White</t>
  </si>
  <si>
    <t>welschriesling, chardonnay</t>
  </si>
  <si>
    <t>ZR-MG-03-21</t>
  </si>
  <si>
    <t>"Michi's Farm - Red" Weinviertel Red</t>
  </si>
  <si>
    <t>zweigelt, blauer portugieser, cabernet sauvignon</t>
  </si>
  <si>
    <t>ZR-MG-04-22</t>
  </si>
  <si>
    <t>"Little Buteo" Weinviertel White</t>
  </si>
  <si>
    <t>grüner veltliner</t>
  </si>
  <si>
    <t>ZRS-0348-21</t>
  </si>
  <si>
    <t>"Buteo" Weinviertel White</t>
  </si>
  <si>
    <t>19-0524-17</t>
  </si>
  <si>
    <t>"Buteo 12" Weinviertel White</t>
  </si>
  <si>
    <t>ZRS-0349-23</t>
  </si>
  <si>
    <t>"Flora" Weinviertel White</t>
  </si>
  <si>
    <t>riesling, scheurebe, gelber muskateller</t>
  </si>
  <si>
    <t>ZRS-1130-22</t>
  </si>
  <si>
    <t>"L`Etrangere" Auslaenderin Austria White</t>
  </si>
  <si>
    <t>19-0522</t>
  </si>
  <si>
    <t>"White Bessi" Weinviertel White</t>
  </si>
  <si>
    <t>welschriesling, riesling</t>
  </si>
  <si>
    <t>19-0528-NV</t>
  </si>
  <si>
    <t>"Sol" Weinviertel White</t>
  </si>
  <si>
    <t>pinot blanc, grüner veltliner</t>
  </si>
  <si>
    <t>19-0527-NV</t>
  </si>
  <si>
    <t>"Sol - Sodalis" Weinviertel Riesling</t>
  </si>
  <si>
    <t>19-0529-17</t>
  </si>
  <si>
    <t>"Sol - Sodalis" Weinviertel Weissburgunder</t>
  </si>
  <si>
    <t>pinot blanc</t>
  </si>
  <si>
    <t>11-063-01-19</t>
  </si>
  <si>
    <t>"Nanu!?" Weinviertel Rotburger</t>
  </si>
  <si>
    <t>rotburger (zweigelt)</t>
  </si>
  <si>
    <t>GOLS</t>
  </si>
  <si>
    <r>
      <rPr>
        <sz val="14"/>
        <color rgb="FF000000"/>
        <rFont val="Helvetica Neue"/>
        <family val="2"/>
      </rPr>
      <t xml:space="preserve">SCHMELZER WEINGUT (Georg Schmelzer) 🐂 - </t>
    </r>
    <r>
      <rPr>
        <i/>
        <sz val="14"/>
        <color rgb="FF000000"/>
        <rFont val="Helvetica Neue"/>
        <family val="2"/>
      </rPr>
      <t>new vintages!</t>
    </r>
  </si>
  <si>
    <t>ZRS-1403-24</t>
  </si>
  <si>
    <t>"Dion" Pet Nat Neusiedlersee Sparkling White</t>
  </si>
  <si>
    <t>welschriesling, scheurebe</t>
  </si>
  <si>
    <t>ZRS1701-20</t>
  </si>
  <si>
    <t>Rosé Pét-Nat</t>
  </si>
  <si>
    <t>zweigelt, cabernet sauvignon</t>
  </si>
  <si>
    <t>ZRS-0950-23</t>
  </si>
  <si>
    <t>Welschriesling</t>
  </si>
  <si>
    <t>ZRS-0948-24</t>
  </si>
  <si>
    <t>Grüner Veltliner</t>
  </si>
  <si>
    <t>ZRS-0953-22</t>
  </si>
  <si>
    <t>Weissburgunder</t>
  </si>
  <si>
    <t>ZRS1705-18</t>
  </si>
  <si>
    <t>19-0702-18</t>
  </si>
  <si>
    <t>Burgenland Rosé</t>
  </si>
  <si>
    <t>ZRS-1409-24</t>
  </si>
  <si>
    <t>"Bicolor" Rosé</t>
  </si>
  <si>
    <t>welschriesling, zweigelt</t>
  </si>
  <si>
    <t>18-0373-NV</t>
  </si>
  <si>
    <t>"Redition" Red</t>
  </si>
  <si>
    <t>cabernet sauvignon, roesler, zweigelt (2013-2016)</t>
  </si>
  <si>
    <t>ZRS1704-17</t>
  </si>
  <si>
    <t>Zweigelt</t>
  </si>
  <si>
    <t>zweigelt</t>
  </si>
  <si>
    <t>ZRS-0949-NV</t>
  </si>
  <si>
    <t>"Big Nature" Gols White 1L</t>
  </si>
  <si>
    <t>müller-thurgau, grüner veltliner, scheurebe, welschriesling</t>
  </si>
  <si>
    <t>ZRS1707-NV</t>
  </si>
  <si>
    <t>"Big Nature" Gols Red 1L</t>
  </si>
  <si>
    <t>blaufränkisch, merlot</t>
  </si>
  <si>
    <t>ZRS-0954-20</t>
  </si>
  <si>
    <t>"Orangerie" Gols White</t>
  </si>
  <si>
    <t>grüner veltliner, weißburgunder, scheurebe</t>
  </si>
  <si>
    <t>ZRS-0951-22</t>
  </si>
  <si>
    <t>"Schlicht und Ergreifend" Frühroter Veltliner Gols White</t>
  </si>
  <si>
    <t>frühroter veltliner</t>
  </si>
  <si>
    <t>ZRS-0951-21</t>
  </si>
  <si>
    <r>
      <rPr>
        <sz val="14"/>
        <color rgb="FF000000"/>
        <rFont val="Helvetica Neue"/>
        <family val="2"/>
      </rPr>
      <t xml:space="preserve">JUDITH BECK 🐂 - </t>
    </r>
    <r>
      <rPr>
        <i/>
        <sz val="14"/>
        <color rgb="FF000000"/>
        <rFont val="Helvetica Neue"/>
        <family val="2"/>
      </rPr>
      <t>new vintages!</t>
    </r>
  </si>
  <si>
    <t>ZRS-0796-22</t>
  </si>
  <si>
    <t>"Bambule!" Pét-Nat" Burgenland Sparkling White</t>
  </si>
  <si>
    <t>muscat ottonel</t>
  </si>
  <si>
    <t>ZRS-0321-24</t>
  </si>
  <si>
    <t>Weissburgunder Burgenland White</t>
  </si>
  <si>
    <t>weissburgunder</t>
  </si>
  <si>
    <t>ZRS-1014-24</t>
  </si>
  <si>
    <t>Chardonnay Burgenland White</t>
  </si>
  <si>
    <t>ZRS-0324-24</t>
  </si>
  <si>
    <t>Traminer Burgenland White</t>
  </si>
  <si>
    <t>traminer</t>
  </si>
  <si>
    <t>ZRS-0323-23</t>
  </si>
  <si>
    <t>"Mish Mash" Osterreich White</t>
  </si>
  <si>
    <t>grüner velt., scheurebe, neuburger, weisburgunder, welshriesling, zweigelt</t>
  </si>
  <si>
    <t>ZRS-0866-22</t>
  </si>
  <si>
    <t>"Bambule!" Muskat Burgenland White</t>
  </si>
  <si>
    <t>ZRS-0867-21</t>
  </si>
  <si>
    <t>Bambule! Chardonnay Burgenland White</t>
  </si>
  <si>
    <t>ZRS-1015-24</t>
  </si>
  <si>
    <t>"Beck Pink" Burgenland Rosé</t>
  </si>
  <si>
    <t>blaufränkisch, zweigelt</t>
  </si>
  <si>
    <t>ZRS-0797-22</t>
  </si>
  <si>
    <t>"Ink" Burgenland Red</t>
  </si>
  <si>
    <t>zweigelt, sankt laurent</t>
  </si>
  <si>
    <t>ZRS-0799-21</t>
  </si>
  <si>
    <t>Zweigelt Burgenland Red</t>
  </si>
  <si>
    <t>ZRS-0798-22</t>
  </si>
  <si>
    <t>Blaufrankisch Burgenland Red</t>
  </si>
  <si>
    <t>blaufränkisch</t>
  </si>
  <si>
    <t>ZRS-0322-23</t>
  </si>
  <si>
    <t>"Hunny Bunny" Burgenland Red</t>
  </si>
  <si>
    <t>ZRS-0322-22M</t>
  </si>
  <si>
    <t>"Hunny Bunny" Burgenland Red 1.5L</t>
  </si>
  <si>
    <t>ZRS-0800-21</t>
  </si>
  <si>
    <t>"Out" Burgenland Red</t>
  </si>
  <si>
    <t>ZRS-0320-21</t>
  </si>
  <si>
    <t>"Bambule! Pinot Noir" Burgenland Red</t>
  </si>
  <si>
    <t>ZRS22-0244-17</t>
  </si>
  <si>
    <t>"Judith Blaufrankisch" Burgenland Red</t>
  </si>
  <si>
    <r>
      <rPr>
        <sz val="14"/>
        <color rgb="FF000000"/>
        <rFont val="Helvetica Neue"/>
        <family val="2"/>
      </rPr>
      <t xml:space="preserve">WEINGUT HEINRICH 🐂 - </t>
    </r>
    <r>
      <rPr>
        <i/>
        <sz val="14"/>
        <color rgb="FF000000"/>
        <rFont val="Helvetica Neue"/>
        <family val="2"/>
      </rPr>
      <t>new vintages!</t>
    </r>
  </si>
  <si>
    <t>ZRS-0498-22</t>
  </si>
  <si>
    <t>"Oh When the Saints" Austria Sparkling White</t>
  </si>
  <si>
    <t>sankt laurent</t>
  </si>
  <si>
    <t>ZRS-0497-23</t>
  </si>
  <si>
    <t>"Naked White" Weinland White</t>
  </si>
  <si>
    <t>pinot blanc, chardonnay, pinot gris, gruner veltliner, welschriesling</t>
  </si>
  <si>
    <t>ZRS-0995-NV</t>
  </si>
  <si>
    <t>"Naked Orange" Weinland White</t>
  </si>
  <si>
    <t>chardonnay, pinot blanc, pinot gris, traminer, msucat</t>
  </si>
  <si>
    <t>ZRS-0995-NVK</t>
  </si>
  <si>
    <t>"Naked Orange" Weinland White 20L KEG</t>
  </si>
  <si>
    <t>20L</t>
  </si>
  <si>
    <t>ZRS-0692-24</t>
  </si>
  <si>
    <t>"Naked Rosé" Weinland Rosé</t>
  </si>
  <si>
    <t>ZR-WH-03-19</t>
  </si>
  <si>
    <t>"Naked Red" Weinland Red</t>
  </si>
  <si>
    <t>zweigelt, blaufränkisch, sankt laurent</t>
  </si>
  <si>
    <t>ZR-WH-03-19M</t>
  </si>
  <si>
    <t>"Naked Red" Weinland Red 1.5L</t>
  </si>
  <si>
    <t>ZRS-0765-24</t>
  </si>
  <si>
    <t>Pinot Noir Burgenland Red</t>
  </si>
  <si>
    <t>ZR-WH-09-19</t>
  </si>
  <si>
    <t>Zweigelt Weinland Red</t>
  </si>
  <si>
    <t>ZR-WH-10-19</t>
  </si>
  <si>
    <t>Blaufränkisch Weinland Red</t>
  </si>
  <si>
    <t>blaufränkish</t>
  </si>
  <si>
    <t>ZR-WH-11-19</t>
  </si>
  <si>
    <t>St. Laurent Weinland Red</t>
  </si>
  <si>
    <t>st. laurent</t>
  </si>
  <si>
    <t>ZR-WH-04-17</t>
  </si>
  <si>
    <t>"Weisze Freyheit" Austria White</t>
  </si>
  <si>
    <t>pinot blanc, muscat ottonel</t>
  </si>
  <si>
    <t>ZRS-0846-22</t>
  </si>
  <si>
    <t>"Muskat Freyheit" Austria White</t>
  </si>
  <si>
    <t>muscat ottonel, pinot blanc</t>
  </si>
  <si>
    <t>ZRS-1323-22</t>
  </si>
  <si>
    <t>"Graue Freyheit" Austria White</t>
  </si>
  <si>
    <t>pinot blanc, pinot gris, chardonnay, neuburger</t>
  </si>
  <si>
    <t>ZRS-1322-22</t>
  </si>
  <si>
    <t>"Pinot Freyheit" Austria Red</t>
  </si>
  <si>
    <t>ZRS-0495-23</t>
  </si>
  <si>
    <t>"Chardonnay Leithaberg" White</t>
  </si>
  <si>
    <t>ZRS-0496-22</t>
  </si>
  <si>
    <t>"Into the Light" Weinland White</t>
  </si>
  <si>
    <t>blaufränkish (blanc de noir)</t>
  </si>
  <si>
    <t>ZRS-0499-NV</t>
  </si>
  <si>
    <t>"Out of the Dark" Weinland White</t>
  </si>
  <si>
    <t>ZR-WH-13-18</t>
  </si>
  <si>
    <t>"Blaufränkisch Leithaberg" Red</t>
  </si>
  <si>
    <t>ZR-WH-13-18M</t>
  </si>
  <si>
    <t>"Blaufränkisch Leithaberg" Red 1.5L</t>
  </si>
  <si>
    <t>BURGENLAND</t>
  </si>
  <si>
    <t>STILLWATER BREWERY x MEINKLANG 🐂</t>
  </si>
  <si>
    <t>ZRS22-0154-NV</t>
  </si>
  <si>
    <t>Freigeist Ancient Grain Sour Ale 500mL cans</t>
  </si>
  <si>
    <t>emmer, einkorn, barley, wheat, hops, lactobacillus cultures, yeast</t>
  </si>
  <si>
    <t>was $108</t>
  </si>
  <si>
    <t>ZRS22-0153-NV</t>
  </si>
  <si>
    <t>Freigeist Organic Spelt Farmhouse Ale 500mL cans</t>
  </si>
  <si>
    <t>spelt, barley, wheat, hops, farmhouse ale yeast</t>
  </si>
  <si>
    <t>MEINKLANG 🐂</t>
  </si>
  <si>
    <t>ZRS22-0222-NV</t>
  </si>
  <si>
    <t>"Fusion" Österreich Sparkling Cider/Wine</t>
  </si>
  <si>
    <t>topaz apples, grüner veltliner</t>
  </si>
  <si>
    <t>18-0490-15</t>
  </si>
  <si>
    <t>"Cider Natural" Sparkling</t>
  </si>
  <si>
    <t>topaz apples</t>
  </si>
  <si>
    <t>ZRS-0205-22</t>
  </si>
  <si>
    <t>"Epic" Österreich Sparkling White</t>
  </si>
  <si>
    <t>gruner veltliner, welschriesling</t>
  </si>
  <si>
    <t>ZRS-0208-23</t>
  </si>
  <si>
    <t>"Prosa" Österreich Sparkling Rosé</t>
  </si>
  <si>
    <t>ZRS22-0146-21</t>
  </si>
  <si>
    <t>"Foam White" Österreich Sparkling White</t>
  </si>
  <si>
    <t>pinot gris (unpruned vines)</t>
  </si>
  <si>
    <t>ZRS-0622-22</t>
  </si>
  <si>
    <t>11-036-04-NV</t>
  </si>
  <si>
    <t>"Foam Red" Österreich Sparkling Red</t>
  </si>
  <si>
    <t>blaufränkisch, gamaret</t>
  </si>
  <si>
    <t>ZRS-0204-24</t>
  </si>
  <si>
    <t>"Burgenlandwhite" Österreich White</t>
  </si>
  <si>
    <t>grüner veltliner, welschriesling, muscat</t>
  </si>
  <si>
    <t>ZRS-0768-23</t>
  </si>
  <si>
    <t>"Burgenlandred" Österreich Red</t>
  </si>
  <si>
    <t>PAT-03615-20</t>
  </si>
  <si>
    <t>Thyme Blanc Patagonia Provisions Austria White</t>
  </si>
  <si>
    <t>pinot blanc infused with thyme</t>
  </si>
  <si>
    <t xml:space="preserve">   </t>
  </si>
  <si>
    <t>PAT-1286-20</t>
  </si>
  <si>
    <t>Burgenland Rose Patagonia Provisions Austria Rose</t>
  </si>
  <si>
    <t>ZRS-0377-24</t>
  </si>
  <si>
    <t>"Weißer Mulatschak" Österreich White</t>
  </si>
  <si>
    <t>welschriesling, pinot gris, traminer</t>
  </si>
  <si>
    <t>ZRS-0376-23</t>
  </si>
  <si>
    <t>"Roter Mulatschak" Österreich Red</t>
  </si>
  <si>
    <t>sankt laurent, zweigelt (carbonic)</t>
  </si>
  <si>
    <t>ZRS-0206-24</t>
  </si>
  <si>
    <t>Grüner Veltliner Österreich White</t>
  </si>
  <si>
    <t>ZRS-0203-23</t>
  </si>
  <si>
    <t>Blaufränkisch Österreich Red</t>
  </si>
  <si>
    <t>11-036-17-20</t>
  </si>
  <si>
    <t>Pinot Noir Österreich Red</t>
  </si>
  <si>
    <t>no :(</t>
  </si>
  <si>
    <t>ZR-MK-02-21</t>
  </si>
  <si>
    <t>"Graupert Natural" Österreich White</t>
  </si>
  <si>
    <t>18-0481-15</t>
  </si>
  <si>
    <t>"Graupert" Zweigelt Österreich Red</t>
  </si>
  <si>
    <t>zweigelt (unpruned vines)</t>
  </si>
  <si>
    <t>ZR-MK-T3-NV</t>
  </si>
  <si>
    <t>"Tag - Edition 3" Österreich White</t>
  </si>
  <si>
    <t>welschriesling (concrete egg)</t>
  </si>
  <si>
    <t>was $258</t>
  </si>
  <si>
    <t>11-036-07-20</t>
  </si>
  <si>
    <t>"Morgen - Edition 2" Österreich Sparkling Rosé</t>
  </si>
  <si>
    <t>sankt laurent rosé refermented with traminer must</t>
  </si>
  <si>
    <t>was $252</t>
  </si>
  <si>
    <t>ZRS-0207-NV</t>
  </si>
  <si>
    <t>"Nacht - Edition 4" Österreich Red</t>
  </si>
  <si>
    <t>inquire (concrete egg)</t>
  </si>
  <si>
    <t>20-0057-NV2</t>
  </si>
  <si>
    <t>"Abend - Edition 2" Österreich Red</t>
  </si>
  <si>
    <t>cabernet franc (concrete egg)</t>
  </si>
  <si>
    <t>18-0477-14</t>
  </si>
  <si>
    <t>"Konkret Rot" Österreich Red</t>
  </si>
  <si>
    <t>blaufränkisch, sankt laurent (concrete egg)</t>
  </si>
  <si>
    <t>was $330</t>
  </si>
  <si>
    <t>HUNGARY</t>
  </si>
  <si>
    <t>SOMLO</t>
  </si>
  <si>
    <t>ZRS22-0269-21</t>
  </si>
  <si>
    <t>"Foam Vulkán" Somló Sparkling White</t>
  </si>
  <si>
    <t>juhfark, harslevelü</t>
  </si>
  <si>
    <t>ZRS-0623-22</t>
  </si>
  <si>
    <t>ZRS-0626-22</t>
  </si>
  <si>
    <t>"Vulkán No. 4" Somló White</t>
  </si>
  <si>
    <t>BALATON</t>
  </si>
  <si>
    <t>GRAND VIN DE BARNAG  🌱</t>
  </si>
  <si>
    <t>ZRS-0095-21</t>
  </si>
  <si>
    <t>"Diszkó" Balatonmelleki White</t>
  </si>
  <si>
    <t>furmint</t>
  </si>
  <si>
    <t>ZRS-0097-21</t>
  </si>
  <si>
    <t>"Szikra" Balatonmelleki White</t>
  </si>
  <si>
    <t>ZRS-0099-21</t>
  </si>
  <si>
    <t>Furmint Balatonmelleki White</t>
  </si>
  <si>
    <t>ZRS-0096-21</t>
  </si>
  <si>
    <t>"Dzsúz" Balatonmelleki Red</t>
  </si>
  <si>
    <t>ZRS-0098-21</t>
  </si>
  <si>
    <t>Kekfrankos Balatonmelleki Red</t>
  </si>
  <si>
    <t>ZRS-0100-21</t>
  </si>
  <si>
    <t>"Carbonet" Balatonmelleki Red</t>
  </si>
  <si>
    <t>cabernet sauvignon, cabernet franc</t>
  </si>
  <si>
    <t>KRISTINUS BORBIRTOK 🐂</t>
  </si>
  <si>
    <t>ZRS-0225-20</t>
  </si>
  <si>
    <t>"Furmint Ancestral " Balatonboglar Pet-Nat White 6pk</t>
  </si>
  <si>
    <t>ZRS-0226-20</t>
  </si>
  <si>
    <t>"Zenit" Balatonboglar White 6pk</t>
  </si>
  <si>
    <t>zenit</t>
  </si>
  <si>
    <t>ZR-KB-01-21</t>
  </si>
  <si>
    <t>"Analóg" Balatonboglar White</t>
  </si>
  <si>
    <t>olaszrizling (welschriesling), tramini (gewurztraminer), sauvignon blanc</t>
  </si>
  <si>
    <t>ZRS-0512-21</t>
  </si>
  <si>
    <t>"Oliver" Balatonboglar White</t>
  </si>
  <si>
    <t>irsai oliver</t>
  </si>
  <si>
    <t>ZR-KB-03-21</t>
  </si>
  <si>
    <t>"Metamorph" Balatonboglar White</t>
  </si>
  <si>
    <t>sauvignon blanc, olaszrizling (welschriesling)</t>
  </si>
  <si>
    <t>ZR-KB-04-21</t>
  </si>
  <si>
    <t>"Liquid Sunshine" Balatonboglar White</t>
  </si>
  <si>
    <t>chardonnay, szürkebarát (pinot gris)</t>
  </si>
  <si>
    <t>ZR-KB-05-21</t>
  </si>
  <si>
    <t>"Liquid Sundowner" Balatonboglar White</t>
  </si>
  <si>
    <t>tramini, olaszrizling, szürkebarát, chardonnay</t>
  </si>
  <si>
    <t>ZRS-0224-20</t>
  </si>
  <si>
    <t>"Liquid Sundowner" Balatonboglar White 6pk</t>
  </si>
  <si>
    <t>ZRS-1010-22</t>
  </si>
  <si>
    <t>"Siller" Balatonboglar Red</t>
  </si>
  <si>
    <t>ZR-KB-06-20</t>
  </si>
  <si>
    <t>"Kékfrankos Clayver Vári Dulo" Balatonboglar Red</t>
  </si>
  <si>
    <t>BARABAS</t>
  </si>
  <si>
    <t>REKA KONCZ 🌱</t>
  </si>
  <si>
    <t>ZRS20-0005-18</t>
  </si>
  <si>
    <t>"Pretty.cold" Barabás Pét-Nat</t>
  </si>
  <si>
    <t>királyleányka, rhine riesling, hárslevelű, furmint</t>
  </si>
  <si>
    <t>ZRS-0062-22</t>
  </si>
  <si>
    <t>"Robin" Barabás Pét-Nat</t>
  </si>
  <si>
    <t>ZRS36-K05-20</t>
  </si>
  <si>
    <t>"Freiluftkino" Barabás Pét-Nat</t>
  </si>
  <si>
    <t>királyleányka</t>
  </si>
  <si>
    <t>ZRS20-0003-18</t>
  </si>
  <si>
    <t>"(In) Return" Barabás White</t>
  </si>
  <si>
    <t>királyleányka, rhine riesling</t>
  </si>
  <si>
    <t>ZRS-0059-22</t>
  </si>
  <si>
    <t>"Disorder F" Barabas White</t>
  </si>
  <si>
    <t>ZRS-0061-21</t>
  </si>
  <si>
    <t>"Disorder #12" Barabás White</t>
  </si>
  <si>
    <t>ZRS20-0006-18</t>
  </si>
  <si>
    <t>"The Wizard" Barabás White</t>
  </si>
  <si>
    <t>ZRS-0061-22</t>
  </si>
  <si>
    <t>"Óra" Barabás White</t>
  </si>
  <si>
    <t>ZRS-0060-22</t>
  </si>
  <si>
    <t>"Eastern Accents" Barabás White</t>
  </si>
  <si>
    <t>hárslevelű, királyleányka</t>
  </si>
  <si>
    <t>ZRS-0863-22</t>
  </si>
  <si>
    <t>"Liner Notes" Barabás Red</t>
  </si>
  <si>
    <t>cabernet sauvignon, kékfrankos</t>
  </si>
  <si>
    <t>ZRS-0864-22</t>
  </si>
  <si>
    <t>"A Change of Heart" Barabás Red</t>
  </si>
  <si>
    <t>CZECHIA</t>
  </si>
  <si>
    <t>MORAVSKE</t>
  </si>
  <si>
    <t>TŘI SUDY - JEDINY SUD 🌱</t>
  </si>
  <si>
    <t>19-0397-20</t>
  </si>
  <si>
    <t>Belbog Czech Apple Cider</t>
  </si>
  <si>
    <t>belbog apples</t>
  </si>
  <si>
    <t>was $168</t>
  </si>
  <si>
    <t>19-0387-NV</t>
  </si>
  <si>
    <t>"Cuvée ChaSa" Moravské White</t>
  </si>
  <si>
    <t>chardonnay 2018, sauvignon 2019</t>
  </si>
  <si>
    <t>ZRS20-0105-18</t>
  </si>
  <si>
    <t>"Wine Walker" Moravské White</t>
  </si>
  <si>
    <t>ZRS20-0104-19</t>
  </si>
  <si>
    <t>"Winedalf" Moravské White</t>
  </si>
  <si>
    <t>pinot gris, tramín červený</t>
  </si>
  <si>
    <t>19-0396-19</t>
  </si>
  <si>
    <t>Walsch Riesling Moravské White</t>
  </si>
  <si>
    <t>welschriesling (acacia barrels)</t>
  </si>
  <si>
    <t>19-0388-18</t>
  </si>
  <si>
    <t>"Ideal" Moravské Rosé</t>
  </si>
  <si>
    <t>19-0389-19</t>
  </si>
  <si>
    <t>"PG" Pinot Gris Moravské White</t>
  </si>
  <si>
    <t>19-0399-19</t>
  </si>
  <si>
    <t>Gruner Veltliner Moravske White</t>
  </si>
  <si>
    <t>gruner veltliner</t>
  </si>
  <si>
    <t>19-0391-16</t>
  </si>
  <si>
    <t>Pinot Gris Moravské Rosé</t>
  </si>
  <si>
    <t>19-0392-17</t>
  </si>
  <si>
    <t>"SG" Sauvignon Moravské White</t>
  </si>
  <si>
    <t>sauvignon</t>
  </si>
  <si>
    <t>19-0393-18</t>
  </si>
  <si>
    <t>Tramín Oranž Moravské White</t>
  </si>
  <si>
    <t>tramín červený</t>
  </si>
  <si>
    <t>ZRS20-0103-18</t>
  </si>
  <si>
    <t>"Gryv(f)" Moravské White</t>
  </si>
  <si>
    <t>pinot gris, riesling</t>
  </si>
  <si>
    <t>19-0390-17</t>
  </si>
  <si>
    <t>"PN" Pinot Noir Moravské Red</t>
  </si>
  <si>
    <t>19-0398-18</t>
  </si>
  <si>
    <t>Dornfelder Moravske Red</t>
  </si>
  <si>
    <t>dornfelder</t>
  </si>
  <si>
    <t>19-0394-20</t>
  </si>
  <si>
    <t>"Blue Dwarf" Moravské Red</t>
  </si>
  <si>
    <t>blauer portugeiser, st. laurent</t>
  </si>
  <si>
    <r>
      <rPr>
        <sz val="14"/>
        <color rgb="FF000000"/>
        <rFont val="Helvetica Neue"/>
        <family val="2"/>
      </rPr>
      <t xml:space="preserve">VINO LOIGI 🐂 - </t>
    </r>
    <r>
      <rPr>
        <i/>
        <sz val="14"/>
        <color rgb="FF000000"/>
        <rFont val="Helvetica Neue"/>
        <family val="2"/>
      </rPr>
      <t>new vintages!</t>
    </r>
  </si>
  <si>
    <t>ZRS-1122-22</t>
  </si>
  <si>
    <t>"Bubbles Touch" Moravske Sparkling</t>
  </si>
  <si>
    <t>ZRS-1104-22</t>
  </si>
  <si>
    <t>"VZ" Moravské White</t>
  </si>
  <si>
    <t>veltlínské zelené (grüner veltliner)</t>
  </si>
  <si>
    <t>ZRS-1102-22</t>
  </si>
  <si>
    <t>"Ryzlink Rynsky" Moravske White</t>
  </si>
  <si>
    <t>ZRS-1101-22</t>
  </si>
  <si>
    <t>"Three Elements" Moravské White</t>
  </si>
  <si>
    <t>pinot blanc, riesling, grüner veltliner</t>
  </si>
  <si>
    <t>ZRS-1103-19</t>
  </si>
  <si>
    <t>Pinot Blanc Moravske White</t>
  </si>
  <si>
    <t>11-046-03-19</t>
  </si>
  <si>
    <t>"MT Pod Lesem" Moravské White</t>
  </si>
  <si>
    <t>11-046-01-17</t>
  </si>
  <si>
    <t>"CH Selection" Moravské White</t>
  </si>
  <si>
    <t>11-046-07-18</t>
  </si>
  <si>
    <t>"VZ Skalky" Moravské White</t>
  </si>
  <si>
    <t>11-046-02-18</t>
  </si>
  <si>
    <t>"CH Skalky" Moravské White</t>
  </si>
  <si>
    <t>11-046-04-18</t>
  </si>
  <si>
    <t>"PB PN" Moravské White</t>
  </si>
  <si>
    <t>pinot blanc, pinot noir</t>
  </si>
  <si>
    <t>SLOVAKIA</t>
  </si>
  <si>
    <t>BRATISLAVA</t>
  </si>
  <si>
    <r>
      <rPr>
        <sz val="14"/>
        <color rgb="FF000000"/>
        <rFont val="Helvetica Neue"/>
        <family val="2"/>
      </rPr>
      <t xml:space="preserve">NABOSO 🌱 - </t>
    </r>
    <r>
      <rPr>
        <i/>
        <sz val="14"/>
        <color rgb="FF000000"/>
        <rFont val="Helvetica Neue"/>
        <family val="2"/>
      </rPr>
      <t>new vintages!</t>
    </r>
  </si>
  <si>
    <t>ZRS-0307-23</t>
  </si>
  <si>
    <t>"Opera" Sparkling White</t>
  </si>
  <si>
    <t>müller-thurgau, moravian muskat, pinot gris</t>
  </si>
  <si>
    <t>ZRS-0862-23</t>
  </si>
  <si>
    <t>"Opera" Sparkling Rosé</t>
  </si>
  <si>
    <t>blaufränkisch, st. laurent, riesling</t>
  </si>
  <si>
    <t>ZRS-1407-22</t>
  </si>
  <si>
    <t>"Labyrint 2" Slovakia White</t>
  </si>
  <si>
    <t>ZRS-1408-21</t>
  </si>
  <si>
    <t>"Labyrint 3" Slovakia White</t>
  </si>
  <si>
    <t>ZRS-0306-22</t>
  </si>
  <si>
    <t>"Doma" White</t>
  </si>
  <si>
    <t>welschriesling, grüner veltliner, red traminer, red sylvaner</t>
  </si>
  <si>
    <t>ZRS22-0072-17</t>
  </si>
  <si>
    <t>"Orbis" White</t>
  </si>
  <si>
    <t>ZRS-0309-24</t>
  </si>
  <si>
    <t>"Zore" Red</t>
  </si>
  <si>
    <t>andré (cross between blaufränkisch &amp; st. laurent)</t>
  </si>
  <si>
    <t>ZRS-0308-22</t>
  </si>
  <si>
    <t>"Spolu" Red</t>
  </si>
  <si>
    <t>müller-thurgau, blaufränkisch, welschriesling, grüner veltliner</t>
  </si>
  <si>
    <t>ZRS-0821-22</t>
  </si>
  <si>
    <t>"Ritual" Red</t>
  </si>
  <si>
    <t>TRNAVA</t>
  </si>
  <si>
    <t>SLOBODNE VINARTSVO 🐂</t>
  </si>
  <si>
    <t>ZRS-0849-NV</t>
  </si>
  <si>
    <t>Majer 2 Slovakia White</t>
  </si>
  <si>
    <t>devin, grüner veltliner, sauvignon blanc, traminer</t>
  </si>
  <si>
    <t>18-0606-19</t>
  </si>
  <si>
    <t>"Traja Boxeri" White</t>
  </si>
  <si>
    <t>18-0608-15</t>
  </si>
  <si>
    <t>"Interval 103" White</t>
  </si>
  <si>
    <t>riesling, grüner veltliner</t>
  </si>
  <si>
    <t>ZRS22-0278-21</t>
  </si>
  <si>
    <t>"Smetana" Sparkling White</t>
  </si>
  <si>
    <t>ZRS22-0277-18</t>
  </si>
  <si>
    <t>"Interval 106" White</t>
  </si>
  <si>
    <t>macerated, semi-carbonic riesling &amp; un-macerated riesling</t>
  </si>
  <si>
    <t>ZRS-0848-22</t>
  </si>
  <si>
    <t>"Vronski" White</t>
  </si>
  <si>
    <t>ZRS22-0279-18</t>
  </si>
  <si>
    <t>"pArtisan Cru" White</t>
  </si>
  <si>
    <t>riesling, sauvignon blanc, traminer</t>
  </si>
  <si>
    <t>19-0915-18</t>
  </si>
  <si>
    <t>"Pinoterra" White</t>
  </si>
  <si>
    <t>ZRS200154-NV</t>
  </si>
  <si>
    <t>"Pinoterra II" White</t>
  </si>
  <si>
    <t>ZRS200150-20</t>
  </si>
  <si>
    <t>"Hopera" White</t>
  </si>
  <si>
    <t>grüner veltliner, sauvignon blanc, wild hops</t>
  </si>
  <si>
    <t>ZRS200151-17</t>
  </si>
  <si>
    <t>"Jantara" White</t>
  </si>
  <si>
    <t>ZRS-0852-20</t>
  </si>
  <si>
    <t>"Deviner" White</t>
  </si>
  <si>
    <t>devin, traminer</t>
  </si>
  <si>
    <t>ZRS-0851-20</t>
  </si>
  <si>
    <t>"Supermajer" White</t>
  </si>
  <si>
    <t>ZRS22-0282-20</t>
  </si>
  <si>
    <t>"Oranžista" White</t>
  </si>
  <si>
    <t>19-0912-17</t>
  </si>
  <si>
    <t>"Cutis Pinoter" White</t>
  </si>
  <si>
    <t>pinot gris, grüner veltliner</t>
  </si>
  <si>
    <t>ZRS22-0280-19</t>
  </si>
  <si>
    <t>"Cutis Deviner" White</t>
  </si>
  <si>
    <t>traminer, devin</t>
  </si>
  <si>
    <t>ZRS-0865-19</t>
  </si>
  <si>
    <t>"Eggstasy of Wine Alpinist" White</t>
  </si>
  <si>
    <t>ZRS-0847-21</t>
  </si>
  <si>
    <t>"Veltlina" White</t>
  </si>
  <si>
    <t>19-0913-17</t>
  </si>
  <si>
    <t>"Devina" White</t>
  </si>
  <si>
    <t>ZRS20158-15</t>
  </si>
  <si>
    <t>"Pyramid Amphora" White</t>
  </si>
  <si>
    <t>19-0916-20</t>
  </si>
  <si>
    <t>"Rebela Rosa" Rosé</t>
  </si>
  <si>
    <t>blaüfrankisch, cabernet sauvignon</t>
  </si>
  <si>
    <t>ZRS22-0276-20</t>
  </si>
  <si>
    <t>"Le Rose et Le Vampire" Rosé</t>
  </si>
  <si>
    <t>blaufränkisch, cabernet sauvignon (concrete egg)</t>
  </si>
  <si>
    <t>ZRS-0850-NV</t>
  </si>
  <si>
    <t>"Majer 3" Red</t>
  </si>
  <si>
    <t>blaüfrankisch, cabernet sauvignon, alibernet</t>
  </si>
  <si>
    <t>ZRS200153-17</t>
  </si>
  <si>
    <t>"pArtisan Cru" Red</t>
  </si>
  <si>
    <t>blaufränkisch, alibernet, cabernet sauvignon</t>
  </si>
  <si>
    <t>ZRS22-0281-18</t>
  </si>
  <si>
    <t>"Alternativa" Red</t>
  </si>
  <si>
    <t>NITRA</t>
  </si>
  <si>
    <t>PIVNICA BRHLOVCE 🌱🐂</t>
  </si>
  <si>
    <t>ZRS-0459-22</t>
  </si>
  <si>
    <t>"Blá Blá" Pét-Nat Rosé</t>
  </si>
  <si>
    <t>frankovka modrá</t>
  </si>
  <si>
    <t>ZRS-0460-NV</t>
  </si>
  <si>
    <t>"Bonka" Pet-Nat Rosé</t>
  </si>
  <si>
    <t>pesecká leánka, veltlínske zelené, chrupka biela, frankovka modrá</t>
  </si>
  <si>
    <t xml:space="preserve">ZRS-0462-21 </t>
  </si>
  <si>
    <t>"Impression" White</t>
  </si>
  <si>
    <t>19-0573-19</t>
  </si>
  <si>
    <t>"Nobl Sediment" White</t>
  </si>
  <si>
    <t>ZRS-0461-22</t>
  </si>
  <si>
    <t>"Happiness" White</t>
  </si>
  <si>
    <t>pesecká leánka</t>
  </si>
  <si>
    <t>19-0584-20</t>
  </si>
  <si>
    <t>"Rustikal" Rosé</t>
  </si>
  <si>
    <t>otelo (isabella), blaufränkisch</t>
  </si>
  <si>
    <t>18-0796-19</t>
  </si>
  <si>
    <t>"Surreal" Pinot Noir</t>
  </si>
  <si>
    <t>18-0795-17</t>
  </si>
  <si>
    <t>"Kora Bella" Red</t>
  </si>
  <si>
    <t>alibernet, blaufränkisch</t>
  </si>
  <si>
    <t>was $186</t>
  </si>
  <si>
    <t>18-0779-18</t>
  </si>
  <si>
    <t>"Wild Beauty" Red</t>
  </si>
  <si>
    <t>CROATIA</t>
  </si>
  <si>
    <t>CROATIAN UPLANDS</t>
  </si>
  <si>
    <t>PODRUM FRANJO (Krešo Petrekovic, Plješivica) 🌱</t>
  </si>
  <si>
    <t>ZRS-0766-19</t>
  </si>
  <si>
    <t>"Skila" Pljesivica White</t>
  </si>
  <si>
    <t>ZRS-0671-22</t>
  </si>
  <si>
    <t>"Hinuk" Pljesvica White</t>
  </si>
  <si>
    <t>riesling, pinot gris, plavec, sipalj, kraljevina, yellow muscat</t>
  </si>
  <si>
    <t>ZRS-0674-20</t>
  </si>
  <si>
    <t>"Kunih" White</t>
  </si>
  <si>
    <t>ZRS-0672-21</t>
  </si>
  <si>
    <t>"Rudi" Pljesivica White</t>
  </si>
  <si>
    <t>ZRS-1133-21</t>
  </si>
  <si>
    <t>"Aubiks" Pljesivica Rosé</t>
  </si>
  <si>
    <t>b. koelner &amp; blaufränkisch, riesling, p. gris, plavec, sipalj, kraljevina, yellow muscat</t>
  </si>
  <si>
    <t>ZRS-0670-20</t>
  </si>
  <si>
    <t>"Muz" Pljesivica Red</t>
  </si>
  <si>
    <t>blauer Koelner, blaufränkisch, pinot gris, concord</t>
  </si>
  <si>
    <t>KOSOVEC (Ivan Kosovec, Popovača) 🌱</t>
  </si>
  <si>
    <t>ZRS601-18</t>
  </si>
  <si>
    <t>Škrlet Moslavina White</t>
  </si>
  <si>
    <t>škrlet</t>
  </si>
  <si>
    <t>ZRS600-19</t>
  </si>
  <si>
    <t>Frankovka Moslavina Red</t>
  </si>
  <si>
    <t>frankovka (blaufränkisch)</t>
  </si>
  <si>
    <t>ZRS602-18</t>
  </si>
  <si>
    <t>Zweigelt Moslavina Red</t>
  </si>
  <si>
    <t>ISTRIA</t>
  </si>
  <si>
    <t>CLAI WINES 🌱</t>
  </si>
  <si>
    <t>ZRS-0881-22</t>
  </si>
  <si>
    <t>"Baracija" Malvazija White</t>
  </si>
  <si>
    <t>malvasia</t>
  </si>
  <si>
    <t>ZRS-0885-22</t>
  </si>
  <si>
    <t>"Baracija" Refošk Red</t>
  </si>
  <si>
    <t>refosco</t>
  </si>
  <si>
    <t>ZRS-0884-19</t>
  </si>
  <si>
    <t>Pjenušac Brut Nature</t>
  </si>
  <si>
    <t>malvasia, chardonnay, plavina</t>
  </si>
  <si>
    <t>ZRS-0882-20</t>
  </si>
  <si>
    <t>"Ottocento" Istria White</t>
  </si>
  <si>
    <t>malvasia, pinot gris, sauvignon blanc, chardonnay</t>
  </si>
  <si>
    <t>ZRS22-0076-17</t>
  </si>
  <si>
    <t>ZRS-0886-20</t>
  </si>
  <si>
    <t>"Ottocento" Istria Red</t>
  </si>
  <si>
    <t>refosco, merlot</t>
  </si>
  <si>
    <t>ZRS-0883-20</t>
  </si>
  <si>
    <t>"Sv. Jakov" Malvazija White</t>
  </si>
  <si>
    <t>DALMATIA</t>
  </si>
  <si>
    <r>
      <rPr>
        <sz val="14"/>
        <color rgb="FF000000"/>
        <rFont val="Helvetica Neue"/>
        <family val="2"/>
      </rPr>
      <t xml:space="preserve">DOMAINE BIBICH (Alen &amp; Filip Bibić, Skradin) 🌱- </t>
    </r>
    <r>
      <rPr>
        <i/>
        <sz val="14"/>
        <color rgb="FF000000"/>
        <rFont val="Helvetica Neue"/>
        <family val="2"/>
      </rPr>
      <t>new vintages!</t>
    </r>
  </si>
  <si>
    <t>ZRS-0639-24</t>
  </si>
  <si>
    <t>"Bilo" Dalmatia White</t>
  </si>
  <si>
    <t>debit</t>
  </si>
  <si>
    <t>ZRS-1333-NV</t>
  </si>
  <si>
    <t>Orange Dalmatia White</t>
  </si>
  <si>
    <t>skin-contact debit, chardonnay, pinot grigio</t>
  </si>
  <si>
    <t>ZRS-0973-24</t>
  </si>
  <si>
    <t>"Žutina" Dalmatia White</t>
  </si>
  <si>
    <t>skin-contact debit</t>
  </si>
  <si>
    <t>ZRS-0975-22</t>
  </si>
  <si>
    <t>"Think Pink" Dalmatia Rosé</t>
  </si>
  <si>
    <t>ZRS20-0152-19</t>
  </si>
  <si>
    <t>"Opol" Dalmatia Red</t>
  </si>
  <si>
    <t>debit, plavina, muscat</t>
  </si>
  <si>
    <t>ZRS-0641-22</t>
  </si>
  <si>
    <t>"Cuvee" Dalmatia Red</t>
  </si>
  <si>
    <t>plavina, lasin, babic</t>
  </si>
  <si>
    <t>ZRS-0640-22</t>
  </si>
  <si>
    <t>"CRNO" Dalmatia Red</t>
  </si>
  <si>
    <t>ZRS-0974-19</t>
  </si>
  <si>
    <t>Plavina Dalmatia Red</t>
  </si>
  <si>
    <t>plavina</t>
  </si>
  <si>
    <t>COTA VINA 🌱</t>
  </si>
  <si>
    <t>ZRS22-0420-21</t>
  </si>
  <si>
    <t>"Baba Manda" Prominsko Vinogorje White</t>
  </si>
  <si>
    <t>debit, maraština</t>
  </si>
  <si>
    <t>ZRS22-0421-21</t>
  </si>
  <si>
    <t>"L'Apacha" Prominsko Vinogorje Rosé</t>
  </si>
  <si>
    <t>ZRS-0706-21</t>
  </si>
  <si>
    <t>"Pero J'Dero" Prominsko Vinogorje Red</t>
  </si>
  <si>
    <t>plavina, lasin, merlot</t>
  </si>
  <si>
    <t>ZRS-0707-21</t>
  </si>
  <si>
    <t>T`Jacques Croatia Red</t>
  </si>
  <si>
    <t>MARINOV (Primošten) 🌱</t>
  </si>
  <si>
    <t>ZRS-0157-20</t>
  </si>
  <si>
    <t>Babić Croatia Red</t>
  </si>
  <si>
    <t>babić</t>
  </si>
  <si>
    <t>VINAS MORA (Primošten) 🌱</t>
  </si>
  <si>
    <t>ZRS-0185-22</t>
  </si>
  <si>
    <t>"Barbba" Croatia Red</t>
  </si>
  <si>
    <t>plavina, lasin, babić, marastina, debit (co-ferment)</t>
  </si>
  <si>
    <t>ZRS-0185-22M</t>
  </si>
  <si>
    <t>"Barbba" Croatia Red 1.5L</t>
  </si>
  <si>
    <t>ZRS-0185-223L</t>
  </si>
  <si>
    <t>"Barbba" Croatia Red 3L</t>
  </si>
  <si>
    <t>3000ml</t>
  </si>
  <si>
    <t>ZRS-0184-22</t>
  </si>
  <si>
    <t>"Andreis" Croatia Red</t>
  </si>
  <si>
    <t>ZRS-0184-21M</t>
  </si>
  <si>
    <t>"Andreis" Croatia Red 1.5L</t>
  </si>
  <si>
    <t>ZRS-0184-21J</t>
  </si>
  <si>
    <t>"Andreis" Croatia Red 3L</t>
  </si>
  <si>
    <t>ZRS-0513-21</t>
  </si>
  <si>
    <t>"Vino Kaamen" Croatia Red</t>
  </si>
  <si>
    <t>ZRS-0513-21M</t>
  </si>
  <si>
    <t>"Vino Kaamen" Croatia Red 1.5L</t>
  </si>
  <si>
    <t>ZRS-0513-213L</t>
  </si>
  <si>
    <t>"Vino Kaamen" Croatia Red 3L</t>
  </si>
  <si>
    <t>ZRS-0514-21</t>
  </si>
  <si>
    <t>"Vino Kaamen II" Croatia Red</t>
  </si>
  <si>
    <t>ZRS-0514-21J</t>
  </si>
  <si>
    <t>"Vino Kaamen II" Croatia Red 3L</t>
  </si>
  <si>
    <t>ZRS-0186-21</t>
  </si>
  <si>
    <t>"Vino Kaamen III" Croatia Red</t>
  </si>
  <si>
    <t>ZRS-0186-21J</t>
  </si>
  <si>
    <t>KAIROS (Kastela) 🌱 - new to portfolio!</t>
  </si>
  <si>
    <t>ZRS-1318-18</t>
  </si>
  <si>
    <t>"Plano" Red Croatia Red</t>
  </si>
  <si>
    <t>zinfandel</t>
  </si>
  <si>
    <r>
      <rPr>
        <sz val="14"/>
        <color rgb="FF000000"/>
        <rFont val="Helvetica Neue"/>
        <family val="2"/>
      </rPr>
      <t xml:space="preserve">TERRA MADRE 🌱 - </t>
    </r>
    <r>
      <rPr>
        <i/>
        <sz val="14"/>
        <color rgb="FF000000"/>
        <rFont val="Helvetica Neue"/>
        <family val="2"/>
      </rPr>
      <t>new to portfolio!</t>
    </r>
  </si>
  <si>
    <t>ZRS-1317-21</t>
  </si>
  <si>
    <t>Plavac Mali Dalmatia Red</t>
  </si>
  <si>
    <t>plavac mali</t>
  </si>
  <si>
    <t>LASTOVO</t>
  </si>
  <si>
    <t>SV. VICENCO (Lastovo) 🌱</t>
  </si>
  <si>
    <t>11-065-03-17</t>
  </si>
  <si>
    <t>"Noni" Lastovo Red</t>
  </si>
  <si>
    <t>plavac mali, plavina, cabernet sauvignon</t>
  </si>
  <si>
    <t>11-065-04-16</t>
  </si>
  <si>
    <t>Plavac Lastovo Red</t>
  </si>
  <si>
    <t>SMOKVICA</t>
  </si>
  <si>
    <t>NEGOTIANS VINARIUS (Marinovic family &amp; Marko Kovac, Korčula) 🌱</t>
  </si>
  <si>
    <t>ZRS701-19</t>
  </si>
  <si>
    <t>Pošip Smokvica White</t>
  </si>
  <si>
    <t>pošip</t>
  </si>
  <si>
    <t>ZRS700-19</t>
  </si>
  <si>
    <t>Plavac Smokvica Red</t>
  </si>
  <si>
    <t>plavac</t>
  </si>
  <si>
    <t>SLOVENIA</t>
  </si>
  <si>
    <t>POSAVJE</t>
  </si>
  <si>
    <t>KELTIS WINERY 🐂</t>
  </si>
  <si>
    <t>11-061-01-20</t>
  </si>
  <si>
    <t>Tuchek Bizeljsko Cider Pét-Nat</t>
  </si>
  <si>
    <t>bobovec, kanadka, carjevič, mošancelj, krivopecelj apples</t>
  </si>
  <si>
    <t>ZRS-1163-23</t>
  </si>
  <si>
    <t>"Mufi" Bizeljsko Sparkling</t>
  </si>
  <si>
    <t>rumeni muskat</t>
  </si>
  <si>
    <t>ZRS22-0273-NV</t>
  </si>
  <si>
    <t>"Mario Natur" Sparkling White</t>
  </si>
  <si>
    <t>chardonnay, rumeni plavec</t>
  </si>
  <si>
    <t>ZRS22-0272-NV</t>
  </si>
  <si>
    <t>"Mario Rozé" Sparkling Rosé</t>
  </si>
  <si>
    <t>ZRS-1162-22</t>
  </si>
  <si>
    <t>"Žan" White</t>
  </si>
  <si>
    <t>rumeni plavec, chardonnay, riesling, pinot noir, muscat</t>
  </si>
  <si>
    <t>ZRS-0637-21</t>
  </si>
  <si>
    <t>"Žan" Red</t>
  </si>
  <si>
    <t>b. koelner, blaufrankisch, rumeni plavec, chard., riesling, p. noir, muscat</t>
  </si>
  <si>
    <t>ZRS-1164-23</t>
  </si>
  <si>
    <t>Traminec Slovenia White</t>
  </si>
  <si>
    <t>ZRS-0920-22</t>
  </si>
  <si>
    <t>Rumeni Muskat Slovenia White</t>
  </si>
  <si>
    <t>yellow muskat</t>
  </si>
  <si>
    <t>ZRS-0638-21</t>
  </si>
  <si>
    <t>Riesling Bizeljsko White</t>
  </si>
  <si>
    <t>17-0953-15</t>
  </si>
  <si>
    <t>Chardonnay</t>
  </si>
  <si>
    <t>17-0556-NV</t>
  </si>
  <si>
    <t>"Cuvée Extrême"</t>
  </si>
  <si>
    <t>riesling, chardonnay, pinot gris, traminer, muscat</t>
  </si>
  <si>
    <t>18-0745-18</t>
  </si>
  <si>
    <t>Pinot Gris</t>
  </si>
  <si>
    <t>17-0555-NV</t>
  </si>
  <si>
    <t>Cabernet Sauvignon</t>
  </si>
  <si>
    <t>ZRS22-0274-NV</t>
  </si>
  <si>
    <t>Rdeči Kelt</t>
  </si>
  <si>
    <t>PODRAVJE</t>
  </si>
  <si>
    <t>SUMENJAK 🌱</t>
  </si>
  <si>
    <t>ZRS-0464-21</t>
  </si>
  <si>
    <t>Pét-Nat</t>
  </si>
  <si>
    <t>muscat, pinot blanc, riesling</t>
  </si>
  <si>
    <t>ZRS-0468-20</t>
  </si>
  <si>
    <t>Sauvignon</t>
  </si>
  <si>
    <t>ZRS-0467-20</t>
  </si>
  <si>
    <t>Riesling</t>
  </si>
  <si>
    <t>ZRS903-19</t>
  </si>
  <si>
    <t>ZRS-0463-20</t>
  </si>
  <si>
    <t>"Alter" White</t>
  </si>
  <si>
    <t>chardonnay, riesling, pinot grigio</t>
  </si>
  <si>
    <t>ZRS-0465-20</t>
  </si>
  <si>
    <t>Pinot Grigio</t>
  </si>
  <si>
    <t>pinot grigio</t>
  </si>
  <si>
    <t>ZRS-0466-21</t>
  </si>
  <si>
    <t>Pinot Noir</t>
  </si>
  <si>
    <t>VIPAVA VALLEY</t>
  </si>
  <si>
    <r>
      <rPr>
        <sz val="14"/>
        <color rgb="FF000000"/>
        <rFont val="Helvetica Neue"/>
        <family val="2"/>
      </rPr>
      <t xml:space="preserve">VINA KRAPEZ 🌱 - </t>
    </r>
    <r>
      <rPr>
        <i/>
        <sz val="14"/>
        <color rgb="FF000000"/>
        <rFont val="Helvetica Neue"/>
        <family val="2"/>
      </rPr>
      <t>new vintages!</t>
    </r>
  </si>
  <si>
    <t>ZRS-0019-21</t>
  </si>
  <si>
    <t>"White Classic" Vipava Valley White</t>
  </si>
  <si>
    <t>welschriesling, malvazija</t>
  </si>
  <si>
    <t>ZRS-0919-22</t>
  </si>
  <si>
    <t>Zelen Vipava Valley White</t>
  </si>
  <si>
    <t>zelen</t>
  </si>
  <si>
    <t>ZR-VK-01-20</t>
  </si>
  <si>
    <t>Malvazija Vipava Valley White</t>
  </si>
  <si>
    <t>malvazija</t>
  </si>
  <si>
    <t>ZRS-1411-20</t>
  </si>
  <si>
    <t>"Lapor Belo" Vipava Valley White</t>
  </si>
  <si>
    <t>chardonnay, pinela, rebula</t>
  </si>
  <si>
    <r>
      <rPr>
        <sz val="14"/>
        <color rgb="FF000000"/>
        <rFont val="Helvetica Neue"/>
        <family val="2"/>
      </rPr>
      <t xml:space="preserve">BURJA ESTATE 🐂 - </t>
    </r>
    <r>
      <rPr>
        <i/>
        <sz val="14"/>
        <color rgb="FF000000"/>
        <rFont val="Helvetica Neue"/>
        <family val="2"/>
      </rPr>
      <t>new cuvées!</t>
    </r>
  </si>
  <si>
    <t>ZRS-1412-23</t>
  </si>
  <si>
    <t>Grasica Vipava Valley White</t>
  </si>
  <si>
    <t>ZRS-1413-22</t>
  </si>
  <si>
    <t>Stranpoti Vipava Valley White</t>
  </si>
  <si>
    <t>19-0761-18</t>
  </si>
  <si>
    <t>ZR-BU-02-21</t>
  </si>
  <si>
    <t>ZR-BU-01-20</t>
  </si>
  <si>
    <t>"Bela" Vipava Valley White</t>
  </si>
  <si>
    <t>malvazija, laški rizling (welschriesling), rebula (ribolla gialla), vipavec</t>
  </si>
  <si>
    <t>19-0760-17</t>
  </si>
  <si>
    <t>"Stranice" Vipava Valley White</t>
  </si>
  <si>
    <t>19-0759-20</t>
  </si>
  <si>
    <t>"Roza" Vipava Valley Rosé</t>
  </si>
  <si>
    <t>ZR-BU-03-20</t>
  </si>
  <si>
    <t>"Noir" Vipava Valley Red</t>
  </si>
  <si>
    <t>modri pinot (pinot noir)</t>
  </si>
  <si>
    <t>ZR-BU-04-20</t>
  </si>
  <si>
    <t>"Reddo" Vipava Valley Red</t>
  </si>
  <si>
    <t>pokalca (schioppettino), modra frankinja (blaufränkisch), refošk (refosco)</t>
  </si>
  <si>
    <t>GORISKA BRDA</t>
  </si>
  <si>
    <r>
      <rPr>
        <sz val="14"/>
        <color rgb="FF000000"/>
        <rFont val="Helvetica Neue"/>
        <family val="2"/>
      </rPr>
      <t xml:space="preserve">NANDO 🌱 - </t>
    </r>
    <r>
      <rPr>
        <i/>
        <sz val="14"/>
        <color rgb="FF000000"/>
        <rFont val="Helvetica Neue"/>
        <family val="2"/>
      </rPr>
      <t>new vintages!</t>
    </r>
  </si>
  <si>
    <t>ZRS-1288-22</t>
  </si>
  <si>
    <t>Malvazija Slovenia White</t>
  </si>
  <si>
    <t>ZRS-0161-22</t>
  </si>
  <si>
    <t>Rebula Primorska White</t>
  </si>
  <si>
    <t>rebula</t>
  </si>
  <si>
    <t>ZRS-0158-22</t>
  </si>
  <si>
    <t>Jakot Primorska White</t>
  </si>
  <si>
    <t>jakot</t>
  </si>
  <si>
    <t>ZRS-0159-19</t>
  </si>
  <si>
    <t>"Ma Jantar" Primorska White</t>
  </si>
  <si>
    <t>ZRS-0160-19</t>
  </si>
  <si>
    <t>"Re Jantar" Primorska White</t>
  </si>
  <si>
    <t>ITALY</t>
  </si>
  <si>
    <r>
      <rPr>
        <sz val="14"/>
        <color rgb="FF000000"/>
        <rFont val="Helvetica Neue"/>
        <family val="2"/>
      </rPr>
      <t xml:space="preserve">DJUCE 🌱 (fruit sourced from Cirelli + Meinklang, &amp; others) - </t>
    </r>
    <r>
      <rPr>
        <i/>
        <sz val="14"/>
        <color rgb="FF000000"/>
        <rFont val="Helvetica Neue"/>
        <family val="2"/>
      </rPr>
      <t>new vintages!</t>
    </r>
  </si>
  <si>
    <t>ZRS-0455-22</t>
  </si>
  <si>
    <r>
      <rPr>
        <sz val="10"/>
        <color rgb="FF000000"/>
        <rFont val="Helvetica Neue"/>
        <family val="2"/>
      </rPr>
      <t xml:space="preserve">CORE "White Spritzer" 200mL cans - </t>
    </r>
    <r>
      <rPr>
        <i/>
        <sz val="10"/>
        <color rgb="FF000000"/>
        <rFont val="Helvetica Neue"/>
        <family val="2"/>
      </rPr>
      <t>new!</t>
    </r>
  </si>
  <si>
    <t>ZRS-1209-NV</t>
  </si>
  <si>
    <t>CORE "Rose Spritzer" 200mL cans</t>
  </si>
  <si>
    <t>montepulciano</t>
  </si>
  <si>
    <t>CORE "Fizzy White"  200mL cans</t>
  </si>
  <si>
    <t>trebbiano, moscato</t>
  </si>
  <si>
    <t>ZRS-0454-NV</t>
  </si>
  <si>
    <t>CORE "Crisp White" 200mL cans</t>
  </si>
  <si>
    <t>trebbiano</t>
  </si>
  <si>
    <t>ZRS-1221-NVX24</t>
  </si>
  <si>
    <t>CORE "Juicy Orange"  200mL cans</t>
  </si>
  <si>
    <t>white blend</t>
  </si>
  <si>
    <t>ZRS-0453-NV</t>
  </si>
  <si>
    <t>CORE "Chilled Red"  200mL cans</t>
  </si>
  <si>
    <t xml:space="preserve"> </t>
  </si>
  <si>
    <t>ZRS-1438-NV</t>
  </si>
  <si>
    <r>
      <rPr>
        <sz val="10"/>
        <color rgb="FF000000"/>
        <rFont val="Helvetica Neue"/>
        <family val="2"/>
      </rPr>
      <t>Seckinger "Vice" 250mL cans -</t>
    </r>
    <r>
      <rPr>
        <i/>
        <sz val="10"/>
        <color rgb="FF000000"/>
        <rFont val="Helvetica Neue"/>
        <family val="2"/>
      </rPr>
      <t xml:space="preserve"> new!</t>
    </r>
  </si>
  <si>
    <t>pinot blanc, pinot gris, sauvignon blanc</t>
  </si>
  <si>
    <t>250ml</t>
  </si>
  <si>
    <t>ZR-DJ-02-22</t>
  </si>
  <si>
    <t>Cirelli Italy Bianco 250mL cans</t>
  </si>
  <si>
    <t>ZRS-0458-NV</t>
  </si>
  <si>
    <t>Meinklang "Rosa" Fizzy Rosé 250mL cans</t>
  </si>
  <si>
    <t>zweigelt, blaufränkisch, pinot noir</t>
  </si>
  <si>
    <t>ZR-DJ-09-22</t>
  </si>
  <si>
    <t>Meinklang "Knusprig" White 250mL cans</t>
  </si>
  <si>
    <t>ZR-DJ-08-21</t>
  </si>
  <si>
    <t>Meinklang "Kontext" Orange 250mL cans</t>
  </si>
  <si>
    <t>welschriesling, pinot gris, grüner veltliner</t>
  </si>
  <si>
    <t>ZRS-1221-NV</t>
  </si>
  <si>
    <t>CORE "Juicy Orange" POUCHES - 1.5L</t>
  </si>
  <si>
    <t>FRIULI-VENEZIA-GIULIA</t>
  </si>
  <si>
    <t>DARIO PRINCIC 🌱</t>
  </si>
  <si>
    <t>ZRS-0897-NV</t>
  </si>
  <si>
    <t>Venezia Giulia Bianco</t>
  </si>
  <si>
    <t>sauvignon blanc, chardonnay, pinot grigio</t>
  </si>
  <si>
    <t>ZRS-0898-NV</t>
  </si>
  <si>
    <t>Venezia Giulia Rosso</t>
  </si>
  <si>
    <t>ZRS-0899-19</t>
  </si>
  <si>
    <t>Sauvignon Blanc Venezia Giulia</t>
  </si>
  <si>
    <t>ZRS-0893-19</t>
  </si>
  <si>
    <t>Ribolla Gialla Venezia Giulia</t>
  </si>
  <si>
    <t>ribolla gialla</t>
  </si>
  <si>
    <t>ZRS-0895-20</t>
  </si>
  <si>
    <t>"Jakot" Venezia Giulia</t>
  </si>
  <si>
    <t>tokaj friulano</t>
  </si>
  <si>
    <t>ZRS22-0158-18</t>
  </si>
  <si>
    <t>ZRS-0894-20</t>
  </si>
  <si>
    <t>"Bianco Trebež" Venezia Giulia</t>
  </si>
  <si>
    <t>ZRS-0896-20</t>
  </si>
  <si>
    <t>"Sivi" Venezia Giulia</t>
  </si>
  <si>
    <t>ZRS22-0159-18</t>
  </si>
  <si>
    <t>17-0911-02</t>
  </si>
  <si>
    <t>Cabernet Sauvignon Venezia Giulia</t>
  </si>
  <si>
    <t>17-0912-13</t>
  </si>
  <si>
    <t>Merlot Venezia Giulia</t>
  </si>
  <si>
    <t>EMILIA-ROMAGNA</t>
  </si>
  <si>
    <t>SEBASTIAN VAN DE SYPE  🌱</t>
  </si>
  <si>
    <t>ZRS-1247-23</t>
  </si>
  <si>
    <t>Rosato Frizzante Rosato dell`Emilia IGT Sparkling</t>
  </si>
  <si>
    <t>lambrusco grasparossa, trebbiano</t>
  </si>
  <si>
    <t>ZRS-0272-21</t>
  </si>
  <si>
    <t>Lambrusco Grasparossa di Castelvetro Sparkling Red</t>
  </si>
  <si>
    <t>lambrusco grasparossa</t>
  </si>
  <si>
    <t>$132 on 14cs</t>
  </si>
  <si>
    <t>ZRS-0271-21</t>
  </si>
  <si>
    <t>"Ancestrale" Lambrusco dell`Emilia Sparkling Red</t>
  </si>
  <si>
    <t>VENETO</t>
  </si>
  <si>
    <t>BAKARI (Stefano Menti, winemaker) 🐂</t>
  </si>
  <si>
    <t>11-055-02-NV</t>
  </si>
  <si>
    <t>"Confondo" Frizzante Bianco</t>
  </si>
  <si>
    <t>11-055-03-NV</t>
  </si>
  <si>
    <t>"Confondo" Frizzante Rosato</t>
  </si>
  <si>
    <t>corvina</t>
  </si>
  <si>
    <t>17-0586-NV</t>
  </si>
  <si>
    <t>Bianco Veneto</t>
  </si>
  <si>
    <t>garganega</t>
  </si>
  <si>
    <t>11-055-04-18</t>
  </si>
  <si>
    <t>"L`Ombra del Capitano" Veneto Bianco</t>
  </si>
  <si>
    <t>ZRS-0773-22</t>
  </si>
  <si>
    <t>LAZIO</t>
  </si>
  <si>
    <t>ABBIA NOVA 🌱🐂</t>
  </si>
  <si>
    <t>ZRS22-0233-21</t>
  </si>
  <si>
    <t>"Senzavandalismi" Passerina del Frusinate White</t>
  </si>
  <si>
    <t>passerina</t>
  </si>
  <si>
    <t>ZRS22-0232-21</t>
  </si>
  <si>
    <t>"Senzavandalismi" Cesanese del Piglio Red</t>
  </si>
  <si>
    <t>cesanese d'affile</t>
  </si>
  <si>
    <t>ZRS22-0236-21</t>
  </si>
  <si>
    <t>"San Giovanni" Passerina del Frusinate White</t>
  </si>
  <si>
    <t>passerina, bellone, malvasia</t>
  </si>
  <si>
    <t>ZRS22-0237-20</t>
  </si>
  <si>
    <t>"San Giovanni" Piglio Red</t>
  </si>
  <si>
    <t>ZRS22-0235-21</t>
  </si>
  <si>
    <t>"Berlame" Rosato del Frusinate Rosé</t>
  </si>
  <si>
    <t>ZRS22-0239-20</t>
  </si>
  <si>
    <t>"Berlame" Piglio Red</t>
  </si>
  <si>
    <t>ZRS22-0234-20</t>
  </si>
  <si>
    <t>"Nova" Piglio Red</t>
  </si>
  <si>
    <t>ZRS22-0238-19</t>
  </si>
  <si>
    <t>"Nova Cercia" Piglio Red</t>
  </si>
  <si>
    <t>ABRUZZO</t>
  </si>
  <si>
    <r>
      <rPr>
        <sz val="14"/>
        <color rgb="FF000000"/>
        <rFont val="Helvetica Neue"/>
        <family val="2"/>
      </rPr>
      <t xml:space="preserve">AZIENDA AGRICOLA CIRELLI 🌱 - </t>
    </r>
    <r>
      <rPr>
        <i/>
        <sz val="14"/>
        <color rgb="FF000000"/>
        <rFont val="Helvetica Neue"/>
        <family val="2"/>
      </rPr>
      <t>new vintages!</t>
    </r>
  </si>
  <si>
    <t>ZRS-1105-NV</t>
  </si>
  <si>
    <t>Abruzzo Sparkling White</t>
  </si>
  <si>
    <t>ZRS-1106-NV</t>
  </si>
  <si>
    <t>Abruzzo Sparkling Rose</t>
  </si>
  <si>
    <t>ZRS-0276-22</t>
  </si>
  <si>
    <t>Vino da Tavola Bianco</t>
  </si>
  <si>
    <t>ZRS-0276-NVK</t>
  </si>
  <si>
    <t>Vino da Tavola Bianco KEG</t>
  </si>
  <si>
    <t>ZRS-0278-24</t>
  </si>
  <si>
    <t>Trebbiano d'Abruzzo</t>
  </si>
  <si>
    <t>ZRS-0578-23</t>
  </si>
  <si>
    <t>Pecorino Colline Pescaresi</t>
  </si>
  <si>
    <t>pecorino</t>
  </si>
  <si>
    <t>ZRS22-0167-21</t>
  </si>
  <si>
    <t>Cerasuolo d'Abruzzo Rosato</t>
  </si>
  <si>
    <t>ZRS-0268-22</t>
  </si>
  <si>
    <t>Vino da Tavola Red</t>
  </si>
  <si>
    <t>ZRS-0268-NVK</t>
  </si>
  <si>
    <t>Vino da Tavola Red KEG</t>
  </si>
  <si>
    <t>ZRS-0579-23</t>
  </si>
  <si>
    <t>Montepulciano d'Abruzzo</t>
  </si>
  <si>
    <t xml:space="preserve">ZRS-0368-NV </t>
  </si>
  <si>
    <t>"Orange" Abruzzo White</t>
  </si>
  <si>
    <t>skin-contact trebbiano</t>
  </si>
  <si>
    <t>ZRS-0368-NVK</t>
  </si>
  <si>
    <t>"Orange" Abruzzo White KEG</t>
  </si>
  <si>
    <t>ZRS-0892-22</t>
  </si>
  <si>
    <t>"Trebbiano Anfora" Abruzzo White</t>
  </si>
  <si>
    <t>ZRS-0775-21</t>
  </si>
  <si>
    <t>"Pecorino Anfora" Abruzzo White</t>
  </si>
  <si>
    <t>ZRS-0774-23</t>
  </si>
  <si>
    <t>"Cerasuolo Anfora" Abruzzo Rosé</t>
  </si>
  <si>
    <t>ZRS-0275-21</t>
  </si>
  <si>
    <t>"Montepulciano Anfora" Abruzzo Red</t>
  </si>
  <si>
    <t>ZRS-0275-22</t>
  </si>
  <si>
    <r>
      <rPr>
        <sz val="14"/>
        <color rgb="FF000000"/>
        <rFont val="Helvetica Neue"/>
        <family val="2"/>
      </rPr>
      <t xml:space="preserve">LAMMIDIA (Davide Gentile &amp; Marco Giuliani) 🌱 - </t>
    </r>
    <r>
      <rPr>
        <i/>
        <sz val="14"/>
        <color rgb="FF000000"/>
        <rFont val="Helvetica Neue"/>
        <family val="2"/>
      </rPr>
      <t>new vintages!</t>
    </r>
  </si>
  <si>
    <t>ZRS-0661-22</t>
  </si>
  <si>
    <t>"Paparazza" Abruzzo Sparkling Bianco</t>
  </si>
  <si>
    <t>trebbiano, pecorino, chardonnay, traminer</t>
  </si>
  <si>
    <t>ZRS-1232-23</t>
  </si>
  <si>
    <t>Bianco Abruzzo White</t>
  </si>
  <si>
    <t>ZRS-1233-23</t>
  </si>
  <si>
    <t>Bianco Aromatico Abruzzo White</t>
  </si>
  <si>
    <t>ZR-LA-01-21</t>
  </si>
  <si>
    <t>"Bianchetto" Abruzzo Bianco</t>
  </si>
  <si>
    <t>11-064-01-20M</t>
  </si>
  <si>
    <t>"Bianchetto" Abruzzo Bianco 1.5L</t>
  </si>
  <si>
    <t>ZRS22-0017-20</t>
  </si>
  <si>
    <t>"Miscela" Abruzzo Bianco</t>
  </si>
  <si>
    <t>ZRS22-0016-20</t>
  </si>
  <si>
    <t>"Miscela" Abruzzo Rosato</t>
  </si>
  <si>
    <t>blend of all grapes - vin de presse</t>
  </si>
  <si>
    <t>ZR-LA-06-21</t>
  </si>
  <si>
    <t>"Rosh" Abruzzo Rosso</t>
  </si>
  <si>
    <t>montepulciano, trebbiano</t>
  </si>
  <si>
    <t>ZR-LA-02-21</t>
  </si>
  <si>
    <t>"Frekt" Abruzzo Bianco</t>
  </si>
  <si>
    <t>11-064-02-20M</t>
  </si>
  <si>
    <t>"Frekt" Abruzzo Bianco 1.5L</t>
  </si>
  <si>
    <t>ZRS-0655-21</t>
  </si>
  <si>
    <t>"Paisley" Abruzzo Bianco</t>
  </si>
  <si>
    <t>ZRS-0656-21</t>
  </si>
  <si>
    <t>"Zeus Faber" Abruzzo Bianco</t>
  </si>
  <si>
    <t>friulano, sauvignon blanc</t>
  </si>
  <si>
    <t>19-0535M18</t>
  </si>
  <si>
    <t>"Miscela" Abruzzo Rosato 1.5L</t>
  </si>
  <si>
    <t>ZR-LA-04-21</t>
  </si>
  <si>
    <t>"Moontonic" Abruzzo Bianco</t>
  </si>
  <si>
    <t>montonico</t>
  </si>
  <si>
    <t>ZRS22-0023-20</t>
  </si>
  <si>
    <t>"Sciatto[L]" Abruzzo Bianco</t>
  </si>
  <si>
    <t>ZRS-1234-22</t>
  </si>
  <si>
    <t>"Panda" Abruzzo Rosato</t>
  </si>
  <si>
    <t>moscato rose</t>
  </si>
  <si>
    <t>ZR-LA-05-21</t>
  </si>
  <si>
    <t>"Rosato" Abruzzo Rosato</t>
  </si>
  <si>
    <t>ZR-LA-07-21</t>
  </si>
  <si>
    <t>"Flamingo" Abruzzo Rosso</t>
  </si>
  <si>
    <t>field blend (light red wine)</t>
  </si>
  <si>
    <t>18-0819-19</t>
  </si>
  <si>
    <t>"Bianco Carbo" Abruzzo Bianco</t>
  </si>
  <si>
    <t>ZRS-0659-21</t>
  </si>
  <si>
    <t>"Rosso Carbo" Abruzzo Rosso</t>
  </si>
  <si>
    <t>ZRS22-0015-20</t>
  </si>
  <si>
    <t>Bianco Anfora</t>
  </si>
  <si>
    <t>ZRS-0660-21</t>
  </si>
  <si>
    <t>Rosso Anfora</t>
  </si>
  <si>
    <t>ZRS-1231-22</t>
  </si>
  <si>
    <t>"Posibilmente Anfora" Abruzzo Bianco</t>
  </si>
  <si>
    <t>ZRS200266-19</t>
  </si>
  <si>
    <t>"Ddubbott" Abruzzo Bianco</t>
  </si>
  <si>
    <t>passerina, montonico</t>
  </si>
  <si>
    <t>ZRS22-0020-19</t>
  </si>
  <si>
    <t>"Pino Nero" Abruzzo Rosso</t>
  </si>
  <si>
    <t>ZRS200265-19</t>
  </si>
  <si>
    <t>"Anubi" Abruzzo Rosso</t>
  </si>
  <si>
    <t>11-064-09-20</t>
  </si>
  <si>
    <t>"65125" Abruzzo Rosso</t>
  </si>
  <si>
    <t>TUSCANY</t>
  </si>
  <si>
    <r>
      <rPr>
        <sz val="14"/>
        <color rgb="FF000000"/>
        <rFont val="Helvetica Neue"/>
        <family val="2"/>
      </rPr>
      <t xml:space="preserve">COOPERATIVA LA GINESTRA 🌱 - </t>
    </r>
    <r>
      <rPr>
        <i/>
        <sz val="14"/>
        <color rgb="FF000000"/>
        <rFont val="Helvetica Neue"/>
        <family val="2"/>
      </rPr>
      <t>new vintages!</t>
    </r>
  </si>
  <si>
    <t>ZRS-0047-23</t>
  </si>
  <si>
    <t>"Sant'Ellero" Toscana Bianco</t>
  </si>
  <si>
    <t>trebbiano, chardonnay, malvasia</t>
  </si>
  <si>
    <t>ZRS-0045-22</t>
  </si>
  <si>
    <t>"Sant'Ellero" Chianti</t>
  </si>
  <si>
    <t>sangiovese</t>
  </si>
  <si>
    <t>ZRS-0046-20</t>
  </si>
  <si>
    <t>"Sant-Ellero" Chianti Riserva</t>
  </si>
  <si>
    <t>19-1332-19</t>
  </si>
  <si>
    <t>"Jun" Toscano Bianco Frizzante</t>
  </si>
  <si>
    <t>ZRS-0050-18</t>
  </si>
  <si>
    <t>"Tutto Anphora" Toscano Bianco Frizzante</t>
  </si>
  <si>
    <t>ZRS-0051-21</t>
  </si>
  <si>
    <t>"Tutto Anphora" Toscano Bianco</t>
  </si>
  <si>
    <t>ZRS-0049-21</t>
  </si>
  <si>
    <t>"Tutto Anphora" Toscano Rosato</t>
  </si>
  <si>
    <t>ZRS-0048-20</t>
  </si>
  <si>
    <t>"Tutto Anphora" Toscano Rosso</t>
  </si>
  <si>
    <t>19-0342-17</t>
  </si>
  <si>
    <t>"La Valle Del Vento" Rosato</t>
  </si>
  <si>
    <t>ZRS-1454-NV</t>
  </si>
  <si>
    <t>"Abemus" Toscano Rosso</t>
  </si>
  <si>
    <t>cabernet franc, sangiovese</t>
  </si>
  <si>
    <t>ZRS-0052-20</t>
  </si>
  <si>
    <t>"Lea" Toscano Rosso</t>
  </si>
  <si>
    <t>canaiolo</t>
  </si>
  <si>
    <t>ZRS-0044-19</t>
  </si>
  <si>
    <t>"Sangio Panza" Toscano Rosso</t>
  </si>
  <si>
    <t>CAMPANIA</t>
  </si>
  <si>
    <t>GISMONDI (Antonio &amp; Anabel Gismondi) 🐂</t>
  </si>
  <si>
    <t>ZRS-0103-23</t>
  </si>
  <si>
    <t>"Pietre" Campania Bianco</t>
  </si>
  <si>
    <t>malvasia di candia, falanghina</t>
  </si>
  <si>
    <t>ZRS-0106-23</t>
  </si>
  <si>
    <t>"Fontana" Campania Bianco</t>
  </si>
  <si>
    <t>falanghina</t>
  </si>
  <si>
    <t>ZRS-0107-23</t>
  </si>
  <si>
    <t>"Foresta" Campania Bianco</t>
  </si>
  <si>
    <t>malvasia di candia, trebianno rossa</t>
  </si>
  <si>
    <t>ZRS-0105-23</t>
  </si>
  <si>
    <t>"Cerreto" Campania Bianco</t>
  </si>
  <si>
    <t>malvasia di candia</t>
  </si>
  <si>
    <t>ZRS-0869-22</t>
  </si>
  <si>
    <t>"Baciami Ancora" Campania Rosato</t>
  </si>
  <si>
    <t>camaiola</t>
  </si>
  <si>
    <t>ZRS-0109-23</t>
  </si>
  <si>
    <t>"Bestial!" Campania Rosato</t>
  </si>
  <si>
    <t>falanghina, malvasia di candia, trebianno rossa, sangiovese, merlot, freisa</t>
  </si>
  <si>
    <t>ZRS-1267-23</t>
  </si>
  <si>
    <t>"Chiaro" Campania Rosato</t>
  </si>
  <si>
    <t>ZRS-0108-22</t>
  </si>
  <si>
    <t>"Chiaretto" Campania Rosato</t>
  </si>
  <si>
    <t>malvasia di candia, sangiovese, merlot</t>
  </si>
  <si>
    <t>ZRS-0104-22</t>
  </si>
  <si>
    <t>"Crucella" Campania Rosso</t>
  </si>
  <si>
    <t>merlot, freisa, sangiovese</t>
  </si>
  <si>
    <t>SICILY</t>
  </si>
  <si>
    <r>
      <rPr>
        <sz val="14"/>
        <color rgb="FF000000"/>
        <rFont val="Helvetica Neue"/>
        <family val="2"/>
      </rPr>
      <t xml:space="preserve">CANTINA MARILINA (Tenuta dei Fossi) 🌱 </t>
    </r>
    <r>
      <rPr>
        <i/>
        <sz val="14"/>
        <color rgb="FF000000"/>
        <rFont val="Helvetica Neue"/>
        <family val="2"/>
      </rPr>
      <t>- new kegs!</t>
    </r>
  </si>
  <si>
    <t>ZRS22-0267-NV</t>
  </si>
  <si>
    <t>"Fedelie" Siciliane Bianco Frizzante</t>
  </si>
  <si>
    <t>ZRS22-0268-NV</t>
  </si>
  <si>
    <t>"Fedelie" Siciliane Rosato Frizzante</t>
  </si>
  <si>
    <t>nero d'avola</t>
  </si>
  <si>
    <t>ZRS-0364-24</t>
  </si>
  <si>
    <t>"Sikelè" Siciliane Bianco</t>
  </si>
  <si>
    <t>grecanico dorato</t>
  </si>
  <si>
    <t>ZRS-0364-24K</t>
  </si>
  <si>
    <t>"Sikelè" Siciliane Bianco KEGS</t>
  </si>
  <si>
    <t>ZRS-0365-21</t>
  </si>
  <si>
    <t>"Sikelè" Siciliane Rosso</t>
  </si>
  <si>
    <t>ZRS-0365-21K</t>
  </si>
  <si>
    <t>"Sikelè" Siciliane Rosso KEGS</t>
  </si>
  <si>
    <t>ZRS-0367-22</t>
  </si>
  <si>
    <t>"Cuè" Terre Siciliane Bianco</t>
  </si>
  <si>
    <t>ZRS-0366-18</t>
  </si>
  <si>
    <t>"Ruversa" Noto Rosso</t>
  </si>
  <si>
    <t>ZRS-0402-19</t>
  </si>
  <si>
    <t>"Cecile" Siciliane Bianco</t>
  </si>
  <si>
    <t>MOUNT ETNA</t>
  </si>
  <si>
    <t>AZIENDA AGRICOLA FRANK CORNELISSEN 🌱</t>
  </si>
  <si>
    <t>ZRS-0031-21</t>
  </si>
  <si>
    <t>"Pistemutta" Terre Siciliane Rosé</t>
  </si>
  <si>
    <t>nerello mascalese</t>
  </si>
  <si>
    <t>ZRS-0032-21</t>
  </si>
  <si>
    <t>"Pistemutta" Terre Siciliane Red</t>
  </si>
  <si>
    <t>ZRS-0387-23</t>
  </si>
  <si>
    <t>"Susucaru Rosato" Terre Siciliane Rosato</t>
  </si>
  <si>
    <t>malvasia, moscadella, cattaratto, nerello mascalese</t>
  </si>
  <si>
    <t>ZRS-0387-23M</t>
  </si>
  <si>
    <t>"Susucaru Rosato" Terre Siciliane Rosato MAGNUMS</t>
  </si>
  <si>
    <t>ZRS-0837-23</t>
  </si>
  <si>
    <t>Susucaru Rosso</t>
  </si>
  <si>
    <t>nerello mascalese, nerello capuccio, minella nera, allicante bouschet, minella bianco</t>
  </si>
  <si>
    <t>ZRS-0837-22M</t>
  </si>
  <si>
    <t>Susucaru Rosso MAGNUMS</t>
  </si>
  <si>
    <t>ZRS-0388-21</t>
  </si>
  <si>
    <t>"Susucaru Patos" Terre Siciliane White</t>
  </si>
  <si>
    <t>catarratto</t>
  </si>
  <si>
    <t>ZRS-0386-22</t>
  </si>
  <si>
    <t xml:space="preserve">MunJebel Bianco </t>
  </si>
  <si>
    <t>grecanico dorato, carricante</t>
  </si>
  <si>
    <t>ZRS-0386-22M</t>
  </si>
  <si>
    <t>MunJebel Bianco MAGNUMS</t>
  </si>
  <si>
    <t>ZRS-0152-19</t>
  </si>
  <si>
    <t>MunJebel Bianco VA (Vigne Alte)</t>
  </si>
  <si>
    <t>grecanico dorato, carricante, coda di volpe</t>
  </si>
  <si>
    <t>MunJebel Bianco VA MAGNUMS</t>
  </si>
  <si>
    <t>ZRS-0152-20M</t>
  </si>
  <si>
    <t>ZRS-0151-22</t>
  </si>
  <si>
    <t>MunJebel Rosso</t>
  </si>
  <si>
    <t>ZRS-0151-21M</t>
  </si>
  <si>
    <t>MunJebel Rosso MAGNUMS</t>
  </si>
  <si>
    <t>ZRS-1001-20</t>
  </si>
  <si>
    <t>MunJebel Rosso CD (Calderara sottana)</t>
  </si>
  <si>
    <t>ZRS-1001-20M</t>
  </si>
  <si>
    <t>MunJebel Rosso CD MAGNUMS</t>
  </si>
  <si>
    <t>ZRS-1002-20</t>
  </si>
  <si>
    <t>MunJebel Rosso CR (Campo Re)</t>
  </si>
  <si>
    <t>ZRS-0148-19M</t>
  </si>
  <si>
    <t>MunJebel Rosso CR MAGNUMS</t>
  </si>
  <si>
    <t>ZRS-0148-19J</t>
  </si>
  <si>
    <t>MunJebel Rosso CR 3.0L</t>
  </si>
  <si>
    <t>ZRS-1003-20</t>
  </si>
  <si>
    <t>MunJebel Rosso CS (Chiusa Spagnolo)</t>
  </si>
  <si>
    <t>ZRS-1003-20M</t>
  </si>
  <si>
    <t>MunJebel Rosso CS MAGNUMS</t>
  </si>
  <si>
    <t>ZRS-0149-20</t>
  </si>
  <si>
    <t>MunJebel Rosso FM (Feudo di Mezzo, sottana)</t>
  </si>
  <si>
    <t>ZRS-0149-20M</t>
  </si>
  <si>
    <t>MunJebel Rosso FM MAGNUMS</t>
  </si>
  <si>
    <t>ZRS-0149-19J</t>
  </si>
  <si>
    <t>MunJebel Rosso FM 3.0L</t>
  </si>
  <si>
    <t>ZRS-1004-20</t>
  </si>
  <si>
    <t>MunJebel Rosso MC (Monte Colla)</t>
  </si>
  <si>
    <t>ZRS-01450-19M</t>
  </si>
  <si>
    <t>MunJebel Rosso MC MAGNUMS</t>
  </si>
  <si>
    <t>ZRS-01450-19J</t>
  </si>
  <si>
    <t>MunJebel Rosso MC 3.0L</t>
  </si>
  <si>
    <t>ZRS-1005-20</t>
  </si>
  <si>
    <t>MunJebel Rosso PA (Feudo di Mezzo, Porcaria)</t>
  </si>
  <si>
    <t>18-0859M18</t>
  </si>
  <si>
    <t>MunJebel Rosso PA MAGNUMS</t>
  </si>
  <si>
    <t>18-0860-18</t>
  </si>
  <si>
    <t>MunJebel Rosso PU (Puntalazzo)</t>
  </si>
  <si>
    <t>18-0860-M18</t>
  </si>
  <si>
    <t>MunJebel Rosso PU MAGNUMS</t>
  </si>
  <si>
    <t>ZRS-0147-20</t>
  </si>
  <si>
    <t>MunJebel Rosso VA (Vigne Alte)</t>
  </si>
  <si>
    <t>ZRS-0147-20M</t>
  </si>
  <si>
    <t>MunJebel Rosso VA MAGNUMS</t>
  </si>
  <si>
    <t>ZRS-0146-NV</t>
  </si>
  <si>
    <t>MunJebel P2 (Cuvée Perpetuum) Rosso</t>
  </si>
  <si>
    <t>ZRS-0146-NVM</t>
  </si>
  <si>
    <t>MunJebel P2 Rosso MAGNUMS</t>
  </si>
  <si>
    <t>ZRS21-0358-18</t>
  </si>
  <si>
    <t>MunJebel Rosso BB (Barbabecchi - Magma)</t>
  </si>
  <si>
    <t>MunJebel Rosso BB MAGNUMS</t>
  </si>
  <si>
    <t>ZRS-0145-20</t>
  </si>
  <si>
    <t>Magma Rosso</t>
  </si>
  <si>
    <t>ZRS-0145-20M</t>
  </si>
  <si>
    <t>Magma Rosso MAGNUMS</t>
  </si>
  <si>
    <t>ZRS-0145-19J</t>
  </si>
  <si>
    <t>Magma Rosso 3.0L</t>
  </si>
  <si>
    <t>LA RIPRESA 🌱</t>
  </si>
  <si>
    <t>ZRS-1011-22</t>
  </si>
  <si>
    <t>"Sorge" Terre Siciliane Red</t>
  </si>
  <si>
    <t>nerello mascalese, grenache, pinot noir</t>
  </si>
  <si>
    <t>ZRS-1012-22</t>
  </si>
  <si>
    <t>"Tartari Terre" Siciliane Red</t>
  </si>
  <si>
    <t>ZRS-1013-22</t>
  </si>
  <si>
    <t>Grenache Terre Siciliane Red</t>
  </si>
  <si>
    <t>MARSALA</t>
  </si>
  <si>
    <r>
      <rPr>
        <sz val="14"/>
        <color rgb="FF000000"/>
        <rFont val="Helvetica Neue"/>
        <family val="2"/>
      </rPr>
      <t xml:space="preserve">VITEADOVEST 🌱 - </t>
    </r>
    <r>
      <rPr>
        <i/>
        <sz val="14"/>
        <color rgb="FF000000"/>
        <rFont val="Helvetica Neue"/>
        <family val="2"/>
      </rPr>
      <t>new vintages!</t>
    </r>
  </si>
  <si>
    <t>18-0663-20</t>
  </si>
  <si>
    <t>"Vurgo" Terre Siciliane Bianco</t>
  </si>
  <si>
    <t>catarratto, grillo</t>
  </si>
  <si>
    <t>ZRS-0937-21</t>
  </si>
  <si>
    <t>Terre Siciliane Bianco</t>
  </si>
  <si>
    <t>grillo, catarratto</t>
  </si>
  <si>
    <t>18-0661-18</t>
  </si>
  <si>
    <t>"Rina" Terre Siciliane Bianco</t>
  </si>
  <si>
    <t>ZRS-0938-21</t>
  </si>
  <si>
    <t>"Muké" Terre Siciliane Rosso</t>
  </si>
  <si>
    <t>ZRS-0939-21</t>
  </si>
  <si>
    <t>"Ghammi" Terre Siciliane Rosso</t>
  </si>
  <si>
    <t>ZRS-0940-18</t>
  </si>
  <si>
    <t>"Kapo" Terre Siciliane Rosso</t>
  </si>
  <si>
    <t>nero d'avola, nerello mascalese</t>
  </si>
  <si>
    <t>18-0659-18</t>
  </si>
  <si>
    <t>"No 73" Marsala 500ml</t>
  </si>
  <si>
    <t>catarratto, grillo (base wine from 1973)</t>
  </si>
  <si>
    <t>PANTELLERIA</t>
  </si>
  <si>
    <r>
      <rPr>
        <sz val="14"/>
        <color rgb="FF000000"/>
        <rFont val="Helvetica Neue"/>
        <family val="2"/>
      </rPr>
      <t xml:space="preserve">AZIENDA AGRICOLA SERRAGGHIA (Gabrio Bini) 🐂 - </t>
    </r>
    <r>
      <rPr>
        <i/>
        <sz val="14"/>
        <color rgb="FF000000"/>
        <rFont val="Helvetica Neue"/>
        <family val="2"/>
      </rPr>
      <t>new vintages!</t>
    </r>
  </si>
  <si>
    <t>ZRS-0291-23</t>
  </si>
  <si>
    <t>Zibibbo Bianco</t>
  </si>
  <si>
    <t>zibibbo</t>
  </si>
  <si>
    <t>ZRS-0285-23</t>
  </si>
  <si>
    <t>"Fanino" Rosso</t>
  </si>
  <si>
    <t>pignatello, catarratto</t>
  </si>
  <si>
    <t>ZRS-0285-22</t>
  </si>
  <si>
    <t>ZRS-0286-23</t>
  </si>
  <si>
    <t>"Heritage" Bianco</t>
  </si>
  <si>
    <t>ZR-GB-01-21</t>
  </si>
  <si>
    <t>"Notre Mystere" Bianco 1.5L</t>
  </si>
  <si>
    <t>moscatello</t>
  </si>
  <si>
    <t>ZRS-0294-23</t>
  </si>
  <si>
    <t>"Onda" Rosso</t>
  </si>
  <si>
    <t>ZRS-0289-22</t>
  </si>
  <si>
    <t>Riserva "Geneviève" Bianco</t>
  </si>
  <si>
    <t>ZRS-0293-23</t>
  </si>
  <si>
    <t>Riserva "Agung" Rosso</t>
  </si>
  <si>
    <t>ZRS-0288-23</t>
  </si>
  <si>
    <t>Riserva "Gabrio" Rosso</t>
  </si>
  <si>
    <t>ZRS-0290-23</t>
  </si>
  <si>
    <t>Riserva "Giotto" Rosso</t>
  </si>
  <si>
    <t>carignano</t>
  </si>
  <si>
    <t>ZRS-0284-22</t>
  </si>
  <si>
    <t>"Cicala" Pet-Nat</t>
  </si>
  <si>
    <t>zibibbo, 7yrs sur lie</t>
  </si>
  <si>
    <t>GREECE</t>
  </si>
  <si>
    <t>PELLA</t>
  </si>
  <si>
    <t>KTIMA LIGAS 🌱</t>
  </si>
  <si>
    <t>ZRS-0943-22</t>
  </si>
  <si>
    <t>Maison Viticole Ligas Assyrtiko Greece White</t>
  </si>
  <si>
    <t>assyrtiko</t>
  </si>
  <si>
    <t>ZRS-0057-22</t>
  </si>
  <si>
    <t>Roditis Pella White</t>
  </si>
  <si>
    <t>roditis</t>
  </si>
  <si>
    <t>ZRS-0058-22</t>
  </si>
  <si>
    <t>"Lamda" White</t>
  </si>
  <si>
    <t>assyrtiko, roditis</t>
  </si>
  <si>
    <t>ZRS-0940-22</t>
  </si>
  <si>
    <t>"Le Rosé" Macedonie</t>
  </si>
  <si>
    <t>xinomavro</t>
  </si>
  <si>
    <t>ZRS-0945-22</t>
  </si>
  <si>
    <t>"Pata Trava" Rosé</t>
  </si>
  <si>
    <t>ZRS-0944-22</t>
  </si>
  <si>
    <t>Maison Viticole Ligas Moschomavro Greece Red</t>
  </si>
  <si>
    <t>moschomavro</t>
  </si>
  <si>
    <t>ZRS-0941-21</t>
  </si>
  <si>
    <t>"Xi-Ro" Red</t>
  </si>
  <si>
    <t>xinomavro, roditis</t>
  </si>
  <si>
    <t>17-0127-15X6</t>
  </si>
  <si>
    <t>"Sauvage Bleu" 6pk</t>
  </si>
  <si>
    <t>limniona</t>
  </si>
  <si>
    <t>ZRS-0064-21</t>
  </si>
  <si>
    <t>"Assyrtiko Barrique" White</t>
  </si>
  <si>
    <t>ZRS22-0062-20</t>
  </si>
  <si>
    <t>"Kydonitsa Barrique" White</t>
  </si>
  <si>
    <t>kydonitsa</t>
  </si>
  <si>
    <t>ZRS22-0063-20</t>
  </si>
  <si>
    <t>"Roditis Barrique" White</t>
  </si>
  <si>
    <t>19-0435-17</t>
  </si>
  <si>
    <t>"Lamda Barrique" White</t>
  </si>
  <si>
    <t>ZRS22-0067-20</t>
  </si>
  <si>
    <t>"Amphora" Greece White</t>
  </si>
  <si>
    <t>ZRS200298-19</t>
  </si>
  <si>
    <t>"Yomatari" Retsina</t>
  </si>
  <si>
    <t>ZRS-0065-21</t>
  </si>
  <si>
    <t>"Roditis Maceration" White</t>
  </si>
  <si>
    <t>ZRS-0066-20</t>
  </si>
  <si>
    <t>"Bucephale" Greece Red</t>
  </si>
  <si>
    <t>ZRS22-0068-NV</t>
  </si>
  <si>
    <t>"Spira" Greece White</t>
  </si>
  <si>
    <t>solera blend</t>
  </si>
  <si>
    <t>VOI VIGNES (Jason Ligas) 🌱</t>
  </si>
  <si>
    <t>ZRS-0028-21</t>
  </si>
  <si>
    <t>"Hymnos" Pella White 6pk</t>
  </si>
  <si>
    <t>xinomavro, stavroto, krassato</t>
  </si>
  <si>
    <t>ZRS20028-20</t>
  </si>
  <si>
    <t>"Nefos" Pella Rosé</t>
  </si>
  <si>
    <t>ZRS-0027-21</t>
  </si>
  <si>
    <t>"Nefos" Pella Rosé 6pk</t>
  </si>
  <si>
    <t>ZRS20029-21</t>
  </si>
  <si>
    <t>"Xenios" Pella Red</t>
  </si>
  <si>
    <t>SAMOS</t>
  </si>
  <si>
    <t>SOUS LE VEGETAL (Patrick Bouju) 🌱🐂</t>
  </si>
  <si>
    <t>ZRS-0254-19</t>
  </si>
  <si>
    <t>"Livia" Samos White 6pk</t>
  </si>
  <si>
    <t>muscat blanc à petit grains</t>
  </si>
  <si>
    <t>19-0904-18</t>
  </si>
  <si>
    <t>"Octave" Samos White</t>
  </si>
  <si>
    <t>ZRS-0255-19</t>
  </si>
  <si>
    <t>"Palli &amp; Genesia" Samos White 6pk</t>
  </si>
  <si>
    <t>ZRS-0253-19</t>
  </si>
  <si>
    <t>"Hüpnos" Samos White 6pk</t>
  </si>
  <si>
    <t>ZRS-0252-18</t>
  </si>
  <si>
    <t>"Auguste" Samos Red 6pk</t>
  </si>
  <si>
    <t xml:space="preserve">avgustiatis </t>
  </si>
  <si>
    <t>ARMENIA</t>
  </si>
  <si>
    <t>VAYOTS DZOR</t>
  </si>
  <si>
    <t>tarllc (Aaron Sedrick Rawlins) 🌱</t>
  </si>
  <si>
    <t>ZRS-0696-21</t>
  </si>
  <si>
    <t>"031" Vayots Dzor White</t>
  </si>
  <si>
    <t>khack kharji, khatun kharji</t>
  </si>
  <si>
    <t>720ml</t>
  </si>
  <si>
    <t>ZRS-0694-21</t>
  </si>
  <si>
    <t>"041" Vayots Dzor Red</t>
  </si>
  <si>
    <t>sev areni</t>
  </si>
  <si>
    <t>ZRS22-0104-21</t>
  </si>
  <si>
    <t>"061" Vayots Dzor Red</t>
  </si>
  <si>
    <t>JAPAN</t>
  </si>
  <si>
    <t>Yamagata</t>
  </si>
  <si>
    <r>
      <rPr>
        <sz val="14"/>
        <color rgb="FF000000"/>
        <rFont val="Helvetica Neue"/>
        <family val="2"/>
      </rPr>
      <t xml:space="preserve">GRAPE REPUBLIC 🌱 - </t>
    </r>
    <r>
      <rPr>
        <i/>
        <sz val="14"/>
        <color rgb="FF000000"/>
        <rFont val="Helvetica Neue"/>
        <family val="2"/>
      </rPr>
      <t>new vintages!</t>
    </r>
  </si>
  <si>
    <t>11-053-15-19</t>
  </si>
  <si>
    <t>"Apple Republic" Yamagata Cider</t>
  </si>
  <si>
    <t>yamagata apples</t>
  </si>
  <si>
    <t>ZRS-0633-22</t>
  </si>
  <si>
    <t>"Nanyo" Yamagata Cider 330ml</t>
  </si>
  <si>
    <t>fuji apples, la france pears</t>
  </si>
  <si>
    <t>330ml</t>
  </si>
  <si>
    <t>ZR-GR-09-20</t>
  </si>
  <si>
    <t>"Sidro K" Yamagata Cider</t>
  </si>
  <si>
    <t>ZRS-1215-22</t>
  </si>
  <si>
    <t>"Dela Fresca" Yamagata Sparkling</t>
  </si>
  <si>
    <t>delaware</t>
  </si>
  <si>
    <t>ZRS-0627-22</t>
  </si>
  <si>
    <t>"Aromatico" Yamagata Sparkling</t>
  </si>
  <si>
    <t>delaware, niagara</t>
  </si>
  <si>
    <t>11-053-03-19</t>
  </si>
  <si>
    <t>"Ambra" Yamagata Sparkling</t>
  </si>
  <si>
    <t>delaware, steuben, niagara</t>
  </si>
  <si>
    <t>ZRS-0628-22</t>
  </si>
  <si>
    <t>"Rosa Frizzante" Yamagata Sparkling Rosé</t>
  </si>
  <si>
    <t>ZRS-0629-22</t>
  </si>
  <si>
    <t>"Bianco" Yamagata White</t>
  </si>
  <si>
    <t>niagara, delaware</t>
  </si>
  <si>
    <t>ZRS-0630-22</t>
  </si>
  <si>
    <t>"Rosato" Yamagata Rosé</t>
  </si>
  <si>
    <t>steuben, neo muscat</t>
  </si>
  <si>
    <t>ZRS-0631-22</t>
  </si>
  <si>
    <t>"Rosso" Yamagata Red</t>
  </si>
  <si>
    <t>steuben, delaware, merlot</t>
  </si>
  <si>
    <t>ZRS-0632-21</t>
  </si>
  <si>
    <t>"Bailey A" Yamagata Red</t>
  </si>
  <si>
    <t>muscat bailey a</t>
  </si>
  <si>
    <t>11-053-09-19</t>
  </si>
  <si>
    <t>"Anfora Koshu" Yamagata White</t>
  </si>
  <si>
    <t>koshu</t>
  </si>
  <si>
    <t>ZRS-0635-22</t>
  </si>
  <si>
    <t>"Arancione" Yamagata White</t>
  </si>
  <si>
    <t>delaware, steuben, neo muscat, merlot</t>
  </si>
  <si>
    <t>ZRS-0636-22</t>
  </si>
  <si>
    <t>"Anfora Bianco" Yamagata White</t>
  </si>
  <si>
    <t>rosario bianco, niagara, delaware</t>
  </si>
  <si>
    <t>"Anfora Rosso" Yamagata Red</t>
  </si>
  <si>
    <t>steuben, merlot, neo muscat</t>
  </si>
  <si>
    <t>ZR-GR-06-20</t>
  </si>
  <si>
    <t>"Anfora Rosso - Scuro" Yamagata Red</t>
  </si>
  <si>
    <t>yama sauvignon</t>
  </si>
  <si>
    <t>11-053-12-19</t>
  </si>
  <si>
    <t>"Anfora Merlot" Yamagata Red</t>
  </si>
  <si>
    <t>11-053-13-19</t>
  </si>
  <si>
    <t>"Cuvée Shinden" Yamagata White</t>
  </si>
  <si>
    <t>delaware, niagara, shine muscat, neo muscat, red niagara, rosario bianco, muscat bailey a</t>
  </si>
  <si>
    <t>ZRS-1218-22</t>
  </si>
  <si>
    <t>Chardonnay Yamagata White</t>
  </si>
  <si>
    <t>ZRS-1216-22</t>
  </si>
  <si>
    <t>Cabernet Franc Yamagata Red</t>
  </si>
  <si>
    <t>ZRS-1217-22</t>
  </si>
  <si>
    <t>Cabernet Sauvignon Yamagata Red</t>
  </si>
  <si>
    <r>
      <rPr>
        <sz val="14"/>
        <color rgb="FF000000"/>
        <rFont val="Helvetica Neue"/>
        <family val="2"/>
      </rPr>
      <t xml:space="preserve">Les Vins Vivants 🌱 - </t>
    </r>
    <r>
      <rPr>
        <i/>
        <sz val="14"/>
        <color rgb="FF000000"/>
        <rFont val="Helvetica Neue"/>
        <family val="2"/>
      </rPr>
      <t>new to portfolio!</t>
    </r>
  </si>
  <si>
    <t>ZRS-1110-22</t>
  </si>
  <si>
    <t>"Yakousei" Nagano Sparkling</t>
  </si>
  <si>
    <t>steuben, kyoho, apples</t>
  </si>
  <si>
    <t>ZRS-1338-23</t>
  </si>
  <si>
    <t>"Dela" Nagano White</t>
  </si>
  <si>
    <t>ZRS-0809-23</t>
  </si>
  <si>
    <t>"Steuben" Nagano Red</t>
  </si>
  <si>
    <t>steuben</t>
  </si>
  <si>
    <t>t</t>
  </si>
  <si>
    <t>ZRS-1112-23</t>
  </si>
  <si>
    <t>"Kigou" Nagano Red</t>
  </si>
  <si>
    <t>kyoho, shine muscat, queen nina, nagano purple</t>
  </si>
  <si>
    <t>ZRS-1337-23</t>
  </si>
  <si>
    <t>"Aruiwa" Nagano Red</t>
  </si>
  <si>
    <t>ZRS-1340-23</t>
  </si>
  <si>
    <t>Bailey A Nagano Red</t>
  </si>
  <si>
    <t>ZRS-0806-22</t>
  </si>
  <si>
    <t>"Mizuiro" Nagano Cider</t>
  </si>
  <si>
    <t>sun fuji, shinano gold, kogokyu</t>
  </si>
  <si>
    <t>ZRS-0808-22</t>
  </si>
  <si>
    <t>"Ao" Nagano Cider</t>
  </si>
  <si>
    <t>sun fuji, akibae, shinano gold</t>
  </si>
  <si>
    <t>ZRS-1111-21</t>
  </si>
  <si>
    <t>"Kokuu" Nagano Cider</t>
  </si>
  <si>
    <t>sun fugi, shinano gold, kogokyo</t>
  </si>
  <si>
    <t>ZRS-0804-20</t>
  </si>
  <si>
    <t>"Hakuro" Nagano Cider</t>
  </si>
  <si>
    <t>sun fuji</t>
  </si>
  <si>
    <r>
      <rPr>
        <sz val="14"/>
        <color rgb="FF000000"/>
        <rFont val="Helvetica Neue"/>
        <family val="2"/>
      </rPr>
      <t xml:space="preserve">NO OTO WINES 🌱 - </t>
    </r>
    <r>
      <rPr>
        <i/>
        <sz val="14"/>
        <color rgb="FF000000"/>
        <rFont val="Helvetica Neue"/>
        <family val="2"/>
      </rPr>
      <t>new to portfolio!</t>
    </r>
  </si>
  <si>
    <t>ZRS-1339-22</t>
  </si>
  <si>
    <t>"Symphony" Nagano Red</t>
  </si>
  <si>
    <t>gamay, muscat bailey a</t>
  </si>
  <si>
    <t>CANADA</t>
  </si>
  <si>
    <t>QUEBEC</t>
  </si>
  <si>
    <t>DOMAINE L'ESPIEGLE 🌱</t>
  </si>
  <si>
    <t>ZR-DS-01-20</t>
  </si>
  <si>
    <t>"Aube a l`est" Québec White</t>
  </si>
  <si>
    <r>
      <rPr>
        <sz val="14"/>
        <color rgb="FF000000"/>
        <rFont val="Helvetica Neue,Arial"/>
      </rPr>
      <t>PINARD ET FILLES</t>
    </r>
    <r>
      <rPr>
        <sz val="14"/>
        <color rgb="FF000000"/>
        <rFont val="Helvetica Neue,Arial"/>
      </rPr>
      <t xml:space="preserve"> 🌱</t>
    </r>
  </si>
  <si>
    <t>ZRS-1244-21</t>
  </si>
  <si>
    <t>"Balbutiements" Quebec Sparkling</t>
  </si>
  <si>
    <t>frontenac gris &amp; blanc</t>
  </si>
  <si>
    <t>ZRS-1245-23</t>
  </si>
  <si>
    <t>"Bien-aimee Quebec White</t>
  </si>
  <si>
    <t>itasca, hibernal, la crescent, siegerrebe</t>
  </si>
  <si>
    <t>ZRS-0611-22</t>
  </si>
  <si>
    <t>"Wine Love Me" Quebec White</t>
  </si>
  <si>
    <t>la crescent, riesling, hibernal, brianna</t>
  </si>
  <si>
    <t>ZRS-0609-21</t>
  </si>
  <si>
    <t>"Chardonneret" Québec White</t>
  </si>
  <si>
    <t>ZRS-PF07-21</t>
  </si>
  <si>
    <t>"Picniquette" Québec Sparkling Piquette 355mL cans</t>
  </si>
  <si>
    <t>frontenac gris, la crescent, apple cider, raspberry honey</t>
  </si>
  <si>
    <t>355ml</t>
  </si>
  <si>
    <t>ZRS-PF03-21</t>
  </si>
  <si>
    <t>"Frangine" Québec White</t>
  </si>
  <si>
    <t>la crescent</t>
  </si>
  <si>
    <t>ZRS-PF01-21</t>
  </si>
  <si>
    <t>"Verre de Gris" Québec Rosé</t>
  </si>
  <si>
    <t>ZRS-PF02-21</t>
  </si>
  <si>
    <t>"Vin de Jardin" Québec Red</t>
  </si>
  <si>
    <t>frontenac blanc, gris, &amp; noir</t>
  </si>
  <si>
    <t>ZRS-1254-22</t>
  </si>
  <si>
    <t>"Frangin" Québec Red</t>
  </si>
  <si>
    <t>marquette, frontenac noir, petite perle</t>
  </si>
  <si>
    <t>ZRS-0612-21</t>
  </si>
  <si>
    <t>"Autoportrait" Quebec Red</t>
  </si>
  <si>
    <t>ZRS200328-20</t>
  </si>
  <si>
    <t>"À Ciel Ouvert" Québec White</t>
  </si>
  <si>
    <t>frontenac blanc</t>
  </si>
  <si>
    <t>ZRS-PF06-20</t>
  </si>
  <si>
    <t>"Calvaire" Québec White</t>
  </si>
  <si>
    <t>ZRS200329-19</t>
  </si>
  <si>
    <t>"Blanc de Noirs" Québec White</t>
  </si>
  <si>
    <t>pinot noir, pinot meunier</t>
  </si>
  <si>
    <t>18-0561-17</t>
  </si>
  <si>
    <t>"Wine Love Me" Québec White</t>
  </si>
  <si>
    <t>ZRS200330-19</t>
  </si>
  <si>
    <t>"Momo Pinku" Québec Rosé</t>
  </si>
  <si>
    <t>ZRS-1246-NV</t>
  </si>
  <si>
    <t>"Honey Moon" Quebec Red</t>
  </si>
  <si>
    <t>frontenac noir, frontenac gris, frontenac blanc, la crescent</t>
  </si>
  <si>
    <t>ZRS-1243-22</t>
  </si>
  <si>
    <t>"Cap a L`Est" Quebec Red</t>
  </si>
  <si>
    <t>noiret, blaufränkisch, marquette, dornfelder</t>
  </si>
  <si>
    <t>ZRS-0610-21</t>
  </si>
  <si>
    <t>Royale Quebec Red</t>
  </si>
  <si>
    <t>marquette, petite perle, frontenac noir</t>
  </si>
  <si>
    <t>ZRS200331-20</t>
  </si>
  <si>
    <t>"Novembre" Québec Red</t>
  </si>
  <si>
    <t>ZRS-PF04-20</t>
  </si>
  <si>
    <t>"Pornfelder" Québec Red</t>
  </si>
  <si>
    <t>pinot noir, dornfelder</t>
  </si>
  <si>
    <t>18-0562-17</t>
  </si>
  <si>
    <t>"En Équilibre" Québec Red</t>
  </si>
  <si>
    <t>18-0564-17</t>
  </si>
  <si>
    <t>"Autoportrait" Québec Red</t>
  </si>
  <si>
    <t>VIGNOBLE DE LA BAUGE / LES BEAUX JUS 🌱</t>
  </si>
  <si>
    <t>ZRS-1249-23</t>
  </si>
  <si>
    <t>"Le Blanc" Québec White</t>
  </si>
  <si>
    <t>ZRS-1251-23</t>
  </si>
  <si>
    <t>"Le Rosé" Québec Rosé</t>
  </si>
  <si>
    <t>ZRS-1250-21</t>
  </si>
  <si>
    <t>"Le Rouge" Québec Red</t>
  </si>
  <si>
    <t>frontenac noir</t>
  </si>
  <si>
    <t>ZRS-1248-22</t>
  </si>
  <si>
    <t>"3 Frontenacs" Quebec Red</t>
  </si>
  <si>
    <t>frontenac blanc, gris &amp; noir</t>
  </si>
  <si>
    <t>ZRS22-0472-20</t>
  </si>
  <si>
    <t>"Cabernet Frais" Québec Red</t>
  </si>
  <si>
    <t>ZRS22-0473-20</t>
  </si>
  <si>
    <t>"Ça Va Gnin!" Québec White</t>
  </si>
  <si>
    <t>ONTARIO</t>
  </si>
  <si>
    <t>L'IMPARFAIT NEGOCIANT (David McMillan &amp; Hinterland Wine Co) 🐂</t>
  </si>
  <si>
    <t>18-0834-17</t>
  </si>
  <si>
    <t>"Négociant" Canada White</t>
  </si>
  <si>
    <t>ZRS22-0177-20</t>
  </si>
  <si>
    <t>"Familia Ramirez" PE County White</t>
  </si>
  <si>
    <t>11-034-06-19</t>
  </si>
  <si>
    <t>"Tufford Road" Niagara Peninsula White</t>
  </si>
  <si>
    <t>ZR-IM-01-20</t>
  </si>
  <si>
    <t>"À l`Aire Libre" PE County White 1L</t>
  </si>
  <si>
    <t>seyval blanc, muscat ottonel</t>
  </si>
  <si>
    <t>ZRS22-0178-20</t>
  </si>
  <si>
    <t>"La Pioche" VQA Ontario White</t>
  </si>
  <si>
    <t>11-034-01-19</t>
  </si>
  <si>
    <t>"Famille Pinot" Canada White</t>
  </si>
  <si>
    <t>pinot noir, pinot meunier, pinot gris, gewürtztraminer</t>
  </si>
  <si>
    <t>11-034-02-19</t>
  </si>
  <si>
    <t>"La Soupe Populaire" Canada White</t>
  </si>
  <si>
    <t>chardonnay musqué, pinot gris, gewürtztraminer</t>
  </si>
  <si>
    <t>ZRS22-0176-20</t>
  </si>
  <si>
    <t>"Maceration" Canada White</t>
  </si>
  <si>
    <t>savagnin, chardonnay, gewürztraminer</t>
  </si>
  <si>
    <t>ZRS22-0179-20</t>
  </si>
  <si>
    <t>"Bleu Français" VQA Ontario Red</t>
  </si>
  <si>
    <t>blaufränkisch, gewürztraminer</t>
  </si>
  <si>
    <t>ZR-IM-02-21</t>
  </si>
  <si>
    <t>"Seneca" Canada Red</t>
  </si>
  <si>
    <t>pinot noir, marquette, savagnin</t>
  </si>
  <si>
    <t>11-034-04-19</t>
  </si>
  <si>
    <t>"Meunier" Canada Red</t>
  </si>
  <si>
    <t>19-0881-18</t>
  </si>
  <si>
    <t>"Passe-Tout-Grains" Canada Red</t>
  </si>
  <si>
    <t>gamay, pinot noir, syrah</t>
  </si>
  <si>
    <t>MEXICO</t>
  </si>
  <si>
    <t>VALLE DE GUADALUPE</t>
  </si>
  <si>
    <r>
      <rPr>
        <sz val="14"/>
        <color rgb="FF000000"/>
        <rFont val="Helvetica Neue"/>
        <family val="2"/>
      </rPr>
      <t xml:space="preserve">VINOS PIJOAN (Silvana Pijoan) 🌱 - </t>
    </r>
    <r>
      <rPr>
        <i/>
        <sz val="14"/>
        <color rgb="FF000000"/>
        <rFont val="Helvetica Neue"/>
        <family val="2"/>
      </rPr>
      <t>new vintages!</t>
    </r>
  </si>
  <si>
    <t>ZRS-1108-23</t>
  </si>
  <si>
    <t>La Poubelle Guadalupe White</t>
  </si>
  <si>
    <t>ZRS-0343-23</t>
  </si>
  <si>
    <t>"Árbol de Fuego" Valle de Guadalupe Rosé</t>
  </si>
  <si>
    <t>grenache, zinfandel, colombard</t>
  </si>
  <si>
    <t>ZRS-0344-23</t>
  </si>
  <si>
    <t>"El Carbónico" Valle de Guadalupe Red</t>
  </si>
  <si>
    <t>grenache, chenin blanc</t>
  </si>
  <si>
    <t>ZRS-0346-23</t>
  </si>
  <si>
    <t>"Vino Pelōn" Valle de Guadalupe Red</t>
  </si>
  <si>
    <t>syrah, grenache, merlot, moscato giallo</t>
  </si>
  <si>
    <t>ZRS-1107-23</t>
  </si>
  <si>
    <t>"Pobre Diabla" Guadalupe Red</t>
  </si>
  <si>
    <t>grenache, moscatel</t>
  </si>
  <si>
    <t>ZRS-0345-22</t>
  </si>
  <si>
    <t>"Aniversari" Valle de Guadalupe Red</t>
  </si>
  <si>
    <t>NEW PRODUCER</t>
  </si>
  <si>
    <t>🌱 ORGANIC // 🐂 BIODYNAMIC // 🌱🐂 MIX OF ORGANIC + BIODYNAMICS PRACTICES / VINEYARDS</t>
  </si>
  <si>
    <t>WHITE</t>
  </si>
  <si>
    <t>ORANGE</t>
  </si>
  <si>
    <t>SOUS VOILE / OXIDATIVE</t>
  </si>
  <si>
    <t>ROSE</t>
  </si>
  <si>
    <t>DARK ROSE / TRANSPARENT RED</t>
  </si>
  <si>
    <t>RED</t>
  </si>
  <si>
    <t>NEW VINTAGE</t>
  </si>
  <si>
    <t>IN STOCK</t>
  </si>
  <si>
    <t>NOT AVAILABLE / SOLD OUT</t>
  </si>
  <si>
    <t>ZRS (IMPORTS) WINE INVENTORY - UPDATED ON 11.20.25</t>
  </si>
  <si>
    <t>Country</t>
  </si>
  <si>
    <t>Sku</t>
  </si>
  <si>
    <t>Producer</t>
  </si>
  <si>
    <t>Product Name</t>
  </si>
  <si>
    <t>Vintage</t>
  </si>
  <si>
    <t>Pack Size</t>
  </si>
  <si>
    <t>Item Size</t>
  </si>
  <si>
    <t>Cs ; Btl</t>
  </si>
  <si>
    <t>NAT Plan</t>
  </si>
  <si>
    <t>NAT Discounts</t>
  </si>
  <si>
    <t>Alc %</t>
  </si>
  <si>
    <t>Armenia</t>
  </si>
  <si>
    <t>tarllc</t>
  </si>
  <si>
    <t>031 Vayots Dzor White</t>
  </si>
  <si>
    <t>6 ; 0</t>
  </si>
  <si>
    <t>041 Vayots Dzor Red</t>
  </si>
  <si>
    <t>73 ; 3</t>
  </si>
  <si>
    <t>061 Vayots Dzor Red</t>
  </si>
  <si>
    <t>49 ; 5</t>
  </si>
  <si>
    <t>Austria</t>
  </si>
  <si>
    <t>Djuce</t>
  </si>
  <si>
    <t>Core Rose Spritzer</t>
  </si>
  <si>
    <t>68 ; 19</t>
  </si>
  <si>
    <t>ZRS-1437-NV</t>
  </si>
  <si>
    <t>Core White Spritzer</t>
  </si>
  <si>
    <t>33 ; 21</t>
  </si>
  <si>
    <t>Juicy Orange (pouch)</t>
  </si>
  <si>
    <t>1.5L</t>
  </si>
  <si>
    <t>33 ; 0</t>
  </si>
  <si>
    <t>ZRS-1277-22</t>
  </si>
  <si>
    <t>Meinklang Knusprig</t>
  </si>
  <si>
    <t>0 ; 11</t>
  </si>
  <si>
    <t>Seckinger Vice</t>
  </si>
  <si>
    <t>58 ; 18</t>
  </si>
  <si>
    <t>ZRS-0238-NV</t>
  </si>
  <si>
    <t>Freimeister Kollektiv</t>
  </si>
  <si>
    <t>Gondo AB Coffee Spirit</t>
  </si>
  <si>
    <t>46 ; 0</t>
  </si>
  <si>
    <t>ZRS-0890-19</t>
  </si>
  <si>
    <t>Gernot &amp; Heike Heinrich</t>
  </si>
  <si>
    <t>Alter Berg Leithaberg Red</t>
  </si>
  <si>
    <t>3 ; 7</t>
  </si>
  <si>
    <t>Blaufrankisch Leithaberg Red</t>
  </si>
  <si>
    <t>16 ; 4</t>
  </si>
  <si>
    <t>ZRS-1512-19</t>
  </si>
  <si>
    <t>26 ; 9</t>
  </si>
  <si>
    <t>Blaufrankisch Weinland Red</t>
  </si>
  <si>
    <t>7 ; 4</t>
  </si>
  <si>
    <t>ZRS-0495-22</t>
  </si>
  <si>
    <t>Chardonnay Leithaberg White</t>
  </si>
  <si>
    <t>4 ; 5</t>
  </si>
  <si>
    <t>50 ; 8</t>
  </si>
  <si>
    <t>ZRS-1241-14</t>
  </si>
  <si>
    <t>Edelgraben Leithaberg Red</t>
  </si>
  <si>
    <t>1 ; 8</t>
  </si>
  <si>
    <t>ZRS-1241-19</t>
  </si>
  <si>
    <t>4 ; 1</t>
  </si>
  <si>
    <t>Graue Freyheit Austria White</t>
  </si>
  <si>
    <t>3 ; 0</t>
  </si>
  <si>
    <t>ZRS-0496-23</t>
  </si>
  <si>
    <t>Into the Light Weinland White</t>
  </si>
  <si>
    <t>22 ; 6</t>
  </si>
  <si>
    <t>Muskat Freyheit Austria White</t>
  </si>
  <si>
    <t>4 ; 3</t>
  </si>
  <si>
    <t>Naked Orange Weinland White</t>
  </si>
  <si>
    <t>324 ; 10</t>
  </si>
  <si>
    <t>Naked Orange Weinland White KEG</t>
  </si>
  <si>
    <t>20.0L</t>
  </si>
  <si>
    <t>27 ; 0</t>
  </si>
  <si>
    <t>Naked Red Weinland Red</t>
  </si>
  <si>
    <t>26 ; 5</t>
  </si>
  <si>
    <t>ZRS-1291-NV</t>
  </si>
  <si>
    <t>179 ; 7</t>
  </si>
  <si>
    <t>ZRS-1291-NVK</t>
  </si>
  <si>
    <t>Naked Red Weinland Red KEG</t>
  </si>
  <si>
    <t>Naked Rose Weinland Rose</t>
  </si>
  <si>
    <t>116 ; 0</t>
  </si>
  <si>
    <t>ZRS-0692-24K</t>
  </si>
  <si>
    <t>Naked Rose Weinland Rose KEG</t>
  </si>
  <si>
    <t>25 ; 0</t>
  </si>
  <si>
    <t>Naked White Weinland White</t>
  </si>
  <si>
    <t>35 ; 5</t>
  </si>
  <si>
    <t>ZRS-0497-24</t>
  </si>
  <si>
    <t>108 ; 7</t>
  </si>
  <si>
    <t>ZRS-1290-24K</t>
  </si>
  <si>
    <t>Naked White Weinland White KEG</t>
  </si>
  <si>
    <t>30 ; 0</t>
  </si>
  <si>
    <t>ZRS-1290-NVK</t>
  </si>
  <si>
    <t>12 ; 0</t>
  </si>
  <si>
    <t>Pinot Freyheit Austria Red</t>
  </si>
  <si>
    <t>2 ; 8</t>
  </si>
  <si>
    <t>ZRS-1322-23</t>
  </si>
  <si>
    <t>2 ; 4</t>
  </si>
  <si>
    <t>46 ; 8</t>
  </si>
  <si>
    <t>ZRS-1242-23</t>
  </si>
  <si>
    <t>Sa Va Austria White</t>
  </si>
  <si>
    <t>3 ; 8</t>
  </si>
  <si>
    <t>ZRS-1511-23</t>
  </si>
  <si>
    <t>Weisze Freyheit Austria White</t>
  </si>
  <si>
    <t>15 ; 8</t>
  </si>
  <si>
    <t>Judith Beck</t>
  </si>
  <si>
    <t>16 ; 5</t>
  </si>
  <si>
    <t>Bambule! Muskat Burgenland White</t>
  </si>
  <si>
    <t>20 ; 4</t>
  </si>
  <si>
    <t>Bambule! Pinot Noir Burgenland Red</t>
  </si>
  <si>
    <t>Beck Pink Burgenland Rose</t>
  </si>
  <si>
    <t>24 ; 7</t>
  </si>
  <si>
    <t>ZRS-0798-23</t>
  </si>
  <si>
    <t>25 ; 6</t>
  </si>
  <si>
    <t>36 ; 0</t>
  </si>
  <si>
    <t>ZRS-1514-24</t>
  </si>
  <si>
    <t>Cherry Bomb Burgenland Red</t>
  </si>
  <si>
    <t>21 ; 4</t>
  </si>
  <si>
    <t>Hunny Bunny Burgenland Red</t>
  </si>
  <si>
    <t>51 ; 6</t>
  </si>
  <si>
    <t>ZRS-0797-23</t>
  </si>
  <si>
    <t>Ink Burgenland Red</t>
  </si>
  <si>
    <t>89 ; 0</t>
  </si>
  <si>
    <t>Judith Blaufrankisch Burgenland Red</t>
  </si>
  <si>
    <t>Out Burgenland Red</t>
  </si>
  <si>
    <t>13 ; 4</t>
  </si>
  <si>
    <t>Traminer Osterreich White</t>
  </si>
  <si>
    <t>29 ; 9</t>
  </si>
  <si>
    <t>34 ; 3</t>
  </si>
  <si>
    <t>1 ; 0</t>
  </si>
  <si>
    <t>Meinklang</t>
  </si>
  <si>
    <t>Blaufrankisch Osterreich Red</t>
  </si>
  <si>
    <t>36 ; 1</t>
  </si>
  <si>
    <t>138 ; 5</t>
  </si>
  <si>
    <t>Burgenlandred Osterreich Red</t>
  </si>
  <si>
    <t>343 ; 6</t>
  </si>
  <si>
    <t>Burgenlandwhite Osterreich White</t>
  </si>
  <si>
    <t>383 ; 7</t>
  </si>
  <si>
    <t>Epic Osterreich Sparkling</t>
  </si>
  <si>
    <t>34 ; 5</t>
  </si>
  <si>
    <t>Foam White Osterreich Sparkling</t>
  </si>
  <si>
    <t>186 ; 6</t>
  </si>
  <si>
    <t>Freigeist Sour Ale</t>
  </si>
  <si>
    <t>142 ; 15</t>
  </si>
  <si>
    <t>Freigeist Spelt Ale</t>
  </si>
  <si>
    <t>120 ; 15</t>
  </si>
  <si>
    <t>Fusion Osterreich Sparkling White</t>
  </si>
  <si>
    <t>53 ; 3</t>
  </si>
  <si>
    <t>Graupert Natural Pinot Gris Osterreich White</t>
  </si>
  <si>
    <t>98 ; 10</t>
  </si>
  <si>
    <t>Gruner Veltliner Osterreich White</t>
  </si>
  <si>
    <t>149 ; 10</t>
  </si>
  <si>
    <t>Nacht Edition 4 Osterreich Red</t>
  </si>
  <si>
    <t>22 ; 11</t>
  </si>
  <si>
    <t>ZRS-0208-24</t>
  </si>
  <si>
    <t>Prosa Osterreich Sparkling Rose</t>
  </si>
  <si>
    <t>1123 ; 2</t>
  </si>
  <si>
    <t>ZRS-0376-24</t>
  </si>
  <si>
    <t>Roter Mulatschak Osterreich Red</t>
  </si>
  <si>
    <t>28 ; 6</t>
  </si>
  <si>
    <t>Tag Edition 3 Osterreich White</t>
  </si>
  <si>
    <t>38 ; 10</t>
  </si>
  <si>
    <t>145 ; 2</t>
  </si>
  <si>
    <t>Weisser Mulatschak Osterreich White</t>
  </si>
  <si>
    <t>729 ; 2</t>
  </si>
  <si>
    <t>Michael Gindl</t>
  </si>
  <si>
    <t>Buteo Weinviertel White</t>
  </si>
  <si>
    <t>6 ; 9</t>
  </si>
  <si>
    <t>L`Etrangere Auslanderin Austria White</t>
  </si>
  <si>
    <t>14 ; 1</t>
  </si>
  <si>
    <t>ZRS-1513-23</t>
  </si>
  <si>
    <t>Little Buteo Weinviertel White</t>
  </si>
  <si>
    <t>34 ; 4</t>
  </si>
  <si>
    <t>ZRS-1220-NV</t>
  </si>
  <si>
    <t>Michi`s Farm Orange</t>
  </si>
  <si>
    <t>149 ; 5</t>
  </si>
  <si>
    <t>ZRS-0350-23</t>
  </si>
  <si>
    <t>Michi`s Farm White</t>
  </si>
  <si>
    <t>94 ; 4</t>
  </si>
  <si>
    <t>ZRS-0191-20</t>
  </si>
  <si>
    <t>Michi Lorenz</t>
  </si>
  <si>
    <t>Aura Steirerland White</t>
  </si>
  <si>
    <t>Halo Steirerland White</t>
  </si>
  <si>
    <t>1 ; 1</t>
  </si>
  <si>
    <t>Redvoluzza Steirerland Rose</t>
  </si>
  <si>
    <t>17 ; 1</t>
  </si>
  <si>
    <t>Revoluzza Steirerland White</t>
  </si>
  <si>
    <t>16 ; 0</t>
  </si>
  <si>
    <t>Schilcher Steirerland Red</t>
  </si>
  <si>
    <t>17 ; 0</t>
  </si>
  <si>
    <t>Wicked Garden Steirerland White</t>
  </si>
  <si>
    <t>80 ; 0</t>
  </si>
  <si>
    <t>Schmelzer`s Weingut</t>
  </si>
  <si>
    <t>Big Nature Gols Red</t>
  </si>
  <si>
    <t>1.0L</t>
  </si>
  <si>
    <t>50 ; 5</t>
  </si>
  <si>
    <t>Big Nature Gols White</t>
  </si>
  <si>
    <t>10 ; 2</t>
  </si>
  <si>
    <t>Dion Pet Nat Neusiedlersee Sparkling White</t>
  </si>
  <si>
    <t>39 ; 11</t>
  </si>
  <si>
    <t>Gruner Veltliner Gols White</t>
  </si>
  <si>
    <t>84 ; 10</t>
  </si>
  <si>
    <t>Orangerie Gols White</t>
  </si>
  <si>
    <t>Schlicht und Ergreifend Fruhroter Veltliner Gols White</t>
  </si>
  <si>
    <t>9 ; 7</t>
  </si>
  <si>
    <t>Weissburgunder Gols White</t>
  </si>
  <si>
    <t>12 ; 1</t>
  </si>
  <si>
    <t>12 ; 8</t>
  </si>
  <si>
    <t>Welschriesling Gols White</t>
  </si>
  <si>
    <t>76 ; 1</t>
  </si>
  <si>
    <t>ZRS-0536-21</t>
  </si>
  <si>
    <t>Weingut Werlitsch</t>
  </si>
  <si>
    <t>Ex Vero II S Steirerland White</t>
  </si>
  <si>
    <t>Canada</t>
  </si>
  <si>
    <t>Pinard et Filles</t>
  </si>
  <si>
    <t>Balbutiements Quebec Sparkling</t>
  </si>
  <si>
    <t>2 ; 10</t>
  </si>
  <si>
    <t>Bien-aimee Quebec White</t>
  </si>
  <si>
    <t>4 ; 7</t>
  </si>
  <si>
    <t>Cap a L`Est Quebec Red</t>
  </si>
  <si>
    <t>2 ; 5</t>
  </si>
  <si>
    <t>5 ; 9</t>
  </si>
  <si>
    <t>Wine Love Me Quebec White</t>
  </si>
  <si>
    <t>6 ; 7</t>
  </si>
  <si>
    <t>Vignoble de la Bauge</t>
  </si>
  <si>
    <t>3 Frontenacs Quebec Red</t>
  </si>
  <si>
    <t>Le Blanc Quebec White</t>
  </si>
  <si>
    <t>35 ; 3</t>
  </si>
  <si>
    <t>Le Rose Quebec Rose</t>
  </si>
  <si>
    <t>25 ; 4</t>
  </si>
  <si>
    <t>Le Rouge Quebec Red</t>
  </si>
  <si>
    <t>23 ; 1</t>
  </si>
  <si>
    <t>Croatia</t>
  </si>
  <si>
    <t>Clai Wines</t>
  </si>
  <si>
    <t>Ottocento Istria White</t>
  </si>
  <si>
    <t>Pjenusac Istria Sparkling</t>
  </si>
  <si>
    <t>3 ; 5</t>
  </si>
  <si>
    <t>SV Jakov Malvasia White</t>
  </si>
  <si>
    <t>12 ; 4</t>
  </si>
  <si>
    <t>Cota Vina</t>
  </si>
  <si>
    <t>Pero J`Dero Croatia Red</t>
  </si>
  <si>
    <t>6 ; 6</t>
  </si>
  <si>
    <t>7 ; 0</t>
  </si>
  <si>
    <t>Domaine Bibich</t>
  </si>
  <si>
    <t>Bilo Dalmatia White</t>
  </si>
  <si>
    <t>113 ; 2</t>
  </si>
  <si>
    <t>CRNO Dalmatia Red</t>
  </si>
  <si>
    <t>282 ; 9</t>
  </si>
  <si>
    <t>ZRS-0641-24</t>
  </si>
  <si>
    <t>Cuvee Dalmatia Red</t>
  </si>
  <si>
    <t>54 ; 0</t>
  </si>
  <si>
    <t>288 ; 1</t>
  </si>
  <si>
    <t>64 ; 4</t>
  </si>
  <si>
    <t>ZRS-0975-23</t>
  </si>
  <si>
    <t>Think Pink Dalmatia Rose</t>
  </si>
  <si>
    <t>10 ; 6</t>
  </si>
  <si>
    <t>Zutina Dalmatia White</t>
  </si>
  <si>
    <t>21 ; 5</t>
  </si>
  <si>
    <t>11-037-01-18</t>
  </si>
  <si>
    <t>Marinov</t>
  </si>
  <si>
    <t>Babic Croatia Red</t>
  </si>
  <si>
    <t>5 ; 0</t>
  </si>
  <si>
    <t>Negotians Vinarius</t>
  </si>
  <si>
    <t>1 ; 3</t>
  </si>
  <si>
    <t>Podrum Franjo</t>
  </si>
  <si>
    <t>Aubiks Croatia Rose</t>
  </si>
  <si>
    <t>36 ; 4</t>
  </si>
  <si>
    <t>Kunih Croatia White</t>
  </si>
  <si>
    <t>38 ; 0</t>
  </si>
  <si>
    <t>Muz Pljesivica Red</t>
  </si>
  <si>
    <t>17 ; 2</t>
  </si>
  <si>
    <t>ZRS-0673-21</t>
  </si>
  <si>
    <t>Skila Croatia White</t>
  </si>
  <si>
    <t>10 ; 10</t>
  </si>
  <si>
    <t>0 ; 7</t>
  </si>
  <si>
    <t>ZRS-0184-213L</t>
  </si>
  <si>
    <t>Vinas Mora</t>
  </si>
  <si>
    <t>Andreis Croatia Red</t>
  </si>
  <si>
    <t>3L</t>
  </si>
  <si>
    <t>ZRS-0184-21M4</t>
  </si>
  <si>
    <t>8 ; 3</t>
  </si>
  <si>
    <t>14 ; 11</t>
  </si>
  <si>
    <t>ZRS-0184-22J</t>
  </si>
  <si>
    <t>Barbba Croatia Red</t>
  </si>
  <si>
    <t>62 ; 0</t>
  </si>
  <si>
    <t>9 ; 1</t>
  </si>
  <si>
    <t>2 ; 3</t>
  </si>
  <si>
    <t>Kaamen III Croatia Red</t>
  </si>
  <si>
    <t>13 ; 8</t>
  </si>
  <si>
    <t>ZRS-0186-22J</t>
  </si>
  <si>
    <t>ZRS-0186-22M</t>
  </si>
  <si>
    <t>2 ; 0</t>
  </si>
  <si>
    <t>Vino Kaamen Croatia Red</t>
  </si>
  <si>
    <t>15 ; 0</t>
  </si>
  <si>
    <t>ZRS-0514-22</t>
  </si>
  <si>
    <t>Vino Kaamen II Croatia Red</t>
  </si>
  <si>
    <t>22 ; 4</t>
  </si>
  <si>
    <t>ZRS-0514-22J</t>
  </si>
  <si>
    <t>ZRS-0514-22M</t>
  </si>
  <si>
    <t>4 ; 0</t>
  </si>
  <si>
    <t>Czech Republic</t>
  </si>
  <si>
    <t>Vino Loigi</t>
  </si>
  <si>
    <t>Bubbles Touch Moravske Sparkling</t>
  </si>
  <si>
    <t>8 ; 6</t>
  </si>
  <si>
    <t>11 ; 1</t>
  </si>
  <si>
    <t>Ryzlink Rynsky Moravske White</t>
  </si>
  <si>
    <t>9 ; 8</t>
  </si>
  <si>
    <t>Three Elements Moravske White</t>
  </si>
  <si>
    <t>France</t>
  </si>
  <si>
    <t>Ad Vinum</t>
  </si>
  <si>
    <t>Les Arcs Rouge VDF Red</t>
  </si>
  <si>
    <t>103 ; 2</t>
  </si>
  <si>
    <t>AMI</t>
  </si>
  <si>
    <t>A-Miami Vice VDT Red</t>
  </si>
  <si>
    <t>1 ; 2</t>
  </si>
  <si>
    <t>0 ; 5</t>
  </si>
  <si>
    <t>Amiami VICE Le Pari VDT Sparkling</t>
  </si>
  <si>
    <t>1 ; 11</t>
  </si>
  <si>
    <t>AMIE VDF Red</t>
  </si>
  <si>
    <t>ZRS-0751-22</t>
  </si>
  <si>
    <t>Gaminot Bourgogne Red</t>
  </si>
  <si>
    <t>ZRS-0751-22M</t>
  </si>
  <si>
    <t>7 ; 5</t>
  </si>
  <si>
    <t>Hautes Cotes de Beaune Red</t>
  </si>
  <si>
    <t>Homard Bleu Bourgogne Red</t>
  </si>
  <si>
    <t>0 ; 9</t>
  </si>
  <si>
    <t>Homard d`Or Bourgogne White</t>
  </si>
  <si>
    <t>Les Monsnieres Cote de Beaune White</t>
  </si>
  <si>
    <t>5 ; 6</t>
  </si>
  <si>
    <t>Les Poutures Pommard 1er Cru Red</t>
  </si>
  <si>
    <t>Pommard Red</t>
  </si>
  <si>
    <t>Tete dans les Nuages Bourgogne Red</t>
  </si>
  <si>
    <t>10 ; 3</t>
  </si>
  <si>
    <t>Tete dans les Nuages Bourgogne White</t>
  </si>
  <si>
    <t>Tue Boeuf Chorey Les Beaune Red</t>
  </si>
  <si>
    <t>3 ; 6</t>
  </si>
  <si>
    <t>Anders Frederik Steen</t>
  </si>
  <si>
    <t>16 ; 11</t>
  </si>
  <si>
    <t>1 ; 6</t>
  </si>
  <si>
    <t>21 ; 0</t>
  </si>
  <si>
    <t>ZRS-1301-23</t>
  </si>
  <si>
    <t>Arnaud Combier</t>
  </si>
  <si>
    <t>Hatues Cotes de Beaune Red</t>
  </si>
  <si>
    <t>27 ; 1</t>
  </si>
  <si>
    <t>Autour de L`Anne</t>
  </si>
  <si>
    <t>C.S.G. VDF Red</t>
  </si>
  <si>
    <t>39 ; 0</t>
  </si>
  <si>
    <t>Les Etats d`Anne VDF Red</t>
  </si>
  <si>
    <t>9 ; 4</t>
  </si>
  <si>
    <t>Pot d`Anne VDF Red</t>
  </si>
  <si>
    <t>39 ; 8</t>
  </si>
  <si>
    <t>Wonder Womanne VDF Sparkling Rose</t>
  </si>
  <si>
    <t>44 ; 9</t>
  </si>
  <si>
    <t>Axel Domont</t>
  </si>
  <si>
    <t>Chien d`Arret VDF White</t>
  </si>
  <si>
    <t>12 ; 3</t>
  </si>
  <si>
    <t>Eterlou VDF White</t>
  </si>
  <si>
    <t>23 ; 0</t>
  </si>
  <si>
    <t>Flamme Rouge VDF Red</t>
  </si>
  <si>
    <t>26 ; 10</t>
  </si>
  <si>
    <t>FIFI-0048-22</t>
  </si>
  <si>
    <t>Bascule</t>
  </si>
  <si>
    <t>Babushka VDF Rose</t>
  </si>
  <si>
    <t>52 ; 11</t>
  </si>
  <si>
    <t>Chateau de Beru</t>
  </si>
  <si>
    <t>Athenais Aligote Bourgogne White</t>
  </si>
  <si>
    <t>22 ; 2</t>
  </si>
  <si>
    <t>Athenais Aligote Maceration Bourgogne White</t>
  </si>
  <si>
    <t>0 ; 6</t>
  </si>
  <si>
    <t>Athenais Ariane VDF White</t>
  </si>
  <si>
    <t>Athenais Bourgogne White</t>
  </si>
  <si>
    <t>21 ; 11</t>
  </si>
  <si>
    <t>Athenais Mont Embrase Saint Bris White</t>
  </si>
  <si>
    <t>9 ; 3</t>
  </si>
  <si>
    <t>Athenais Pinot Gris Bourgogne White</t>
  </si>
  <si>
    <t>6 ; 4</t>
  </si>
  <si>
    <t>Celeste Cotes d`Auxerre Red</t>
  </si>
  <si>
    <t>3 ; 9</t>
  </si>
  <si>
    <t>Clos Beru Monopole Chablis White</t>
  </si>
  <si>
    <t>44 ; 2</t>
  </si>
  <si>
    <t>Montserre Chablis White</t>
  </si>
  <si>
    <t>1 ; 10</t>
  </si>
  <si>
    <t>Orangerie Chablis White</t>
  </si>
  <si>
    <t>15 ; 9</t>
  </si>
  <si>
    <t>Terroirs de Beru Chablis White</t>
  </si>
  <si>
    <t>86 ; 9</t>
  </si>
  <si>
    <t>Chateau des Eclaz</t>
  </si>
  <si>
    <t>12 ; 2</t>
  </si>
  <si>
    <t>Cuvee Fleurus Bugey White</t>
  </si>
  <si>
    <t>19 ; 11</t>
  </si>
  <si>
    <t>Cuvee Hohenlinden Bugey White</t>
  </si>
  <si>
    <t>14 ; 0</t>
  </si>
  <si>
    <t>Perle Des Eclaz VDF Sparkling</t>
  </si>
  <si>
    <t>18 ; 1</t>
  </si>
  <si>
    <t>2 ; 9</t>
  </si>
  <si>
    <t>Pinot Noir Bugey Red Magnum</t>
  </si>
  <si>
    <t>Chateau Sainte-Anne</t>
  </si>
  <si>
    <t>Bandol White</t>
  </si>
  <si>
    <t>Cotes de Provence Red</t>
  </si>
  <si>
    <t>7 ; 11</t>
  </si>
  <si>
    <t>ZRS-1472-24</t>
  </si>
  <si>
    <t>Clos De Bernardi</t>
  </si>
  <si>
    <t>Rosé de Une Nuit Patrimonio Rose</t>
  </si>
  <si>
    <t>22 ; 5</t>
  </si>
  <si>
    <t>Clos des Mourres</t>
  </si>
  <si>
    <t>A Table! VDF Red</t>
  </si>
  <si>
    <t>46 ; 2</t>
  </si>
  <si>
    <t>11 ; 0</t>
  </si>
  <si>
    <t>NoVice Cotes du Rhone Red</t>
  </si>
  <si>
    <t>42 ; 0</t>
  </si>
  <si>
    <t>Pompette VDF Red</t>
  </si>
  <si>
    <t>40 ; 1</t>
  </si>
  <si>
    <t>Pompette VDF Rose</t>
  </si>
  <si>
    <t>198 ; 1</t>
  </si>
  <si>
    <t>ZR-CV-01-NV</t>
  </si>
  <si>
    <t>Coeur de Cuivre</t>
  </si>
  <si>
    <t>Dry Vermouth</t>
  </si>
  <si>
    <t>8 ; 0</t>
  </si>
  <si>
    <t>Distillerie Cazottes</t>
  </si>
  <si>
    <t>Adele VDF White</t>
  </si>
  <si>
    <t>8 ; 9</t>
  </si>
  <si>
    <t>Champetre VDF White</t>
  </si>
  <si>
    <t>1 ; 7</t>
  </si>
  <si>
    <t>Le Fruit VDF Red</t>
  </si>
  <si>
    <t>61 ; 3</t>
  </si>
  <si>
    <t>Le Fruit VDF Rose</t>
  </si>
  <si>
    <t>67 ; 3</t>
  </si>
  <si>
    <t>Marcotte VDF Red</t>
  </si>
  <si>
    <t>Mauzac Rose VDF Rose</t>
  </si>
  <si>
    <t>6 ; 5</t>
  </si>
  <si>
    <t>Prunelart VDF Red</t>
  </si>
  <si>
    <t>Rackham VDF Red</t>
  </si>
  <si>
    <t>17 ; 10</t>
  </si>
  <si>
    <t>Domaine Alexandre Bain</t>
  </si>
  <si>
    <t>Pierre Precieuse VDF White</t>
  </si>
  <si>
    <t>16 ; 1</t>
  </si>
  <si>
    <t>Terre d`Obus VDF White</t>
  </si>
  <si>
    <t>42 ; 8</t>
  </si>
  <si>
    <t>Domaine Balansa</t>
  </si>
  <si>
    <t>Bel Soula Fitou Red</t>
  </si>
  <si>
    <t>9 ; 2</t>
  </si>
  <si>
    <t>Holograppe VDF Sparkling</t>
  </si>
  <si>
    <t>1 ; 9</t>
  </si>
  <si>
    <t>ZRS-0037-24</t>
  </si>
  <si>
    <t>La Vinhota VDF Red</t>
  </si>
  <si>
    <t>ZRS-1212-24</t>
  </si>
  <si>
    <t>Domaine Benjamin Taillandier</t>
  </si>
  <si>
    <t>Oh Ma Jolie VDF Red</t>
  </si>
  <si>
    <t>82 ; 10</t>
  </si>
  <si>
    <t>Viti Vini Bibi Minervois Red</t>
  </si>
  <si>
    <t>70 ; 0</t>
  </si>
  <si>
    <t>Domaine Bourdy</t>
  </si>
  <si>
    <t>Cotes du Jura Red</t>
  </si>
  <si>
    <t>8 ; 2</t>
  </si>
  <si>
    <t>ZRS-1202-22</t>
  </si>
  <si>
    <t>Cuvee Chloe Cotes du Jura Red</t>
  </si>
  <si>
    <t>2 ; 2</t>
  </si>
  <si>
    <t>Cuvee Lola Cotes du Jura Red</t>
  </si>
  <si>
    <t>Cuvee Suzanne Cotes du Jura Rose</t>
  </si>
  <si>
    <t>5 ; 7</t>
  </si>
  <si>
    <t>Domaine Chahut et Prodiges</t>
  </si>
  <si>
    <t>Black Beat VDF Red</t>
  </si>
  <si>
    <t>ZRS-0831-22</t>
  </si>
  <si>
    <t>Coup de Canon VDF Red</t>
  </si>
  <si>
    <t>La Mule VDF Red</t>
  </si>
  <si>
    <t>Les Tetes Noires VDF Red</t>
  </si>
  <si>
    <t>ZRS-0834-22</t>
  </si>
  <si>
    <t>14 ; 8</t>
  </si>
  <si>
    <t>ZRS-0565-22</t>
  </si>
  <si>
    <t>Domaine de l`Ange Vin</t>
  </si>
  <si>
    <t>Concerto di Venezia VDF Red</t>
  </si>
  <si>
    <t>22 ; 10</t>
  </si>
  <si>
    <t>ZRS-0573-23</t>
  </si>
  <si>
    <t>Cuvee Bistrologie VDF White</t>
  </si>
  <si>
    <t>ZRS-0564-23</t>
  </si>
  <si>
    <t>Fetembulles VDF Sparkling White</t>
  </si>
  <si>
    <t>208 ; 3</t>
  </si>
  <si>
    <t>ZRS-0567-23</t>
  </si>
  <si>
    <t>L`Ange Vin Nocturne VDF Red</t>
  </si>
  <si>
    <t>ZRS-0571-22</t>
  </si>
  <si>
    <t>L`Iris du Loire VDF White</t>
  </si>
  <si>
    <t>0 ; 4</t>
  </si>
  <si>
    <t>ZRS-0571-23</t>
  </si>
  <si>
    <t>ZRS-0570-22</t>
  </si>
  <si>
    <t>Le Regard VDF Red</t>
  </si>
  <si>
    <t>23 ; 11</t>
  </si>
  <si>
    <t>ZRS-0570-23</t>
  </si>
  <si>
    <t>27 ; 2</t>
  </si>
  <si>
    <t>ZRS-0563-23</t>
  </si>
  <si>
    <t>Les Annees Folles VDF Sparkling Rose</t>
  </si>
  <si>
    <t>8 ; 1</t>
  </si>
  <si>
    <t>ZRS-0574-23</t>
  </si>
  <si>
    <t>Lumiere de Silex VDF White</t>
  </si>
  <si>
    <t>23 ; 4</t>
  </si>
  <si>
    <t>ZRS-0566-23</t>
  </si>
  <si>
    <t>Lumiere des Sens VDF Red</t>
  </si>
  <si>
    <t>ZRS-0985-24</t>
  </si>
  <si>
    <t>Domaine de L`Octavin</t>
  </si>
  <si>
    <t>Betty Bulles VDF Sparkling Rose</t>
  </si>
  <si>
    <t>ZRS-1189-23</t>
  </si>
  <si>
    <t>Charlot VDF Red</t>
  </si>
  <si>
    <t>ZRS-0615-22</t>
  </si>
  <si>
    <t>Cigogne VDF Gewurtztraminer Pinot Gris Rose</t>
  </si>
  <si>
    <t>ZRS-0614-23</t>
  </si>
  <si>
    <t>Cigogne VDF White Gewurtztraminer</t>
  </si>
  <si>
    <t>ZRS-0980-22</t>
  </si>
  <si>
    <t>Cle a Molette VDF White</t>
  </si>
  <si>
    <t>ZRS-1360-NV</t>
  </si>
  <si>
    <t>Corvee de Trousseau Arbois Red</t>
  </si>
  <si>
    <t>ZRS-0111-23</t>
  </si>
  <si>
    <t>Grenabar VDF Red</t>
  </si>
  <si>
    <t>ZRS-1361-23</t>
  </si>
  <si>
    <t>Hip Hip J Pinot Noir VDF Red</t>
  </si>
  <si>
    <t>ZRS-0978-22</t>
  </si>
  <si>
    <t>Ivre de Vivre VDF White</t>
  </si>
  <si>
    <t>Mus`Cattt VDF White</t>
  </si>
  <si>
    <t>ZRS-1190-22</t>
  </si>
  <si>
    <t>Synain VDF White</t>
  </si>
  <si>
    <t>Domaine de la Pinte</t>
  </si>
  <si>
    <t>Cuvee d`Automne Arbois White</t>
  </si>
  <si>
    <t>La Capitaine Arbois Red</t>
  </si>
  <si>
    <t>ZRS-1165-22</t>
  </si>
  <si>
    <t>Poulsard de l`Ami Karl Arbois Red</t>
  </si>
  <si>
    <t>ZRS-1166-22</t>
  </si>
  <si>
    <t>Sav`Or VDF White</t>
  </si>
  <si>
    <t>29 ; 4</t>
  </si>
  <si>
    <t>Domaine de la Renardiere</t>
  </si>
  <si>
    <t>ZRS-1154-22</t>
  </si>
  <si>
    <t>Cremant du Jura Sparkling</t>
  </si>
  <si>
    <t>ZRS-1155-22</t>
  </si>
  <si>
    <t>Jurassique Arbois Pupillin White</t>
  </si>
  <si>
    <t>33 ; 8</t>
  </si>
  <si>
    <t>ZRS-1158-22</t>
  </si>
  <si>
    <t>Les Terrasses Arbois Pupillin White</t>
  </si>
  <si>
    <t>Les Vianderies Arbois Pupillin White</t>
  </si>
  <si>
    <t>5 ; 11</t>
  </si>
  <si>
    <t>ZRS-1160-23</t>
  </si>
  <si>
    <t>Maceration Arbois Pupillin White</t>
  </si>
  <si>
    <t>ZRS-1439-16</t>
  </si>
  <si>
    <t>Maceration de Savagnin White</t>
  </si>
  <si>
    <t>ZRS-1389-NV</t>
  </si>
  <si>
    <t>Macvin du Jura</t>
  </si>
  <si>
    <t>ZRS-1383-23</t>
  </si>
  <si>
    <t>Ploussard Arbois Pupillin Rouge</t>
  </si>
  <si>
    <t>7 ; 6</t>
  </si>
  <si>
    <t>ZRS-1385-23</t>
  </si>
  <si>
    <t>Trousseau a la Dame Arbois Pupillin Red</t>
  </si>
  <si>
    <t>17 ; 5</t>
  </si>
  <si>
    <t>ZRS-1384-23</t>
  </si>
  <si>
    <t>Vines de 1983 Arbois Pupillin Red</t>
  </si>
  <si>
    <t>ZRS-1157-23</t>
  </si>
  <si>
    <t>Vines of 1966 Arbois Pupillin White</t>
  </si>
  <si>
    <t>Domaine Derain</t>
  </si>
  <si>
    <t>En Remilly St. Aubin 1er Cru White</t>
  </si>
  <si>
    <t>Les Combes Au Sud St. Aubin 1er Cru White</t>
  </si>
  <si>
    <t>ZRS-0967-21</t>
  </si>
  <si>
    <t>Les Petits Noizons Pommard Red</t>
  </si>
  <si>
    <t>0 ; 8</t>
  </si>
  <si>
    <t>Sur Le Sentier du Clou St. Aubin 1er Cru White</t>
  </si>
  <si>
    <t>Dominique Derain</t>
  </si>
  <si>
    <t>Dr`ain Dr`ain VDF Red</t>
  </si>
  <si>
    <t>Las Nubes Casablanca Valley Red</t>
  </si>
  <si>
    <t>ZRS-1311-23</t>
  </si>
  <si>
    <t>Domaine des Albatros</t>
  </si>
  <si>
    <t>Itinerances Polaires Vin de Savoie Chignin White</t>
  </si>
  <si>
    <t>5 ; 2</t>
  </si>
  <si>
    <t>ZRS-1312-23</t>
  </si>
  <si>
    <t>Karma Vin de Savoie Red</t>
  </si>
  <si>
    <t>20 ; 0</t>
  </si>
  <si>
    <t>Domaine des Hauts Baigneux</t>
  </si>
  <si>
    <t>Les Moulins VDF Red</t>
  </si>
  <si>
    <t>17 ; 6</t>
  </si>
  <si>
    <t>Domaine des Jeunes Pousses</t>
  </si>
  <si>
    <t>Aux Chanes Beaujolais Villages Red</t>
  </si>
  <si>
    <t>24 ; 4</t>
  </si>
  <si>
    <t>10 ; 0</t>
  </si>
  <si>
    <t>La Croix Beaujolais Villages d`Emeringes</t>
  </si>
  <si>
    <t>Replat de Vavre Beaujolais Villages Red</t>
  </si>
  <si>
    <t>39 ; 6</t>
  </si>
  <si>
    <t>Domaine des Moriers</t>
  </si>
  <si>
    <t>Moulin-a-Vent Red</t>
  </si>
  <si>
    <t>18 ; 0</t>
  </si>
  <si>
    <t>Domaine Geschickt</t>
  </si>
  <si>
    <t>Im Schloss Riesling Alsace White</t>
  </si>
  <si>
    <t>Pfulben Kaefferkopf GC Alsace White</t>
  </si>
  <si>
    <t>Phenix Vin d`Alsace Red</t>
  </si>
  <si>
    <t>ZRS-0922-21</t>
  </si>
  <si>
    <t>Purberg Kaefferkopf GC Alsace White</t>
  </si>
  <si>
    <t>6 ; 1</t>
  </si>
  <si>
    <t>18-0182-19</t>
  </si>
  <si>
    <t>Domaine Grosbois</t>
  </si>
  <si>
    <t>La Cuisine de Ma Mere Chinon Red</t>
  </si>
  <si>
    <t>ZRS-0249-24</t>
  </si>
  <si>
    <t>Domaine Jean Baptiste Senat</t>
  </si>
  <si>
    <t>Amalgame Minervois Red</t>
  </si>
  <si>
    <t>34 ; 8</t>
  </si>
  <si>
    <t>Arbalete and Coquelicots Minervois Red</t>
  </si>
  <si>
    <t>56 ; 5</t>
  </si>
  <si>
    <t>18 ; 7</t>
  </si>
  <si>
    <t>Aux Amis de ma Soeur Aude White</t>
  </si>
  <si>
    <t>7 ; 1</t>
  </si>
  <si>
    <t>ZRS-0940-24</t>
  </si>
  <si>
    <t>23 ; 5</t>
  </si>
  <si>
    <t>Hors Champs Minervois Red</t>
  </si>
  <si>
    <t>74 ; 1</t>
  </si>
  <si>
    <t>ZRS-0247-24</t>
  </si>
  <si>
    <t>La Nine Minervois Red</t>
  </si>
  <si>
    <t>13 ; 5</t>
  </si>
  <si>
    <t>Domaine la Boheme</t>
  </si>
  <si>
    <t>Cailloux VDF Red</t>
  </si>
  <si>
    <t>Lulu VDF Red</t>
  </si>
  <si>
    <t>Domaine La Ferme des Magesses</t>
  </si>
  <si>
    <t>Campeye VDF Red</t>
  </si>
  <si>
    <t>50 ; 4</t>
  </si>
  <si>
    <t>L`Envol VDF Rose</t>
  </si>
  <si>
    <t>14 ; 4</t>
  </si>
  <si>
    <t>L`Outsider VDF Red</t>
  </si>
  <si>
    <t>40 ; 4</t>
  </si>
  <si>
    <t>Domaine La Paonnerie</t>
  </si>
  <si>
    <t>Le Rose d`Ancenis Loire Rose</t>
  </si>
  <si>
    <t>Simplement Gamay Loire Red</t>
  </si>
  <si>
    <t>Domaine Lattard</t>
  </si>
  <si>
    <t>Roussanne VDF White</t>
  </si>
  <si>
    <t>Syrah VDF Red</t>
  </si>
  <si>
    <t>Domaine Le Facteur</t>
  </si>
  <si>
    <t>Extra Brut Vouvray Sparkling</t>
  </si>
  <si>
    <t>94 ; 10</t>
  </si>
  <si>
    <t>La Bamboche VDF White</t>
  </si>
  <si>
    <t>12 ; 7</t>
  </si>
  <si>
    <t>La Bulle du Facteur VDF Sparkling Rose</t>
  </si>
  <si>
    <t>64 ; 9</t>
  </si>
  <si>
    <t>La Bulle du Facteur VDF Sparkling White</t>
  </si>
  <si>
    <t>30 ; 8</t>
  </si>
  <si>
    <t>Su`L`Velo VDF Red</t>
  </si>
  <si>
    <t>6 ; 2</t>
  </si>
  <si>
    <t>Domaine Le Grain de Seneve</t>
  </si>
  <si>
    <t>Pierre de Faite VDF Red</t>
  </si>
  <si>
    <t>32 ; 10</t>
  </si>
  <si>
    <t>Roue Libre VDF Red</t>
  </si>
  <si>
    <t>20 ; 3</t>
  </si>
  <si>
    <t>FIFI-0055-16</t>
  </si>
  <si>
    <t>Domaine Leonine</t>
  </si>
  <si>
    <t>Bottle Neck</t>
  </si>
  <si>
    <t>78 ; 11</t>
  </si>
  <si>
    <t>ZRS-1452-23</t>
  </si>
  <si>
    <t>Domaine Mont de Marie</t>
  </si>
  <si>
    <t>Anatheme VDF White</t>
  </si>
  <si>
    <t>ZRS-1453-23</t>
  </si>
  <si>
    <t>Coquin de Sort VDF Red</t>
  </si>
  <si>
    <t>Puech Coucou VDF Red</t>
  </si>
  <si>
    <t>Salve Ager VDF Red</t>
  </si>
  <si>
    <t>12 ; 5</t>
  </si>
  <si>
    <t>ZRS-0520-22</t>
  </si>
  <si>
    <t>Domaine Philippe Tessier</t>
  </si>
  <si>
    <t>La Porte Doree Cour Cheverny White</t>
  </si>
  <si>
    <t>Famille du Vin</t>
  </si>
  <si>
    <t>Chateau de Beru Chablis White (can)</t>
  </si>
  <si>
    <t>205 ; 14</t>
  </si>
  <si>
    <t>Fabien Jouves Skin Contact VDF White (can)</t>
  </si>
  <si>
    <t>58 ; 34</t>
  </si>
  <si>
    <t>Jean Pierre Robinot VDF Sparkling (can)</t>
  </si>
  <si>
    <t>62 ; 38</t>
  </si>
  <si>
    <t>Jean Pierre Robinot VDF White (can)</t>
  </si>
  <si>
    <t>256 ; 36</t>
  </si>
  <si>
    <t>La Roche Buissiere VDF Red (can)</t>
  </si>
  <si>
    <t>192 ; 30</t>
  </si>
  <si>
    <t>Les Tetes VDF Red (can)</t>
  </si>
  <si>
    <t>254 ; 32</t>
  </si>
  <si>
    <t>Francois de Nicolay</t>
  </si>
  <si>
    <t>Bouzeron White</t>
  </si>
  <si>
    <t>Bulles Dog VDF Sparkling</t>
  </si>
  <si>
    <t>91 ; 3</t>
  </si>
  <si>
    <t>Bulles Dog VDF Sparkling Rose</t>
  </si>
  <si>
    <t>78 ; 5</t>
  </si>
  <si>
    <t>Les Maizieres Rully White</t>
  </si>
  <si>
    <t>Les Montelons Mercurey White</t>
  </si>
  <si>
    <t>Sous la Velle Meursault White</t>
  </si>
  <si>
    <t>Gregory Guillaume</t>
  </si>
  <si>
    <t>Abracadaboom VDF Red</t>
  </si>
  <si>
    <t>10 ; 4</t>
  </si>
  <si>
    <t>Chapicave VDF White</t>
  </si>
  <si>
    <t>14 ; 2</t>
  </si>
  <si>
    <t>ZRS-1329-NV</t>
  </si>
  <si>
    <t>L`Epicurien VDF Red</t>
  </si>
  <si>
    <t>L`Excentrique VDF Red</t>
  </si>
  <si>
    <t>ZRS-1330-NV</t>
  </si>
  <si>
    <t>Mystere VDF Red</t>
  </si>
  <si>
    <t>Testard VDF Red</t>
  </si>
  <si>
    <t>Guillaume Noire</t>
  </si>
  <si>
    <t>Elements Ch VDF White</t>
  </si>
  <si>
    <t>29 ; 0</t>
  </si>
  <si>
    <t>Elements Gn VDF Red</t>
  </si>
  <si>
    <t>9 ; 5</t>
  </si>
  <si>
    <t>ZRS-0315-23M</t>
  </si>
  <si>
    <t>Henri Chauvet</t>
  </si>
  <si>
    <t>Au Chant de la Huppe Cotes d`Auvergne Red</t>
  </si>
  <si>
    <t>ZRS-0070-23</t>
  </si>
  <si>
    <t>De Cendre et d`Ame Cotes d`Auvergne Red</t>
  </si>
  <si>
    <t>ZRS-1447-23</t>
  </si>
  <si>
    <t>En Attendant La Pluie VDF Red</t>
  </si>
  <si>
    <t>FIFI-0092-21</t>
  </si>
  <si>
    <t>Jean-Louis Tribouley</t>
  </si>
  <si>
    <t>l`Alba VDF Red</t>
  </si>
  <si>
    <t>4 ; 4</t>
  </si>
  <si>
    <t>FIFI-0094-21</t>
  </si>
  <si>
    <t>Les 3 Lunes VDF Red</t>
  </si>
  <si>
    <t>Jean-Marie Berrux</t>
  </si>
  <si>
    <t>Le Petit Tetu Bourgogne Red</t>
  </si>
  <si>
    <t>Le Petit Tetu Bourgogne White</t>
  </si>
  <si>
    <t>67 ; 4</t>
  </si>
  <si>
    <t>Le Tetu Bourgogne White</t>
  </si>
  <si>
    <t>Nondegu Bourgogne Red</t>
  </si>
  <si>
    <t>4 ; 8</t>
  </si>
  <si>
    <t>Jean-Yves Peron</t>
  </si>
  <si>
    <t>Casa Rossa VDF Red</t>
  </si>
  <si>
    <t>Cotillon des Dames Reserve VDF White</t>
  </si>
  <si>
    <t>La Grande Journee VDF White</t>
  </si>
  <si>
    <t>Jennifer Bariou &amp; Thibaut Bodet</t>
  </si>
  <si>
    <t>Ca Grolleau`te Touraine-Azay-le-Rideau Rose</t>
  </si>
  <si>
    <t>56 ; 7</t>
  </si>
  <si>
    <t>30 ; 4</t>
  </si>
  <si>
    <t>Cheninpan Touraine-Azay-le-Rideau White</t>
  </si>
  <si>
    <t>Funambulle VDF Sparkling Rose</t>
  </si>
  <si>
    <t>14 ; 3</t>
  </si>
  <si>
    <t>Petillant Blanc VDF Sparkling</t>
  </si>
  <si>
    <t>VDF Red</t>
  </si>
  <si>
    <t>24 ; 0</t>
  </si>
  <si>
    <t>FIFI-0066-22</t>
  </si>
  <si>
    <t>John Almansa</t>
  </si>
  <si>
    <t>Zou Mai VDF Red</t>
  </si>
  <si>
    <t>Josette y Michel</t>
  </si>
  <si>
    <t>Le Dire C`est Bien, Le Fer C`est Mieux VDF Red</t>
  </si>
  <si>
    <t>Les Coudes sur La Table VDF Red</t>
  </si>
  <si>
    <t>Tostaky VDF Red</t>
  </si>
  <si>
    <t>164 ; 0</t>
  </si>
  <si>
    <t>Julien Altaber</t>
  </si>
  <si>
    <t>19 ; 3</t>
  </si>
  <si>
    <t>2 ; 11</t>
  </si>
  <si>
    <t>11 ; 11</t>
  </si>
  <si>
    <t>En Chapon VDF White</t>
  </si>
  <si>
    <t>8 ; 5</t>
  </si>
  <si>
    <t>Intuition Foudre VDF White</t>
  </si>
  <si>
    <t>Intuition Les Fas VDF White</t>
  </si>
  <si>
    <t>1 ; 4</t>
  </si>
  <si>
    <t>Intuition Talmot VDF White</t>
  </si>
  <si>
    <t>La Fleur Au Verre Bourgogne Red</t>
  </si>
  <si>
    <t>La Fleur Au Verre Bourgogne White</t>
  </si>
  <si>
    <t>Plein Po VDF White</t>
  </si>
  <si>
    <t>Po a Po VDF White</t>
  </si>
  <si>
    <t>13 ; 10</t>
  </si>
  <si>
    <t>ZRS-1140-22</t>
  </si>
  <si>
    <t>Rully 1er Cru White</t>
  </si>
  <si>
    <t>5 ; 10</t>
  </si>
  <si>
    <t>Secret de Cave VDF White</t>
  </si>
  <si>
    <t>Sous La Velle Monthelie 1er Cru Red</t>
  </si>
  <si>
    <t>14 ; 7</t>
  </si>
  <si>
    <t>Karnage</t>
  </si>
  <si>
    <t>L`Insolent Negoce</t>
  </si>
  <si>
    <t>Fou Gueux VDF White</t>
  </si>
  <si>
    <t>13 ; 0</t>
  </si>
  <si>
    <t>Sapucai VDF Red</t>
  </si>
  <si>
    <t>Tromaonirique VDF White</t>
  </si>
  <si>
    <t>La Roche Buissiere</t>
  </si>
  <si>
    <t>Flonflons Cotes du Rhone Red</t>
  </si>
  <si>
    <t>47 ; 1</t>
  </si>
  <si>
    <t>80 ; 9</t>
  </si>
  <si>
    <t>Gaia Cotes du Rhone Red</t>
  </si>
  <si>
    <t>Le Claux Cotes du Rhone Red</t>
  </si>
  <si>
    <t>2 ; 6</t>
  </si>
  <si>
    <t>Petit Jo VDF Red</t>
  </si>
  <si>
    <t>83 ; 3</t>
  </si>
  <si>
    <t>Petite Jeanne VDF Red</t>
  </si>
  <si>
    <t>41 ; 7</t>
  </si>
  <si>
    <t>Premices VDF Red</t>
  </si>
  <si>
    <t>78 ; 6</t>
  </si>
  <si>
    <t>VDF Rose</t>
  </si>
  <si>
    <t>4 ; 9</t>
  </si>
  <si>
    <t>Les Arabesques</t>
  </si>
  <si>
    <t>Chloris VDF White</t>
  </si>
  <si>
    <t>11 ; 4</t>
  </si>
  <si>
    <t>Chopine VDF Red</t>
  </si>
  <si>
    <t>Lou Pal VDF Red</t>
  </si>
  <si>
    <t>Ocarina VDF Rose</t>
  </si>
  <si>
    <t>36 ; 3</t>
  </si>
  <si>
    <t>Les Cortis</t>
  </si>
  <si>
    <t>Gastine VDF Rose</t>
  </si>
  <si>
    <t>9 ; 11</t>
  </si>
  <si>
    <t>ZRS-1391-24</t>
  </si>
  <si>
    <t>Napees VDF White</t>
  </si>
  <si>
    <t>49 ; 6</t>
  </si>
  <si>
    <t>Obuscule VDF Red</t>
  </si>
  <si>
    <t>7 ; 9</t>
  </si>
  <si>
    <t>Uzee VDF Red</t>
  </si>
  <si>
    <t>17 ; 4</t>
  </si>
  <si>
    <t>ZRS-0444-23</t>
  </si>
  <si>
    <t>Les Deux Terres</t>
  </si>
  <si>
    <t>La Reboule VDF Red</t>
  </si>
  <si>
    <t>28 ; 9</t>
  </si>
  <si>
    <t>Vin Nu VDF White</t>
  </si>
  <si>
    <t>15 ; 11</t>
  </si>
  <si>
    <t>Zig Zag VDF Red</t>
  </si>
  <si>
    <t>36 ; 8</t>
  </si>
  <si>
    <t>13 ; 6</t>
  </si>
  <si>
    <t>Les Faverelles</t>
  </si>
  <si>
    <t>Le Nez de Muse Vezelay White</t>
  </si>
  <si>
    <t>43 ; 5</t>
  </si>
  <si>
    <t>ZRS-1125-24</t>
  </si>
  <si>
    <t>Les Foulards Rouges</t>
  </si>
  <si>
    <t>Frida VDF Red</t>
  </si>
  <si>
    <t>3 ; 10</t>
  </si>
  <si>
    <t>ZRS-1124-24</t>
  </si>
  <si>
    <t>Glaneurs VDF Red</t>
  </si>
  <si>
    <t>7 ; 10</t>
  </si>
  <si>
    <t>La Soif Du Mal VDF Rose</t>
  </si>
  <si>
    <t>La Soif Du Mal VDF White</t>
  </si>
  <si>
    <t>Terre de Feu VDF Red</t>
  </si>
  <si>
    <t>ZRS-0992-24</t>
  </si>
  <si>
    <t>Terre de Feu VDF White</t>
  </si>
  <si>
    <t>Les Souriants</t>
  </si>
  <si>
    <t>Galipet VDF Sparkling</t>
  </si>
  <si>
    <t>Sourire au Naturel Beaujolais Red</t>
  </si>
  <si>
    <t>Les Terres Dubien</t>
  </si>
  <si>
    <t>Initial BC Blaye Cotes de Bordeaux Red</t>
  </si>
  <si>
    <t>5 ; 4</t>
  </si>
  <si>
    <t>Un Coup d`Ma Doc VDF Red</t>
  </si>
  <si>
    <t>3 ; 11</t>
  </si>
  <si>
    <t>Les Tetes</t>
  </si>
  <si>
    <t>45 ; 4</t>
  </si>
  <si>
    <t>35 ; 9</t>
  </si>
  <si>
    <t>Les Parcelles Tete Nat Igny Ruse VDF Sparkling Rose</t>
  </si>
  <si>
    <t>11 ; 5</t>
  </si>
  <si>
    <t>Les Parcelles Tete Nat Igny Ruse VDF Sparkling White</t>
  </si>
  <si>
    <t>4 ; 2</t>
  </si>
  <si>
    <t>69 ; 5</t>
  </si>
  <si>
    <t>Somentino VDF Red</t>
  </si>
  <si>
    <t>Tete Au Bois Dormant VDF Sparkling</t>
  </si>
  <si>
    <t>71 ; 0</t>
  </si>
  <si>
    <t>Tete Au Bois Dormant VDF Sparkling Rose</t>
  </si>
  <si>
    <t>Tete Red VDF Red</t>
  </si>
  <si>
    <t>ZRS-0731-23</t>
  </si>
  <si>
    <t>31 ; 8</t>
  </si>
  <si>
    <t>Triangle Bordeaux Superieur Red</t>
  </si>
  <si>
    <t>30 ; 7</t>
  </si>
  <si>
    <t>On 14 $102.00/cs</t>
  </si>
  <si>
    <t>Les Vignes d`Olivier</t>
  </si>
  <si>
    <t>Champ Traversier VDF Red (L21)</t>
  </si>
  <si>
    <t>ZRS-1531-NV</t>
  </si>
  <si>
    <t>Champ Traversier VDF Red (L24)</t>
  </si>
  <si>
    <t>49 ; 4</t>
  </si>
  <si>
    <t>Cuvee Speciale Garde Prolongee VDF Red</t>
  </si>
  <si>
    <t>11 ; 6</t>
  </si>
  <si>
    <t>Cuvee Speciale VDF Red</t>
  </si>
  <si>
    <t>Deferlante Orangee VDF White</t>
  </si>
  <si>
    <t>203 ; 5</t>
  </si>
  <si>
    <t>ZRS-1147-24</t>
  </si>
  <si>
    <t>Des Bulles VDF Sparkling</t>
  </si>
  <si>
    <t>189 ; 4</t>
  </si>
  <si>
    <t>ZRS-1146-23</t>
  </si>
  <si>
    <t>Ronds Blancs VDF White</t>
  </si>
  <si>
    <t>Ronds Noirs VDF Red</t>
  </si>
  <si>
    <t>Ronds Rouges VDF Red</t>
  </si>
  <si>
    <t>Lolita Sene</t>
  </si>
  <si>
    <t>ZRS-0351-24</t>
  </si>
  <si>
    <t>Coucou VDF Red</t>
  </si>
  <si>
    <t>29 ; 6</t>
  </si>
  <si>
    <t>ZRS-0802-23</t>
  </si>
  <si>
    <t>Dimanche VDF White</t>
  </si>
  <si>
    <t>20 ; 10</t>
  </si>
  <si>
    <t>Ginger Sushi VDF White</t>
  </si>
  <si>
    <t>Kiffe Kiffe VDF White</t>
  </si>
  <si>
    <t>Papanapator VDF Red</t>
  </si>
  <si>
    <t>0 ; 10</t>
  </si>
  <si>
    <t>ZRS-0354-24</t>
  </si>
  <si>
    <t>29 ; 5</t>
  </si>
  <si>
    <t>Maison en Belles Lies</t>
  </si>
  <si>
    <t>Aloxe-Corton Red</t>
  </si>
  <si>
    <t>26 ; 2</t>
  </si>
  <si>
    <t>L`Etrange VDF Red</t>
  </si>
  <si>
    <t>18 ; 5</t>
  </si>
  <si>
    <t>23 ; 8</t>
  </si>
  <si>
    <t>Mare Nostrum Vini</t>
  </si>
  <si>
    <t>Labech VDF Red</t>
  </si>
  <si>
    <t>14 ; 10</t>
  </si>
  <si>
    <t>Mistral VDF White</t>
  </si>
  <si>
    <t>Siroc VDF Orange</t>
  </si>
  <si>
    <t>2 ; 7</t>
  </si>
  <si>
    <t>Tramuntana VDF Red</t>
  </si>
  <si>
    <t>24 ; 6</t>
  </si>
  <si>
    <t>Zephyr VDF White</t>
  </si>
  <si>
    <t>ZRS-1067-22</t>
  </si>
  <si>
    <t>Marthe Henry</t>
  </si>
  <si>
    <t>ZRS-1347-22</t>
  </si>
  <si>
    <t>Pommard 1er Cru Red</t>
  </si>
  <si>
    <t>Mas d`Intras</t>
  </si>
  <si>
    <t>La Souche Ardeche Red</t>
  </si>
  <si>
    <t>18 ; 6</t>
  </si>
  <si>
    <t>Mas Guallar</t>
  </si>
  <si>
    <t>Chorifly Magico VDF White</t>
  </si>
  <si>
    <t>Gratalloups Banyuls Red</t>
  </si>
  <si>
    <t>La Foun del Bosc Maury Red</t>
  </si>
  <si>
    <t>3 ; 2</t>
  </si>
  <si>
    <t>Magic Mountain Banyuls Red</t>
  </si>
  <si>
    <t>MielNat` VDF Sparkling</t>
  </si>
  <si>
    <t>Mas Mellet</t>
  </si>
  <si>
    <t>Camille 1946 VDF Red</t>
  </si>
  <si>
    <t>Fleur des Salines VDF White</t>
  </si>
  <si>
    <t>21 ; 6</t>
  </si>
  <si>
    <t>L`Ame des Salines VDF Red</t>
  </si>
  <si>
    <t>ZRS-1039-23</t>
  </si>
  <si>
    <t>La Maceration des Salines VDF White</t>
  </si>
  <si>
    <t>ZRS-1041-23</t>
  </si>
  <si>
    <t>La Soif des Salines VDF Rose</t>
  </si>
  <si>
    <t>Pari Finesse Costieres des Nimes Red</t>
  </si>
  <si>
    <t>42 ; 3</t>
  </si>
  <si>
    <t>Matin Calme</t>
  </si>
  <si>
    <t>Bonica Marieta VDF Red</t>
  </si>
  <si>
    <t>47 ; 3</t>
  </si>
  <si>
    <t>Mano a Mano VDF Red</t>
  </si>
  <si>
    <t>43 ; 7</t>
  </si>
  <si>
    <t>Nenu</t>
  </si>
  <si>
    <t>La Cuvee de Claude Collioure Red</t>
  </si>
  <si>
    <t>La Fleur d`Un Coeur de Beurre Collioure Red</t>
  </si>
  <si>
    <t>68 ; 2</t>
  </si>
  <si>
    <t>MM Collioure Red</t>
  </si>
  <si>
    <t>15 ; 2</t>
  </si>
  <si>
    <t>ZRS-1087-22</t>
  </si>
  <si>
    <t>No Control</t>
  </si>
  <si>
    <t>Babinou II VDF Red</t>
  </si>
  <si>
    <t>Obora</t>
  </si>
  <si>
    <t>Chenas Red</t>
  </si>
  <si>
    <t>26 ; 0</t>
  </si>
  <si>
    <t>Pascal Carole</t>
  </si>
  <si>
    <t>Au contraire VDF Red</t>
  </si>
  <si>
    <t>ZRS-0551-24</t>
  </si>
  <si>
    <t>Romain le Bars</t>
  </si>
  <si>
    <t>Tavel Rose</t>
  </si>
  <si>
    <t>Tailleurs Cueilleurs</t>
  </si>
  <si>
    <t>Grenala VDF Red</t>
  </si>
  <si>
    <t>Novera VDF Red</t>
  </si>
  <si>
    <t>Sarvazo VDF Sparkling Rose</t>
  </si>
  <si>
    <t>Germany</t>
  </si>
  <si>
    <t>Weingut Mann</t>
  </si>
  <si>
    <t>Purpur Galgen Rheinischer Red</t>
  </si>
  <si>
    <t>7 ; 8</t>
  </si>
  <si>
    <t>ZRS200349-20</t>
  </si>
  <si>
    <t>Riesling Grauburgunder Rheinischer White</t>
  </si>
  <si>
    <t>ZRS22-0433-20</t>
  </si>
  <si>
    <t>Riesling Purpur Rheinischer White</t>
  </si>
  <si>
    <t>Rot Rheinischer Red</t>
  </si>
  <si>
    <t>18 ; 3</t>
  </si>
  <si>
    <t>Rot Rheinischer Red *Damaged*</t>
  </si>
  <si>
    <t>Rotlich Rheinischer Red *Damaged*</t>
  </si>
  <si>
    <t>Rotlich X Rheinischer Red</t>
  </si>
  <si>
    <t>Spatburgunder Calx Rheinischer Red</t>
  </si>
  <si>
    <t>Weissburgunder Purpur Rheinischer White</t>
  </si>
  <si>
    <t>Weingut Schmitt</t>
  </si>
  <si>
    <t>Frei.Korper.Kultur Fizz Rheinhessen Sparkling Rose</t>
  </si>
  <si>
    <t>69 ; 11</t>
  </si>
  <si>
    <t>Frei.Korper.Kultur Schadelfrei Gluhwein Rheinhessen Red</t>
  </si>
  <si>
    <t>Kekfrankos Rheinhessen Red</t>
  </si>
  <si>
    <t>11 ; 9</t>
  </si>
  <si>
    <t>Greece</t>
  </si>
  <si>
    <t>Domaine Ligas</t>
  </si>
  <si>
    <t>Bucephale Pella Red</t>
  </si>
  <si>
    <t>Hungary</t>
  </si>
  <si>
    <t>ZRS-0100-23</t>
  </si>
  <si>
    <t>Grand Vin de Barnag</t>
  </si>
  <si>
    <t>Carbonet Balatonmelleki Red</t>
  </si>
  <si>
    <t>ZRS-0096-23</t>
  </si>
  <si>
    <t>Dzsuz Balatonmelleki Red</t>
  </si>
  <si>
    <t>8 ; 10</t>
  </si>
  <si>
    <t>ZRS-1455-23</t>
  </si>
  <si>
    <t>Kristinus Borbirtok</t>
  </si>
  <si>
    <t>Analog Balatonboglar White</t>
  </si>
  <si>
    <t>188 ; 3</t>
  </si>
  <si>
    <t>ZRS-0224-22</t>
  </si>
  <si>
    <t>Liquid Sundowner Balatonboglar White</t>
  </si>
  <si>
    <t>71 ; 10</t>
  </si>
  <si>
    <t>ZRS-1456-21</t>
  </si>
  <si>
    <t>Liquid Sunshine Balatonboglar White</t>
  </si>
  <si>
    <t>59 ; 0</t>
  </si>
  <si>
    <t>Metamorph Balatonboglar White</t>
  </si>
  <si>
    <t>ZRS-1457-21</t>
  </si>
  <si>
    <t>ZRS-1478-22</t>
  </si>
  <si>
    <t>Olaszrizling Balatonboglar White</t>
  </si>
  <si>
    <t>26 ; 4</t>
  </si>
  <si>
    <t>Oliver Balatonboglar White</t>
  </si>
  <si>
    <t>ZRS-0512-22</t>
  </si>
  <si>
    <t>23 ; 7</t>
  </si>
  <si>
    <t>Siller Balatonboglar Red</t>
  </si>
  <si>
    <t>26 ; 1</t>
  </si>
  <si>
    <t>ZRS-1010-23</t>
  </si>
  <si>
    <t>Vulkan No. 4 Somlo White</t>
  </si>
  <si>
    <t>Italy</t>
  </si>
  <si>
    <t>ZRS-1469-21</t>
  </si>
  <si>
    <t>Abbia Nova</t>
  </si>
  <si>
    <t>Berlame Piglio DOCG Red</t>
  </si>
  <si>
    <t>ZRS-1468-22</t>
  </si>
  <si>
    <t>Berlame Rosato del Frusinate IGT Rose</t>
  </si>
  <si>
    <t>8 ; 8</t>
  </si>
  <si>
    <t>Nova Piglio DOCG Red</t>
  </si>
  <si>
    <t>11 ; 2</t>
  </si>
  <si>
    <t>ZRS-1467-22</t>
  </si>
  <si>
    <t>San Giovanni Passerina del Frusinate IGT White</t>
  </si>
  <si>
    <t>5 ; 5</t>
  </si>
  <si>
    <t>ZRS-1466-22</t>
  </si>
  <si>
    <t>Senzavandalismi Cesanese del Piglio VDT Red</t>
  </si>
  <si>
    <t>87 ; 10</t>
  </si>
  <si>
    <t>ZRS-1465-23</t>
  </si>
  <si>
    <t>Senzavandalismi Passerina del Frusinate VDT White</t>
  </si>
  <si>
    <t>91 ; 7</t>
  </si>
  <si>
    <t>Azienda Agricola Cirelli</t>
  </si>
  <si>
    <t>16 ; 3</t>
  </si>
  <si>
    <t>Cerasuolo Abruzzo Rose</t>
  </si>
  <si>
    <t>Cerasuolo Anfora Abruzzo Rose</t>
  </si>
  <si>
    <t>ZRS-0579-24</t>
  </si>
  <si>
    <t>Montepulciano Abruzzo Red</t>
  </si>
  <si>
    <t>116 ; 5</t>
  </si>
  <si>
    <t>Montepulciano Anfora Abruzzo Red</t>
  </si>
  <si>
    <t>ZRS-0368-NV</t>
  </si>
  <si>
    <t>Orange Abruzzo White</t>
  </si>
  <si>
    <t>192 ; 5</t>
  </si>
  <si>
    <t>Pecorino Anfora Abruzzo White</t>
  </si>
  <si>
    <t>ZRS-0578-24</t>
  </si>
  <si>
    <t>Pecorino Colline Pescaresi White</t>
  </si>
  <si>
    <t>115 ; 1</t>
  </si>
  <si>
    <t>ZRS-0278-22</t>
  </si>
  <si>
    <t>Trebbiano Abruzzo White</t>
  </si>
  <si>
    <t>33 ; 6</t>
  </si>
  <si>
    <t>Trebbiano Anfora Abruzzo White</t>
  </si>
  <si>
    <t>157 ; 3</t>
  </si>
  <si>
    <t>Vino da Tavola White</t>
  </si>
  <si>
    <t>117 ; 0</t>
  </si>
  <si>
    <t>Vino da Tavola White KEG</t>
  </si>
  <si>
    <t>25L</t>
  </si>
  <si>
    <t>Azienda Agricola Serragghia</t>
  </si>
  <si>
    <t>Cicala Terre Siciliane Sparkling</t>
  </si>
  <si>
    <t>Fanino Terre Siciliane Red</t>
  </si>
  <si>
    <t>8 ; 7</t>
  </si>
  <si>
    <t>26 ; 11</t>
  </si>
  <si>
    <t>Heritage Terre Siciliane White</t>
  </si>
  <si>
    <t>Notre Mistere Terre Siciliane White</t>
  </si>
  <si>
    <t>Onda Terre Siciliane Red</t>
  </si>
  <si>
    <t>3 ; 1</t>
  </si>
  <si>
    <t>Riserva Agung Terre Siciliane Red</t>
  </si>
  <si>
    <t>4 ; 6</t>
  </si>
  <si>
    <t>Riserva Gabrio Terre Siciliane Red</t>
  </si>
  <si>
    <t>Riserva Genevieve Terre Siciliane White</t>
  </si>
  <si>
    <t>Riserva Giotto Terre Siciliane Red</t>
  </si>
  <si>
    <t>Zibibbo Terre Siciliane White</t>
  </si>
  <si>
    <t>Cantina Marilina</t>
  </si>
  <si>
    <t>Cecile Terre Siciliane White</t>
  </si>
  <si>
    <t>ZRS-0367-24</t>
  </si>
  <si>
    <t>Cue Terre Siciliane White</t>
  </si>
  <si>
    <t>46 ; 5</t>
  </si>
  <si>
    <t>Fedelie Terre Siciliane Sparkling Rose</t>
  </si>
  <si>
    <t>Fedelie Terre Siciliane Sparkling White</t>
  </si>
  <si>
    <t>42 ; 11</t>
  </si>
  <si>
    <t>ZRS-0366-21</t>
  </si>
  <si>
    <t>Noto Ruversa Terre Siciliane Red</t>
  </si>
  <si>
    <t>ZRS-0365-20</t>
  </si>
  <si>
    <t>Sikele Terre Siciliane Red</t>
  </si>
  <si>
    <t>223 ; 3</t>
  </si>
  <si>
    <t>Sikele Terre Siciliane Red Keg</t>
  </si>
  <si>
    <t>Sikele Terre Siciliane White</t>
  </si>
  <si>
    <t>240 ; 1</t>
  </si>
  <si>
    <t>Sikele Terre Siciliane White Keg</t>
  </si>
  <si>
    <t>32 ; 0</t>
  </si>
  <si>
    <t>Dario Princic</t>
  </si>
  <si>
    <t>Bianco Trebez Venezia Giulia White</t>
  </si>
  <si>
    <t>Bianco Venezia Giulia White</t>
  </si>
  <si>
    <t>2 ; 1</t>
  </si>
  <si>
    <t>Jakot Venezia Giulia White</t>
  </si>
  <si>
    <t>6 ; 11</t>
  </si>
  <si>
    <t>Ribolla Gialla Venezia Giulia White</t>
  </si>
  <si>
    <t>3 ; 4</t>
  </si>
  <si>
    <t>Sauvignon Blanc Venezia Giulia White</t>
  </si>
  <si>
    <t>Sivi Venezia Giulia White</t>
  </si>
  <si>
    <t>Core Chilled Red</t>
  </si>
  <si>
    <t>Frank Cornelissen</t>
  </si>
  <si>
    <t>Munjebel CS Terre Siciliane Red</t>
  </si>
  <si>
    <t>7 ; 7</t>
  </si>
  <si>
    <t>Munjebel Perpetuum 2 Terre Siciliane Red</t>
  </si>
  <si>
    <t>Munjebel Terre Siciliane White</t>
  </si>
  <si>
    <t>20 ; 6</t>
  </si>
  <si>
    <t>ZRS-0386-23</t>
  </si>
  <si>
    <t>ZRS-0147-19</t>
  </si>
  <si>
    <t>Munjebel VA Terre Siciliane Red</t>
  </si>
  <si>
    <t>ZRS-0152-19M</t>
  </si>
  <si>
    <t>Munjebel VA Terre Siciliane White</t>
  </si>
  <si>
    <t>ZRS-0109-22</t>
  </si>
  <si>
    <t>Gismondi</t>
  </si>
  <si>
    <t>Bestial Campania Rose</t>
  </si>
  <si>
    <t>6 ; 3</t>
  </si>
  <si>
    <t>Crucella Campania Red</t>
  </si>
  <si>
    <t>Pietre Campania White</t>
  </si>
  <si>
    <t>La Ginestra</t>
  </si>
  <si>
    <t>Lea Toscana Red</t>
  </si>
  <si>
    <t>Sangio Panza Toscana Red</t>
  </si>
  <si>
    <t>Sant`Ellero Chianti Red</t>
  </si>
  <si>
    <t>53 ; 2</t>
  </si>
  <si>
    <t>Sant`Ellero Riserva Chianti Red</t>
  </si>
  <si>
    <t>Sant`Ellero Toscana White</t>
  </si>
  <si>
    <t>18 ; 8</t>
  </si>
  <si>
    <t>Tutto Anfora Toscana Red</t>
  </si>
  <si>
    <t>Tutto Anfora Toscana Sparkling</t>
  </si>
  <si>
    <t>Tutto Anfora Toscana White</t>
  </si>
  <si>
    <t>La Ripresa</t>
  </si>
  <si>
    <t>10 ; 1</t>
  </si>
  <si>
    <t>Tartari Terre Siciliane Red</t>
  </si>
  <si>
    <t>Lammidia</t>
  </si>
  <si>
    <t>Paisley Abruzzo White</t>
  </si>
  <si>
    <t>Panda Abruzzo Rose</t>
  </si>
  <si>
    <t>Possibilmente Abruzzo White</t>
  </si>
  <si>
    <t>53 ; 6</t>
  </si>
  <si>
    <t>Rosh Abruzzo Red</t>
  </si>
  <si>
    <t>140 ; 1</t>
  </si>
  <si>
    <t>Rosso Anfora Abruzzo Red</t>
  </si>
  <si>
    <t>Rosso Carbo Abruzzo Red</t>
  </si>
  <si>
    <t>100 ; 4</t>
  </si>
  <si>
    <t>Sciatto(l) Abruzzo White</t>
  </si>
  <si>
    <t>Zeus Faber Abruzzo White</t>
  </si>
  <si>
    <t>ZRS-1503-24</t>
  </si>
  <si>
    <t>Luca Bambara</t>
  </si>
  <si>
    <t>Bambara da Casa Orange</t>
  </si>
  <si>
    <t>123 ; 6</t>
  </si>
  <si>
    <t>ZRS-1504-24</t>
  </si>
  <si>
    <t>Bambara da Casa Red</t>
  </si>
  <si>
    <t>133 ; 6</t>
  </si>
  <si>
    <t>ZRS-1502-23</t>
  </si>
  <si>
    <t>Bambara da Casa White</t>
  </si>
  <si>
    <t>131 ; 6</t>
  </si>
  <si>
    <t>Sebastian Van de Sype</t>
  </si>
  <si>
    <t>Ancestrale Lambrusco dell`Emilia Sparkling</t>
  </si>
  <si>
    <t>21 ; 9</t>
  </si>
  <si>
    <t>Viteadovest</t>
  </si>
  <si>
    <t>Ghammi Terre Siciliane Red</t>
  </si>
  <si>
    <t>Kapo Terre Siciliane Red</t>
  </si>
  <si>
    <t>Muke Terre Siciliane Red</t>
  </si>
  <si>
    <t>8 ; 11</t>
  </si>
  <si>
    <t>Japan</t>
  </si>
  <si>
    <t>Grape Republic</t>
  </si>
  <si>
    <t>7 ; 2</t>
  </si>
  <si>
    <t>Nooto Wines</t>
  </si>
  <si>
    <t>Symphony Nagano Red</t>
  </si>
  <si>
    <t>Mexico</t>
  </si>
  <si>
    <t>ZRS-1422-NV</t>
  </si>
  <si>
    <t>Taller Astrafilia</t>
  </si>
  <si>
    <t>Granicera Floral</t>
  </si>
  <si>
    <t>ZRS-1421-NV</t>
  </si>
  <si>
    <t>Granicera Herbal</t>
  </si>
  <si>
    <t>ZRS-1419-NV</t>
  </si>
  <si>
    <t>Maleza Licor de Axiote</t>
  </si>
  <si>
    <t>700ml</t>
  </si>
  <si>
    <t>ZRS-1420-NV</t>
  </si>
  <si>
    <t>Maleza Licor de Pepita</t>
  </si>
  <si>
    <t>ZRS-0345-23</t>
  </si>
  <si>
    <t>Vinos Pijoan</t>
  </si>
  <si>
    <t>Aniversari Guadalupe Red</t>
  </si>
  <si>
    <t>ZRS-0343-24</t>
  </si>
  <si>
    <t>Arbol de Fuego Valle de Guadalupe Rose</t>
  </si>
  <si>
    <t>ZRS-0344-24</t>
  </si>
  <si>
    <t>El Carbonico Guadalupe Red</t>
  </si>
  <si>
    <t>ZRS-1107-24</t>
  </si>
  <si>
    <t>Pobre Diabla Guadalupe Red</t>
  </si>
  <si>
    <t>ZRS-0346-24</t>
  </si>
  <si>
    <t>Vino Pelon Valle de Guadalupe Red</t>
  </si>
  <si>
    <t>New Zealand</t>
  </si>
  <si>
    <t>ZR-TG-03-20</t>
  </si>
  <si>
    <t>A Thousand Gods Wine</t>
  </si>
  <si>
    <t>Love Letters Marlborough Rose</t>
  </si>
  <si>
    <t>12 ; 11</t>
  </si>
  <si>
    <t>Slovak Republic</t>
  </si>
  <si>
    <t>Naboso</t>
  </si>
  <si>
    <t>Labyrint 2 Slovakia White</t>
  </si>
  <si>
    <t>Labyrint 3 Slovakia White</t>
  </si>
  <si>
    <t>13 ; 11</t>
  </si>
  <si>
    <t>ZRS-0307-24</t>
  </si>
  <si>
    <t>Opera Slovakia Sparkling</t>
  </si>
  <si>
    <t>Ritual Slovakia Red</t>
  </si>
  <si>
    <t>Zore Slovakia Red</t>
  </si>
  <si>
    <t>Pivnica Brhlovce</t>
  </si>
  <si>
    <t>Bla Bla Slovakia Sparkling Rose</t>
  </si>
  <si>
    <t>Bonka Slovakia Sparkling Rose</t>
  </si>
  <si>
    <t>Rustikal Slovakia Rose</t>
  </si>
  <si>
    <t>Surreal Pinot Noir Slovakia Red</t>
  </si>
  <si>
    <t>Wild Beauty Slovakia Red</t>
  </si>
  <si>
    <t>ZRS-1509-20</t>
  </si>
  <si>
    <t>Slobodne</t>
  </si>
  <si>
    <t>Cutis Deviner Slovakia White</t>
  </si>
  <si>
    <t>ZRS-1507-21</t>
  </si>
  <si>
    <t>Devina Slovakia White</t>
  </si>
  <si>
    <t>119 ; 4</t>
  </si>
  <si>
    <t>Le Rose et Le Vampire Slovakia Rose</t>
  </si>
  <si>
    <t>Majer 3 Slovakia Red</t>
  </si>
  <si>
    <t>78 ; 2</t>
  </si>
  <si>
    <t>ZRS-1506-NV</t>
  </si>
  <si>
    <t>Majer 3 Slovakia White</t>
  </si>
  <si>
    <t>ZRS-1508-24</t>
  </si>
  <si>
    <t>Oranzista Slovakia White</t>
  </si>
  <si>
    <t>91 ; 6</t>
  </si>
  <si>
    <t>ZRS-1510-21</t>
  </si>
  <si>
    <t>Partisan Cru Slovakia White</t>
  </si>
  <si>
    <t>19 ; 6</t>
  </si>
  <si>
    <t>Veltlina Slovakia White</t>
  </si>
  <si>
    <t>44 ; 5</t>
  </si>
  <si>
    <t>ZRS-1505-22</t>
  </si>
  <si>
    <t>Vronski Reserva Slovakia White</t>
  </si>
  <si>
    <t>39 ; 5</t>
  </si>
  <si>
    <t>Vronski Slovakia White</t>
  </si>
  <si>
    <t>27 ; 4</t>
  </si>
  <si>
    <t>Slovenia</t>
  </si>
  <si>
    <t>Burja Estate</t>
  </si>
  <si>
    <t>31 ; 5</t>
  </si>
  <si>
    <t>Keltis</t>
  </si>
  <si>
    <t>Mario Natur Slovenia Sparkling</t>
  </si>
  <si>
    <t>76 ; 3</t>
  </si>
  <si>
    <t>Mario Roze Slovenia Sparkling</t>
  </si>
  <si>
    <t>117 ; 8</t>
  </si>
  <si>
    <t>ZRS-1163-24</t>
  </si>
  <si>
    <t>Mufi Slovenia Sparkling</t>
  </si>
  <si>
    <t>27 ; 6</t>
  </si>
  <si>
    <t>Pinot Gris Slovenia White</t>
  </si>
  <si>
    <t>17 ; 7</t>
  </si>
  <si>
    <t>Zan Slovenia White</t>
  </si>
  <si>
    <t>50 ; 2</t>
  </si>
  <si>
    <t>Nando</t>
  </si>
  <si>
    <t>Ma Jantar Primorska White</t>
  </si>
  <si>
    <t>Re Jantar Primorska White</t>
  </si>
  <si>
    <t>Sumenjak</t>
  </si>
  <si>
    <t>Pet Nat Slovenia Sparkling</t>
  </si>
  <si>
    <t>Pinot Noir Slovenia Red</t>
  </si>
  <si>
    <t>Vina Krapez</t>
  </si>
  <si>
    <t>Lapor Belo Vipava Valley White</t>
  </si>
  <si>
    <t>13 ; 3</t>
  </si>
  <si>
    <t>Malvazija Viapava Valley White</t>
  </si>
  <si>
    <t>30 ; 9</t>
  </si>
  <si>
    <t>Sweden</t>
  </si>
  <si>
    <t>ZR-FS-10-21</t>
  </si>
  <si>
    <t>Fruktstereo</t>
  </si>
  <si>
    <t>Free Your Rind</t>
  </si>
  <si>
    <t>25 ; 5</t>
  </si>
  <si>
    <t>ZR-FS-09-21</t>
  </si>
  <si>
    <t>Listen to your Frukt</t>
  </si>
  <si>
    <t>90 ; 10</t>
  </si>
  <si>
    <t>ZR-FS-11-21</t>
  </si>
  <si>
    <t>The Fruitrix Has You</t>
  </si>
  <si>
    <t>70 ; 5</t>
  </si>
  <si>
    <t>ZRS (DOMESTIC) WINE/CIDER/BEER INVENTORY - UPDATED ON 10.28.25</t>
  </si>
  <si>
    <t>California</t>
  </si>
  <si>
    <t>ZRS-0318-23</t>
  </si>
  <si>
    <t>Ashanta Wines</t>
  </si>
  <si>
    <t>Amanecer Covelo Rose</t>
  </si>
  <si>
    <t>32 ; 5</t>
  </si>
  <si>
    <t>ZRS-0767-23</t>
  </si>
  <si>
    <t>Calypso Sonoma Valley White</t>
  </si>
  <si>
    <t>38 ; 8</t>
  </si>
  <si>
    <t>ZRS-1488-22</t>
  </si>
  <si>
    <t>Encantado Riesling</t>
  </si>
  <si>
    <t>ZRS1603-22</t>
  </si>
  <si>
    <t>UNDER Currents Mendocino Red</t>
  </si>
  <si>
    <t>42 ; 5</t>
  </si>
  <si>
    <t>ZRS1602-22</t>
  </si>
  <si>
    <t>Zazen Sierra Foothills Red</t>
  </si>
  <si>
    <t>15 ; 10</t>
  </si>
  <si>
    <t>ZRS-0678-22</t>
  </si>
  <si>
    <t>Buddy/Buddy</t>
  </si>
  <si>
    <t>Crush On You California Fruit Wine</t>
  </si>
  <si>
    <t>ZRS-0677-22</t>
  </si>
  <si>
    <t>Not My Circus California Fruit Wine</t>
  </si>
  <si>
    <t>ZRS-0680-22</t>
  </si>
  <si>
    <t>Sweet Nothings California White</t>
  </si>
  <si>
    <t>ZRS-0681-22</t>
  </si>
  <si>
    <t>Valley Girl California Red</t>
  </si>
  <si>
    <t>ZR-BB-01-21</t>
  </si>
  <si>
    <t>Zapple Juice California Sparkling</t>
  </si>
  <si>
    <t>ZRS-0332-21</t>
  </si>
  <si>
    <t>D. Marioni</t>
  </si>
  <si>
    <t>Aureo California Rose</t>
  </si>
  <si>
    <t>ZRS-0333-21</t>
  </si>
  <si>
    <t>El Rey California Red</t>
  </si>
  <si>
    <t>30 ; 1</t>
  </si>
  <si>
    <t>ZRS-0335-19</t>
  </si>
  <si>
    <t>Merlo California Red</t>
  </si>
  <si>
    <t>ZRS-1482-22</t>
  </si>
  <si>
    <t>Les Lunes Wine</t>
  </si>
  <si>
    <t>Black Vineyard Merlot Red</t>
  </si>
  <si>
    <t>ZRS-0905-22</t>
  </si>
  <si>
    <t>Cabernet Sauvignon North Coast Sonoma Red</t>
  </si>
  <si>
    <t>ZRS-0906-22</t>
  </si>
  <si>
    <t>Carignane Arnold`s Block Mendocino Red</t>
  </si>
  <si>
    <t>ZRS-0482-22</t>
  </si>
  <si>
    <t>Cosmic California Red</t>
  </si>
  <si>
    <t>ZRS-0905-23</t>
  </si>
  <si>
    <t>North Coast Cabernet Sauvignon Red</t>
  </si>
  <si>
    <t>ZRS-0480-24</t>
  </si>
  <si>
    <t>Populis Macerated California White</t>
  </si>
  <si>
    <t>ZRS-0282-23</t>
  </si>
  <si>
    <t>Populis Mendocino Rose</t>
  </si>
  <si>
    <t>ZRS-0282-24</t>
  </si>
  <si>
    <t>ZRS-0481-24</t>
  </si>
  <si>
    <t>Populis Reversee California Red</t>
  </si>
  <si>
    <t>44 ; 7</t>
  </si>
  <si>
    <t>ZRS-0698-24</t>
  </si>
  <si>
    <t>Populis Wabi Sabi Mendocino Red</t>
  </si>
  <si>
    <t>47 ; 11</t>
  </si>
  <si>
    <t>ZRS-0479-23</t>
  </si>
  <si>
    <t>Populis Wabi Sabi Mendocino White</t>
  </si>
  <si>
    <t>ZRS-0907-22</t>
  </si>
  <si>
    <t>Zinfandel Mendocino County Red</t>
  </si>
  <si>
    <t>19 ; 7</t>
  </si>
  <si>
    <t>ZRS21-01-21</t>
  </si>
  <si>
    <t>Margins Wine</t>
  </si>
  <si>
    <t>Negrette San Benito Red</t>
  </si>
  <si>
    <t>ZRS-0854-NV</t>
  </si>
  <si>
    <t>Neutral Oak Hotel California Red</t>
  </si>
  <si>
    <t>58 ; 6</t>
  </si>
  <si>
    <t>ZRS-0855-24</t>
  </si>
  <si>
    <t>Neutral Oak Hotel California White</t>
  </si>
  <si>
    <t>ZRS-0230-24</t>
  </si>
  <si>
    <t>Paicines Grenache California Red</t>
  </si>
  <si>
    <t>ZRS-0856-24</t>
  </si>
  <si>
    <t>Rosy Wake Central Coast Red</t>
  </si>
  <si>
    <t>15 ; 1</t>
  </si>
  <si>
    <t>ZRS-1219-23</t>
  </si>
  <si>
    <t>Rugged Heart Santa Cruz Red</t>
  </si>
  <si>
    <t>ZRS-0853-24</t>
  </si>
  <si>
    <t>Skin Fermented Chenin Blanc California White</t>
  </si>
  <si>
    <t>ZRS-0937-22</t>
  </si>
  <si>
    <t>North American Press</t>
  </si>
  <si>
    <t>Phoenix Sonoma Sparkling Cider</t>
  </si>
  <si>
    <t>ZRS-0053-21</t>
  </si>
  <si>
    <t>The Rebel Sonoma Red</t>
  </si>
  <si>
    <t>ZRS-0054-21</t>
  </si>
  <si>
    <t>Wildcard Sonoma Sparkling Cider</t>
  </si>
  <si>
    <t>ZRS-0682-22</t>
  </si>
  <si>
    <t>Old World Winery</t>
  </si>
  <si>
    <t>Bloom California Red</t>
  </si>
  <si>
    <t>84 ; 6</t>
  </si>
  <si>
    <t>ZRS-0684-22</t>
  </si>
  <si>
    <t>Ecstatic Consciousness California Red</t>
  </si>
  <si>
    <t>ZRS-0683-23</t>
  </si>
  <si>
    <t>L`Aureate California White</t>
  </si>
  <si>
    <t>89 ; 4</t>
  </si>
  <si>
    <t>ZR-OW-02-21</t>
  </si>
  <si>
    <t>Rise California White</t>
  </si>
  <si>
    <t>60 ; 4</t>
  </si>
  <si>
    <t>ZRS-0378-21</t>
  </si>
  <si>
    <t>Single Cloud California Red</t>
  </si>
  <si>
    <t>ZRS-1261-23</t>
  </si>
  <si>
    <t>Raft Wines</t>
  </si>
  <si>
    <t>Little Trouble Champi Vineyard California White</t>
  </si>
  <si>
    <t>ZRS-0141-21</t>
  </si>
  <si>
    <t>Little Trouble Dry Creek Valley Red</t>
  </si>
  <si>
    <t>ZRS-1263-22</t>
  </si>
  <si>
    <t>Little Trouble Grist Vineyard California Red</t>
  </si>
  <si>
    <t>8 ; 4</t>
  </si>
  <si>
    <t>ZRS-1262-22</t>
  </si>
  <si>
    <t>Little Trouble Grist Vineyard California White</t>
  </si>
  <si>
    <t>ZRS-0139-21</t>
  </si>
  <si>
    <t>Little Trouble Syrah Dry Creek Valley Red</t>
  </si>
  <si>
    <t>ZRS-1260-22</t>
  </si>
  <si>
    <t>Little Trouble Technicolor California White</t>
  </si>
  <si>
    <t>ZRS-1264-21</t>
  </si>
  <si>
    <t>Little Trouble Tiny Horse California Red</t>
  </si>
  <si>
    <t>10 ; 9</t>
  </si>
  <si>
    <t>ZRS-1435-24</t>
  </si>
  <si>
    <t>Richmond Channel Wine Co.</t>
  </si>
  <si>
    <t>Everyday People California Red</t>
  </si>
  <si>
    <t>47 ; 4</t>
  </si>
  <si>
    <t>ZRS-1434-24</t>
  </si>
  <si>
    <t>Everyday People California White</t>
  </si>
  <si>
    <t>34 ; 2</t>
  </si>
  <si>
    <t>ZRS-0999-22</t>
  </si>
  <si>
    <t>Ruth Lewandowski Wines</t>
  </si>
  <si>
    <t>Boaz California Red</t>
  </si>
  <si>
    <t>ZRS-0232-22</t>
  </si>
  <si>
    <t>California Rose</t>
  </si>
  <si>
    <t>ZRS-0997-23</t>
  </si>
  <si>
    <t>44 ; 1</t>
  </si>
  <si>
    <t>ZRS-0710-22</t>
  </si>
  <si>
    <t>Chilion California White</t>
  </si>
  <si>
    <t>ZRS-1228-23</t>
  </si>
  <si>
    <t>Cuvee Sara Beth California Red</t>
  </si>
  <si>
    <t>ZRS-0709-22</t>
  </si>
  <si>
    <t>Elimelech Cuvee Zero California White</t>
  </si>
  <si>
    <t>5 ; 1</t>
  </si>
  <si>
    <t>ZRS-0709-23</t>
  </si>
  <si>
    <t>9 ; 6</t>
  </si>
  <si>
    <t>ZRS-0996-23</t>
  </si>
  <si>
    <t>Feints California Red</t>
  </si>
  <si>
    <t>ZRS87-LSS-20</t>
  </si>
  <si>
    <t>L. Stone California Red</t>
  </si>
  <si>
    <t>ZRS-0998-23</t>
  </si>
  <si>
    <t>Mahlon California White</t>
  </si>
  <si>
    <t>ZRS-0711-22</t>
  </si>
  <si>
    <t>Naomi California White</t>
  </si>
  <si>
    <t>ZRS-0711-23</t>
  </si>
  <si>
    <t>ZRS-0235-23</t>
  </si>
  <si>
    <t>Obed California White</t>
  </si>
  <si>
    <t>ZRS-0236-22</t>
  </si>
  <si>
    <t>Stock Pot California White</t>
  </si>
  <si>
    <t>4 ; 11</t>
  </si>
  <si>
    <t>ZRS-0236-23</t>
  </si>
  <si>
    <t>15 ; 6</t>
  </si>
  <si>
    <t>ZRS22-0087-21</t>
  </si>
  <si>
    <t>Tasteful in Nature California Sparkling</t>
  </si>
  <si>
    <t>12 ; 9</t>
  </si>
  <si>
    <t>ZRS-0729-23</t>
  </si>
  <si>
    <t>Tatto California White</t>
  </si>
  <si>
    <t>38 ; 3</t>
  </si>
  <si>
    <t>ZRS-0758-23</t>
  </si>
  <si>
    <t>Wavy Wines</t>
  </si>
  <si>
    <t>Super Californian California Red</t>
  </si>
  <si>
    <t>Maine</t>
  </si>
  <si>
    <t>ZRS-0500-NV</t>
  </si>
  <si>
    <t>Ras Wines</t>
  </si>
  <si>
    <t>A7 Maine Blueberry Wine &amp; Grape Americano</t>
  </si>
  <si>
    <t>ZRS-1062-NV</t>
  </si>
  <si>
    <t>Wild Sparkling Blueberry Wine Can</t>
  </si>
  <si>
    <t>67 ; 10</t>
  </si>
  <si>
    <t>New Hampshire</t>
  </si>
  <si>
    <t>BTH-0020-22</t>
  </si>
  <si>
    <t>NOK Vino</t>
  </si>
  <si>
    <t>Pomme Pink New Hampshire Fruit Wine</t>
  </si>
  <si>
    <t>BTH-0018-22</t>
  </si>
  <si>
    <t>Triple Tipple New Hampshire Red</t>
  </si>
  <si>
    <t>New Jersey</t>
  </si>
  <si>
    <t>ZRS-1460-23</t>
  </si>
  <si>
    <t>Camuna Cellars</t>
  </si>
  <si>
    <t>Heavy Metal Gruner Pennsylvania White</t>
  </si>
  <si>
    <t>ZRS-1462-23</t>
  </si>
  <si>
    <t>Let`s Go Swimming New Jersey Orange</t>
  </si>
  <si>
    <t>ZRS-0093-24</t>
  </si>
  <si>
    <t>Vidal Blanc New Jersey White</t>
  </si>
  <si>
    <t>ZRS-1461-23</t>
  </si>
  <si>
    <t>You And Me Both New Jersey Rose</t>
  </si>
  <si>
    <t>New York</t>
  </si>
  <si>
    <t>ZRS-0580-24</t>
  </si>
  <si>
    <t>Behemoth</t>
  </si>
  <si>
    <t>Fox Walk New York Red</t>
  </si>
  <si>
    <t>28 ; 0</t>
  </si>
  <si>
    <t>ZRS-0581-23</t>
  </si>
  <si>
    <t>Meet Your Neighbors New York Piquette</t>
  </si>
  <si>
    <t>37 ; 5</t>
  </si>
  <si>
    <t>ZRS-0582-23</t>
  </si>
  <si>
    <t>Sweet Pea New York Red</t>
  </si>
  <si>
    <t>ZRS-0583-23</t>
  </si>
  <si>
    <t>Wet Lunch II New York Sparkling</t>
  </si>
  <si>
    <t>ZRS-0994-NV</t>
  </si>
  <si>
    <t>C. Cassis</t>
  </si>
  <si>
    <t>Blackcurrant Aperitif</t>
  </si>
  <si>
    <t>79 ; 4</t>
  </si>
  <si>
    <t>ZRS-0994-NVX375</t>
  </si>
  <si>
    <t>375ml</t>
  </si>
  <si>
    <t>67 ; 6</t>
  </si>
  <si>
    <t>ZR-CC-04-NV</t>
  </si>
  <si>
    <t>Barrel Aged</t>
  </si>
  <si>
    <t>ZR-CC-02-NV</t>
  </si>
  <si>
    <t>CC Spritz</t>
  </si>
  <si>
    <t>ZRS-0972-NV</t>
  </si>
  <si>
    <t>CC Spritz Wine</t>
  </si>
  <si>
    <t>ZRS-1479-NV</t>
  </si>
  <si>
    <t>Non-Alcoholic Blackcurrant Aperitif</t>
  </si>
  <si>
    <t>475ml</t>
  </si>
  <si>
    <t>45 ; 1</t>
  </si>
  <si>
    <t>Oregon</t>
  </si>
  <si>
    <t>ZRS-1134-22</t>
  </si>
  <si>
    <t>Buona Notte</t>
  </si>
  <si>
    <t>Rosa Columbia Gorge Rose</t>
  </si>
  <si>
    <t>ZRS-1054-22</t>
  </si>
  <si>
    <t>Sant`Ambrogio Columbia Valley Red</t>
  </si>
  <si>
    <t>ZRS-1055-NV</t>
  </si>
  <si>
    <t>Tramonto Oregon Vermouth</t>
  </si>
  <si>
    <t>ZRS-1227-22</t>
  </si>
  <si>
    <t>Una Bella Caramella Oregon Sparkling</t>
  </si>
  <si>
    <t>13 ; 1</t>
  </si>
  <si>
    <t>ZR-ER-01-21</t>
  </si>
  <si>
    <t>Erde Wines</t>
  </si>
  <si>
    <t>Iceblink Luck Oregon Rose</t>
  </si>
  <si>
    <t>ZRS-1225-22</t>
  </si>
  <si>
    <t>ZRS-1226-22</t>
  </si>
  <si>
    <t>Just Like Arcadia Oregon Red</t>
  </si>
  <si>
    <t>7 ; 3</t>
  </si>
  <si>
    <t>ZRS-1224-22</t>
  </si>
  <si>
    <t>Suspended in Light Oregon White</t>
  </si>
  <si>
    <t>ZRS-1223-22</t>
  </si>
  <si>
    <t>Tear in Your Hand Oregon Red</t>
  </si>
  <si>
    <t>ZRS-0942-NV</t>
  </si>
  <si>
    <t>Statera Cellars</t>
  </si>
  <si>
    <t>EST Sparkling Red</t>
  </si>
  <si>
    <t>ZRS-0339-22</t>
  </si>
  <si>
    <t>Lares Chimera Oregon Sparkling</t>
  </si>
  <si>
    <t>Vermont</t>
  </si>
  <si>
    <t>ZRS-0761-NV</t>
  </si>
  <si>
    <t>Chertok Wines</t>
  </si>
  <si>
    <t>Eve White Vermont Apple Grape Wine</t>
  </si>
  <si>
    <t>ZRS-0162-21</t>
  </si>
  <si>
    <t>Midrash Vermont Red</t>
  </si>
  <si>
    <t>24 ; 2</t>
  </si>
  <si>
    <t>ZRS-0763-NV</t>
  </si>
  <si>
    <t>Shekhina Vermont Apple Grape Wine</t>
  </si>
  <si>
    <t>ZRS-0762-NV</t>
  </si>
  <si>
    <t>White(ish) Vermont White</t>
  </si>
  <si>
    <t>ZRS-0484-22</t>
  </si>
  <si>
    <t>Iapetus</t>
  </si>
  <si>
    <t>Alluvium Vermont Rose</t>
  </si>
  <si>
    <t>ZRS-0485-22</t>
  </si>
  <si>
    <t>Aronia Vermont Cider</t>
  </si>
  <si>
    <t>ZRS-0489-NV</t>
  </si>
  <si>
    <t>Tributary Vermont Piquette</t>
  </si>
  <si>
    <t>12oz</t>
  </si>
  <si>
    <t>ZRS-0704-NV</t>
  </si>
  <si>
    <t>Kalche Wine Co.</t>
  </si>
  <si>
    <t>The Bluest Vermont Sparkling Red</t>
  </si>
  <si>
    <t>3 ; 19</t>
  </si>
  <si>
    <t>Virginia</t>
  </si>
  <si>
    <t>BTH-0017-NVX24</t>
  </si>
  <si>
    <t>Common Wealth Crush Co.</t>
  </si>
  <si>
    <t>Eau de Vin Virginia White</t>
  </si>
  <si>
    <t>BTH-0013-24</t>
  </si>
  <si>
    <t>Family Meal Virginia Red</t>
  </si>
  <si>
    <t>40 ; 6</t>
  </si>
  <si>
    <t>ZRS-1474-24</t>
  </si>
  <si>
    <t>Love Echo Virginia Sparkling Red</t>
  </si>
  <si>
    <t>22 ; 0</t>
  </si>
  <si>
    <t>BTH-0007-23</t>
  </si>
  <si>
    <t>Mise Virginia White</t>
  </si>
  <si>
    <t>ZRS-1473-24</t>
  </si>
  <si>
    <t>Readymade Shenandoah Valley Red</t>
  </si>
  <si>
    <t>14 ; 9</t>
  </si>
  <si>
    <t>BTH-0009-23</t>
  </si>
  <si>
    <t>The Illuminaqua Virginia White</t>
  </si>
  <si>
    <t>BTH-0010-23</t>
  </si>
  <si>
    <t>Trot Rock Virginia Red</t>
  </si>
  <si>
    <t>3 ; 3</t>
  </si>
  <si>
    <t>ZRS-0187-21</t>
  </si>
  <si>
    <t>Lightwell Survey</t>
  </si>
  <si>
    <t>Dos Idiots Virginia Red</t>
  </si>
  <si>
    <t>ZRS-1396-23</t>
  </si>
  <si>
    <t>Electric Juice Box Shenandoah Valley Rose</t>
  </si>
  <si>
    <t>18 ; 11</t>
  </si>
  <si>
    <t>ZRS-1049-23</t>
  </si>
  <si>
    <t>The Way It Was Before Shenandoah Valley Red</t>
  </si>
  <si>
    <t>11 ; 8</t>
  </si>
  <si>
    <t>ZRS-0829-21</t>
  </si>
  <si>
    <t>The Weird Ones Are Wolves Shenandoah Valley Red</t>
  </si>
  <si>
    <t>1 ; 5</t>
  </si>
  <si>
    <t>ZRS-0829-22</t>
  </si>
  <si>
    <t>ZRS (IMPORTS) SPIRITS INVENTORY - UPDATED ON 10.28.25</t>
  </si>
  <si>
    <t>Btl Size</t>
  </si>
  <si>
    <t>ZR-FK-06-NV</t>
  </si>
  <si>
    <t>Speckbirne 302 Pear Wine ORG</t>
  </si>
  <si>
    <t>21 ; 3</t>
  </si>
  <si>
    <t>ZRS-0237-NV</t>
  </si>
  <si>
    <t>Volcan Azul Cold Brew Coffee Spirit</t>
  </si>
  <si>
    <t>ZR-FK-01-NV</t>
  </si>
  <si>
    <t>Wermut Uhudler 017 Sweet Vermouth</t>
  </si>
  <si>
    <t>Brazil</t>
  </si>
  <si>
    <t>ZR-JB-00-NV</t>
  </si>
  <si>
    <t>Jambuzera</t>
  </si>
  <si>
    <t>Jambuzera Cachaca</t>
  </si>
  <si>
    <t>ZR-JB-05-NV</t>
  </si>
  <si>
    <t>Tie</t>
  </si>
  <si>
    <t>Balsamo Cachaca</t>
  </si>
  <si>
    <t>ZR-JB-03-NV</t>
  </si>
  <si>
    <t>Canelinha Cachaca</t>
  </si>
  <si>
    <t>ZR-JB-02-NV</t>
  </si>
  <si>
    <t>Gold Cachaca</t>
  </si>
  <si>
    <t>ZR-JB-04-NV</t>
  </si>
  <si>
    <t>Jequitiba Cachaca</t>
  </si>
  <si>
    <t>ZR-JB-01-NV</t>
  </si>
  <si>
    <t>Silver Cachaca</t>
  </si>
  <si>
    <t>ZR-JB-01-NVD</t>
  </si>
  <si>
    <t>NRS-0005-NVX6</t>
  </si>
  <si>
    <t>Famille Migneron de Charlevoix</t>
  </si>
  <si>
    <t>Whey Eau de Vie</t>
  </si>
  <si>
    <t>13 ; 2</t>
  </si>
  <si>
    <t>NRS-0003-NV</t>
  </si>
  <si>
    <t>Les Spiritueux Iberville</t>
  </si>
  <si>
    <t>Amermelade Aperitivo</t>
  </si>
  <si>
    <t>NRS-0004-NV</t>
  </si>
  <si>
    <t>Miele Amaretto</t>
  </si>
  <si>
    <t>NRS-0001-NV</t>
  </si>
  <si>
    <t>Still Fired Distilleries</t>
  </si>
  <si>
    <t>Fundy Gin</t>
  </si>
  <si>
    <t>108 ; 1</t>
  </si>
  <si>
    <t>NRS-0002-NV</t>
  </si>
  <si>
    <t>Strawberry Rhubarb Moonshine</t>
  </si>
  <si>
    <t>Estonia</t>
  </si>
  <si>
    <t>ZR-FK-09-NV</t>
  </si>
  <si>
    <t>Rhabarber 960 Rhubarb Liqueur</t>
  </si>
  <si>
    <t>ZR-FK-08-NV</t>
  </si>
  <si>
    <t>Wodka Sangaste 800 Vodka Winter-Rye ORG</t>
  </si>
  <si>
    <t>79 ; 1</t>
  </si>
  <si>
    <t>ZRS22-0168-NV</t>
  </si>
  <si>
    <t>Avallen</t>
  </si>
  <si>
    <t>Calvados (Glass)</t>
  </si>
  <si>
    <t>86 ; 4</t>
  </si>
  <si>
    <t>ZRS-0705-NV</t>
  </si>
  <si>
    <t>Calvados (Paper)</t>
  </si>
  <si>
    <t>80 ; 1</t>
  </si>
  <si>
    <t>FIFI-0003-NV</t>
  </si>
  <si>
    <t>Domaine de la Mer Blanche</t>
  </si>
  <si>
    <t>Kumquatcello</t>
  </si>
  <si>
    <t>ZRS-LTS01-NV</t>
  </si>
  <si>
    <t>La Theriaque Spiriteux</t>
  </si>
  <si>
    <t>Garrigue</t>
  </si>
  <si>
    <t>21 ; 1</t>
  </si>
  <si>
    <t>ZRS-LTS02-NV</t>
  </si>
  <si>
    <t>Pic-Pic</t>
  </si>
  <si>
    <t>ZR-FK-04-NV</t>
  </si>
  <si>
    <t>Doppelwacholder 052 Juniper Spirit</t>
  </si>
  <si>
    <t>18 ; 4</t>
  </si>
  <si>
    <t>ZR-FK-03-NV</t>
  </si>
  <si>
    <t>Haselnuss, Wacholder 051 Hazlenut &amp; Juniper Spirit</t>
  </si>
  <si>
    <t>ZR-FK-10-NV</t>
  </si>
  <si>
    <t>O.B.W. Aperitif Liqueur</t>
  </si>
  <si>
    <t>ZR-FK-05-NV</t>
  </si>
  <si>
    <t>Rye 094 ORG</t>
  </si>
  <si>
    <t>ZRS-0810-NV</t>
  </si>
  <si>
    <t>Open Book</t>
  </si>
  <si>
    <t>Real Lemon Sour Japan Lemon Liqueur</t>
  </si>
  <si>
    <t>4 ; 10</t>
  </si>
  <si>
    <t>Lebanon</t>
  </si>
  <si>
    <t>ZRS22-0435-NV</t>
  </si>
  <si>
    <t>Rechmaya Distillery</t>
  </si>
  <si>
    <t>Jun Gin</t>
  </si>
  <si>
    <t>12 ; 6</t>
  </si>
  <si>
    <t>ZRS-042</t>
  </si>
  <si>
    <t>9 Guardianes</t>
  </si>
  <si>
    <t>Comiteco 9 Guardianes Anejo</t>
  </si>
  <si>
    <t>ZRS-041</t>
  </si>
  <si>
    <t>Comiteco 9 Guardianes Blanco</t>
  </si>
  <si>
    <t>32 ; 11</t>
  </si>
  <si>
    <t>ZRS-043</t>
  </si>
  <si>
    <t>Cordova y Guillen</t>
  </si>
  <si>
    <t>Comiteco D`Antano</t>
  </si>
  <si>
    <t>ZRS-1523-NV</t>
  </si>
  <si>
    <t>Creador</t>
  </si>
  <si>
    <t>De Calidad Mezcal</t>
  </si>
  <si>
    <t>ZRS-1525-NV</t>
  </si>
  <si>
    <t>Ensamble con Cacao Mezcal</t>
  </si>
  <si>
    <t>ZRS-1526-NV</t>
  </si>
  <si>
    <t>Jabali Chichicapam Mezcal</t>
  </si>
  <si>
    <t>ZRS-1524-NV</t>
  </si>
  <si>
    <t>Lumbre Mezcal</t>
  </si>
  <si>
    <t>ZRS-044</t>
  </si>
  <si>
    <t>JUERTE</t>
  </si>
  <si>
    <t>Juerte Destilado de Pulque</t>
  </si>
  <si>
    <t>ZRS-0371-NV</t>
  </si>
  <si>
    <t>Santo Llanto (Gloria Garcia)</t>
  </si>
  <si>
    <t>Madrecuixe Mezcal</t>
  </si>
  <si>
    <t>ZRS-0372-NV</t>
  </si>
  <si>
    <t>Tepextate Mezcal</t>
  </si>
  <si>
    <t>ZRS-8515C-24</t>
  </si>
  <si>
    <t>Zinacantan (Fabiola Torres Monfil)</t>
  </si>
  <si>
    <t>85/15 Espadilla/Papalometl Mezcal</t>
  </si>
  <si>
    <t>ZRS-0218-24</t>
  </si>
  <si>
    <t>Destilado Con Pechuga Mezcal</t>
  </si>
  <si>
    <t>ZRS-0216-24</t>
  </si>
  <si>
    <t>Espadilla Mezcal</t>
  </si>
  <si>
    <t>ZRS-0216P-22</t>
  </si>
  <si>
    <t>Espadilla Mezcal (200ml)</t>
  </si>
  <si>
    <t>ZRS-0216C-24</t>
  </si>
  <si>
    <t>Espadilla Mezcal (leather fermented)</t>
  </si>
  <si>
    <t>ZRS-0217V-24</t>
  </si>
  <si>
    <t>Papalometl en Vidrio Mezcal</t>
  </si>
  <si>
    <t>ZRS-0217-24</t>
  </si>
  <si>
    <t>Papalometl Mezcal</t>
  </si>
  <si>
    <t>ZRS-0217C-24</t>
  </si>
  <si>
    <t>Papalometl Mezcal (leather fermented)</t>
  </si>
  <si>
    <t>Netherlands</t>
  </si>
  <si>
    <t>ZRS-0947-91</t>
  </si>
  <si>
    <t>Tamosi</t>
  </si>
  <si>
    <t>Haubariria Enmore Demerara Rum</t>
  </si>
  <si>
    <t>ZRS-0944-06</t>
  </si>
  <si>
    <t>Obano-Oyo Single Cask Rum</t>
  </si>
  <si>
    <t>ZRS-0945-NV</t>
  </si>
  <si>
    <t>Original Blended Rum</t>
  </si>
  <si>
    <t>ZR-TA-03-NV</t>
  </si>
  <si>
    <t>Tiba Panama Rum</t>
  </si>
  <si>
    <t>ZRS-0946-NV</t>
  </si>
  <si>
    <t>Unaged Heritage Blend Rum</t>
  </si>
  <si>
    <t>ZRS-0943-06</t>
  </si>
  <si>
    <t>Wiwakalaymay Single Cask Rum</t>
  </si>
  <si>
    <t>Haiti</t>
  </si>
  <si>
    <t>ZRS-0556-NVL</t>
  </si>
  <si>
    <t>Navet 1804</t>
  </si>
  <si>
    <t>Jus De Canne Haitian Rum</t>
  </si>
  <si>
    <t>72 ; 9</t>
  </si>
  <si>
    <t>ZRS (IMPORTS) SAKE/RICE WINE INVENTORY - UPDATED ON 11.20.25</t>
  </si>
  <si>
    <t>ZRS19-1181-NV</t>
  </si>
  <si>
    <t>Akishika Shuzo</t>
  </si>
  <si>
    <t>Black Moheji Osaka Sake</t>
  </si>
  <si>
    <t>ZRS-0657-MNV</t>
  </si>
  <si>
    <t>Chokarakuchi Osaka Sake</t>
  </si>
  <si>
    <t>1.8L</t>
  </si>
  <si>
    <t>ZRS-0657-NV</t>
  </si>
  <si>
    <t>47 ; 6</t>
  </si>
  <si>
    <t>ZRS19-1182MNV</t>
  </si>
  <si>
    <t>Okushika Osaka Sake</t>
  </si>
  <si>
    <t>ZRS19-1183MNV</t>
  </si>
  <si>
    <t>Omachi Osaka Sake</t>
  </si>
  <si>
    <t>ZRS-0063-NV</t>
  </si>
  <si>
    <t>Kameman Shuzo</t>
  </si>
  <si>
    <t>Genmaishu Sake</t>
  </si>
  <si>
    <t>ZRS22-0173-NV</t>
  </si>
  <si>
    <t>Kidoizumi Shuzo</t>
  </si>
  <si>
    <t>Hanafubuki Chiba Sake</t>
  </si>
  <si>
    <t>82 ; 11</t>
  </si>
  <si>
    <t>ZRS19-1187-NV</t>
  </si>
  <si>
    <t>Kokin Osaka Sake</t>
  </si>
  <si>
    <t>ZRS-1193-NV</t>
  </si>
  <si>
    <t>Sparkling Chiba Sake</t>
  </si>
  <si>
    <t>63 ; 2</t>
  </si>
  <si>
    <t>ZRS-1193-NVX720</t>
  </si>
  <si>
    <t>32 ; 6</t>
  </si>
  <si>
    <t>ZRS19-1188-NV</t>
  </si>
  <si>
    <t>Yamadanishiki Chiba Sake</t>
  </si>
  <si>
    <t>52 ; 3</t>
  </si>
  <si>
    <t>ZRS22-0172-NV</t>
  </si>
  <si>
    <t>Miyakobijin Shuzo</t>
  </si>
  <si>
    <t>Usagi Namagenshu Hyogo Sake</t>
  </si>
  <si>
    <t>ZRS21-0007-MNV</t>
  </si>
  <si>
    <t>Miyoshino Jozo</t>
  </si>
  <si>
    <t>Hanatomoe Mizumoto Nara Sake</t>
  </si>
  <si>
    <t>ZRS-1292-NV</t>
  </si>
  <si>
    <t>Hanatomoe Natural Selection Nara Sake</t>
  </si>
  <si>
    <t>ZRS-1335-NV</t>
  </si>
  <si>
    <t>Hanatomoe Tarumaru Nara Sake</t>
  </si>
  <si>
    <t>88 ; 0</t>
  </si>
  <si>
    <t>ZRS20-0037-NV</t>
  </si>
  <si>
    <t>Hanatomoe Usunigori Nara Sake</t>
  </si>
  <si>
    <t>ZRS-1336-NV</t>
  </si>
  <si>
    <t>Mukai Shuzo</t>
  </si>
  <si>
    <t>Inemankai Kyoto Sake</t>
  </si>
  <si>
    <t>95 ; 9</t>
  </si>
  <si>
    <t>ZRS19-1173-NV</t>
  </si>
  <si>
    <t>Kyo No Haru Kyoto Sake</t>
  </si>
  <si>
    <t>45 ; 5</t>
  </si>
  <si>
    <t>ZRS-1194-NV</t>
  </si>
  <si>
    <t>Ota Shuzo</t>
  </si>
  <si>
    <t>Dohkan Fujikura Shiga (Daiginjo) Sake</t>
  </si>
  <si>
    <t>ZRS-0064-NV</t>
  </si>
  <si>
    <t>Dokan Umeshu Sake</t>
  </si>
  <si>
    <t>ZRS-1195-NV</t>
  </si>
  <si>
    <t>Kokoro Shiga Sake</t>
  </si>
  <si>
    <t>ZRS-1195-NVG</t>
  </si>
  <si>
    <t>Kokoro Shiga Sake (cup)</t>
  </si>
  <si>
    <t>180ml</t>
  </si>
  <si>
    <t>135 ; 0</t>
  </si>
  <si>
    <t>ZRS21-0002-NV</t>
  </si>
  <si>
    <t>Sugii Shuzo</t>
  </si>
  <si>
    <t>Suginishiki 90 Shizuoka Sake</t>
  </si>
  <si>
    <t>ZRS21-0001-MNV</t>
  </si>
  <si>
    <t>Suginishiki Tamazakae Shizuoka Sake</t>
  </si>
  <si>
    <t>19 ; 0</t>
  </si>
  <si>
    <t>ZRS21-0001-NVX10</t>
  </si>
  <si>
    <t>41 ; 0</t>
  </si>
  <si>
    <t>ZRS19-1178MNV</t>
  </si>
  <si>
    <t>Terada Honke</t>
  </si>
  <si>
    <t>Katori 90 Chiba Sake</t>
  </si>
  <si>
    <t>ZRS19-1180-NV</t>
  </si>
  <si>
    <t>Shizen No Manma Chiba Sake</t>
  </si>
  <si>
    <t>ZRS-1433-NV</t>
  </si>
  <si>
    <t>Uehara Shuzo</t>
  </si>
  <si>
    <t>Furosen Kameno-o Shiga Sake</t>
  </si>
  <si>
    <t>19 ; 2</t>
  </si>
  <si>
    <t>ZRS21-0004-MNV</t>
  </si>
  <si>
    <t>Furosen Usunigori Shiga Sake</t>
  </si>
  <si>
    <t>9 ; 0</t>
  </si>
  <si>
    <t>ZRS21-0004-NV</t>
  </si>
  <si>
    <t>40 ; 10</t>
  </si>
  <si>
    <t>LES CORTIS</t>
  </si>
  <si>
    <t xml:space="preserve">VDF "Naxide" White 12/750mL </t>
  </si>
  <si>
    <t>12/750mL</t>
  </si>
  <si>
    <t xml:space="preserve">VDF "Merune" White </t>
  </si>
  <si>
    <t>VDF "Obuscule" Red</t>
  </si>
  <si>
    <t>VDF "Uzee" Red</t>
  </si>
  <si>
    <t xml:space="preserve">VDF "Brisure" Red </t>
  </si>
  <si>
    <t xml:space="preserve">2021/2022 </t>
  </si>
  <si>
    <t>altesse, gamay teinturier</t>
  </si>
  <si>
    <t>"Magma Rock" VDF Red</t>
  </si>
  <si>
    <t>"La Coulée" VDF Red 1.5L</t>
  </si>
  <si>
    <t>6/1500mL</t>
  </si>
  <si>
    <t>syrah, gamay</t>
  </si>
  <si>
    <t xml:space="preserve">DOMAINE DERAIN </t>
  </si>
  <si>
    <t>"Allez Goûtons "VDF Red</t>
  </si>
  <si>
    <t>"Allez Goûtons" VDF  White</t>
  </si>
  <si>
    <t>"Aligoté" Bourgogne White</t>
  </si>
  <si>
    <t>"Landré" Bourgogne White</t>
  </si>
  <si>
    <t>"Sur le Sentier du Clou" Saint-Aubin White</t>
  </si>
  <si>
    <t>"En Vesvau Saint-Aubin Blanc" White</t>
  </si>
  <si>
    <t>"En Remilly Saint Aubin Premier Cru" White</t>
  </si>
  <si>
    <t>"Bourgogne Blanc" Bourgogne White</t>
  </si>
  <si>
    <t>"La Combe au Sud" Saint Aubin Premier Cru White</t>
  </si>
  <si>
    <t>JULIEN ALTABER</t>
  </si>
  <si>
    <t>"Foufounette" VDF Sparkling White</t>
  </si>
  <si>
    <t>aligoté, apricots</t>
  </si>
  <si>
    <t>"Skinbull" VDF Sparkling White</t>
  </si>
  <si>
    <t>macerated aligoté</t>
  </si>
  <si>
    <t>"Ma Ma Mia" VDF White</t>
  </si>
  <si>
    <t>macerated pinot gris</t>
  </si>
  <si>
    <t xml:space="preserve">"Po a Po" VDF White </t>
  </si>
  <si>
    <t>6/500mL</t>
  </si>
  <si>
    <t xml:space="preserve">"En Chapon" AOC Bourgogne White </t>
  </si>
  <si>
    <t>"Bourgogne Blanc" AOC Bourgogne White</t>
  </si>
  <si>
    <t>"Bourgogne Aligoté" AOC Bourgogne White</t>
  </si>
  <si>
    <t>"Bourgogne Rouge" AOC Bourgogne Red</t>
  </si>
  <si>
    <t>"Côteaux Bourguignon" AOC Bourgogne Red</t>
  </si>
  <si>
    <t>"La Fleur Au Verre" AOC Bourgogne Red</t>
  </si>
  <si>
    <t xml:space="preserve">PROVENCE-ALPES-COTE D'AZUR </t>
  </si>
  <si>
    <t>CLOS DES MOURRES</t>
  </si>
  <si>
    <t>"665 Jours" AOC Côte de Rhône Village White</t>
  </si>
  <si>
    <t>"Rosy" VDF Rosé</t>
  </si>
  <si>
    <t xml:space="preserve">VDF "A Table!" Red </t>
  </si>
  <si>
    <t xml:space="preserve">AOC Côtes du Rhône "NoVice" </t>
  </si>
  <si>
    <t>AOC Cairanne "Adessias"</t>
  </si>
  <si>
    <t xml:space="preserve">grenache + </t>
  </si>
  <si>
    <t>AOC Côtes du Rhône Red BiB</t>
  </si>
  <si>
    <t>6/3.0 L</t>
  </si>
  <si>
    <t>DOMAINE MONT DE MARIE</t>
  </si>
  <si>
    <t>"Puech Coucou" VDF Red</t>
  </si>
  <si>
    <t>cinsault, œilade</t>
  </si>
  <si>
    <t>Vdf "Salve Ager" 2021</t>
  </si>
  <si>
    <t>6/750mL</t>
  </si>
  <si>
    <t xml:space="preserve"> grenache, cinsault</t>
  </si>
  <si>
    <t xml:space="preserve">Vdf "Anathème" 2021 </t>
  </si>
  <si>
    <t>6750mL</t>
  </si>
  <si>
    <t xml:space="preserve">aramon, grenache, cinsault, carignan) </t>
  </si>
  <si>
    <t>MAS MELLET</t>
  </si>
  <si>
    <t>"Carignan Mechant" VDF Red</t>
  </si>
  <si>
    <t>"Pari Finesse" Costières de Nîmes Red</t>
  </si>
  <si>
    <t>carignan, grenache, syrah</t>
  </si>
  <si>
    <t>PHILIPPE PIBAROT</t>
  </si>
  <si>
    <t>"Domitia" VDF Red</t>
  </si>
  <si>
    <t>mourvèdre, grenache, syrah, carignan, cinsault</t>
  </si>
  <si>
    <t>JOHN ALMANSA</t>
  </si>
  <si>
    <t>Vdf "Zou Mai" VDF Red</t>
  </si>
  <si>
    <t>PYRENEES</t>
  </si>
  <si>
    <t>LES FOULARDS ROUGES</t>
  </si>
  <si>
    <t>"La Soif du Mal" VDF White</t>
  </si>
  <si>
    <t>- -</t>
  </si>
  <si>
    <t>macabeu, muscat d’alexandrie, grenache blanc</t>
  </si>
  <si>
    <t>"La Soif du Mal" VDF Red 1.5L</t>
  </si>
  <si>
    <t>grenache, mourvedre</t>
  </si>
  <si>
    <t xml:space="preserve">"Octobre" VDF Red </t>
  </si>
  <si>
    <t xml:space="preserve">syrah, grenache </t>
  </si>
  <si>
    <t xml:space="preserve">"Frida" VDF Red </t>
  </si>
  <si>
    <t>carignan, grenache noir, gris, blanc</t>
  </si>
  <si>
    <t xml:space="preserve">"Les Vilains" VDF Red </t>
  </si>
  <si>
    <t>"Les Vilains" VDF Red 1.5L</t>
  </si>
  <si>
    <t>YOYO</t>
  </si>
  <si>
    <t>BASCULE</t>
  </si>
  <si>
    <t>"Bottom Up Blanc" VDF White</t>
  </si>
  <si>
    <t>"Bottom Up Rouge" VDF Red</t>
  </si>
  <si>
    <t>"Cabernier" VDF Red</t>
  </si>
  <si>
    <t xml:space="preserve">carignan, viognier </t>
  </si>
  <si>
    <t>"Babushka" VDF Rosé</t>
  </si>
  <si>
    <t>"Babushka" VDF Rosé 1.5L</t>
  </si>
  <si>
    <t>DOMAINE LEONINE</t>
  </si>
  <si>
    <t>"Bottle Neck" VDF Red</t>
  </si>
  <si>
    <t>DOMINIQUE DERAIN</t>
  </si>
  <si>
    <t>"Entre Peaux" VDF White</t>
  </si>
  <si>
    <t>muscat à petit grain</t>
  </si>
  <si>
    <t>"D'rain D'rain " VDF Red</t>
  </si>
  <si>
    <t>DOMAINE DE LA MER BLANCHE (FRUIT CELLOS)</t>
  </si>
  <si>
    <t>"Limoncello"</t>
  </si>
  <si>
    <t>6/700mL</t>
  </si>
  <si>
    <t xml:space="preserve">"Arancello" </t>
  </si>
  <si>
    <t>"Kumquatcello"</t>
  </si>
  <si>
    <t>"Pomcello"</t>
  </si>
  <si>
    <t>DOMAINE DE L'EPEIRE</t>
  </si>
  <si>
    <t>"Astradyne" Côtes Catalanes White</t>
  </si>
  <si>
    <t>macabeu</t>
  </si>
  <si>
    <t>"Neige au Soleil" Côtes Catalanes White</t>
  </si>
  <si>
    <t>DOMAINE PADIÉ</t>
  </si>
  <si>
    <t>"Milouise" VDF White</t>
  </si>
  <si>
    <t>grenache gris, grenache blanc, macabeu, carignan blanc</t>
  </si>
  <si>
    <t>clairette, tourbat, muscat petit grain, muscat d'alexandrie</t>
  </si>
  <si>
    <t>"Fleur de Cailloux" Vdf White</t>
  </si>
  <si>
    <t>grenache gris, grenache blanc, macabeu</t>
  </si>
  <si>
    <t>"Le Pacha" VDF Red</t>
  </si>
  <si>
    <t xml:space="preserve">carignan </t>
  </si>
  <si>
    <t>"Gibraltar" VDF Red</t>
  </si>
  <si>
    <t xml:space="preserve">grenache noir </t>
  </si>
  <si>
    <t>"Petit Taureau" Vdf Red</t>
  </si>
  <si>
    <t>carignan, syrah</t>
  </si>
  <si>
    <t>JEAN-LOUIS TRIBOULEY</t>
  </si>
  <si>
    <t>Vdf "GG" VDF White</t>
  </si>
  <si>
    <t>grenache gris, macabeu</t>
  </si>
  <si>
    <t>"La Part de l'Été" Sparkling Rosé</t>
  </si>
  <si>
    <t>"Les Copines" 2022 VDF Red</t>
  </si>
  <si>
    <t>"Les 3 Lunes" VDF Red</t>
  </si>
  <si>
    <t>"l'Alba" 2022 VDF Red</t>
  </si>
  <si>
    <t>carignan, syrah, grenache</t>
  </si>
  <si>
    <t>SKU</t>
  </si>
  <si>
    <t>Description</t>
  </si>
  <si>
    <t>Variety</t>
  </si>
  <si>
    <t>Previous Price</t>
  </si>
  <si>
    <t>Discount price</t>
  </si>
  <si>
    <r>
      <rPr>
        <sz val="12"/>
        <color rgb="FF000000"/>
        <rFont val="Arial"/>
        <family val="2"/>
      </rPr>
      <t xml:space="preserve">AMI </t>
    </r>
    <r>
      <rPr>
        <i/>
        <sz val="12"/>
        <color rgb="FF000000"/>
        <rFont val="Arial"/>
        <family val="2"/>
      </rPr>
      <t>Les Mosnieres Cote de Beaune White</t>
    </r>
    <r>
      <rPr>
        <sz val="12"/>
        <color rgb="FF000000"/>
        <rFont val="Arial"/>
        <family val="2"/>
      </rPr>
      <t xml:space="preserve"> 2020</t>
    </r>
  </si>
  <si>
    <r>
      <rPr>
        <sz val="12"/>
        <color rgb="FF000000"/>
        <rFont val="Arial"/>
        <family val="2"/>
      </rPr>
      <t xml:space="preserve">AMI </t>
    </r>
    <r>
      <rPr>
        <i/>
        <sz val="12"/>
        <color rgb="FF000000"/>
        <rFont val="Arial"/>
        <family val="2"/>
      </rPr>
      <t xml:space="preserve">Sous Roche Saint Romain White </t>
    </r>
    <r>
      <rPr>
        <sz val="12"/>
        <color rgb="FF000000"/>
        <rFont val="Arial"/>
        <family val="2"/>
      </rPr>
      <t>2020</t>
    </r>
  </si>
  <si>
    <t>11-054-06-18</t>
  </si>
  <si>
    <r>
      <rPr>
        <sz val="12"/>
        <color rgb="FF000000"/>
        <rFont val="Arial"/>
        <family val="2"/>
      </rPr>
      <t xml:space="preserve">AMI </t>
    </r>
    <r>
      <rPr>
        <i/>
        <sz val="12"/>
        <color rgb="FF000000"/>
        <rFont val="Arial"/>
        <family val="2"/>
      </rPr>
      <t>Les Poutures Pommard 1er Cru Red</t>
    </r>
    <r>
      <rPr>
        <sz val="12"/>
        <color rgb="FF000000"/>
        <rFont val="Arial"/>
        <family val="2"/>
      </rPr>
      <t xml:space="preserve"> 2018</t>
    </r>
  </si>
  <si>
    <r>
      <rPr>
        <sz val="12"/>
        <color rgb="FF000000"/>
        <rFont val="Arial"/>
        <family val="2"/>
      </rPr>
      <t xml:space="preserve">La Roche Buissiere, </t>
    </r>
    <r>
      <rPr>
        <i/>
        <sz val="12"/>
        <color rgb="FF000000"/>
        <rFont val="Arial"/>
        <family val="2"/>
      </rPr>
      <t>Premices Cotes du Rhone Red</t>
    </r>
    <r>
      <rPr>
        <sz val="12"/>
        <color rgb="FF000000"/>
        <rFont val="Arial"/>
        <family val="2"/>
      </rPr>
      <t xml:space="preserve"> 2021</t>
    </r>
  </si>
  <si>
    <t>Grenache Noir</t>
  </si>
  <si>
    <t>11-1028</t>
  </si>
  <si>
    <r>
      <rPr>
        <sz val="12"/>
        <color rgb="FF000000"/>
        <rFont val="Arial"/>
        <family val="2"/>
      </rPr>
      <t xml:space="preserve">La Roche Buissiere, </t>
    </r>
    <r>
      <rPr>
        <i/>
        <sz val="12"/>
        <color rgb="FF000000"/>
        <rFont val="Arial"/>
        <family val="2"/>
      </rPr>
      <t>Petit Jo Cotes du Rhone Red</t>
    </r>
    <r>
      <rPr>
        <sz val="12"/>
        <color rgb="FF000000"/>
        <rFont val="Arial"/>
        <family val="2"/>
      </rPr>
      <t xml:space="preserve"> NV</t>
    </r>
  </si>
  <si>
    <t>Grenache Noir, Syrah</t>
  </si>
  <si>
    <r>
      <rPr>
        <sz val="12"/>
        <color rgb="FF000000"/>
        <rFont val="Arial"/>
        <family val="2"/>
      </rPr>
      <t xml:space="preserve">La Roche Buissiere, </t>
    </r>
    <r>
      <rPr>
        <i/>
        <sz val="12"/>
        <color rgb="FF000000"/>
        <rFont val="Arial"/>
        <family val="2"/>
      </rPr>
      <t xml:space="preserve">Le Claux Cotes du Rhone Red </t>
    </r>
    <r>
      <rPr>
        <sz val="12"/>
        <color rgb="FF000000"/>
        <rFont val="Arial"/>
        <family val="2"/>
      </rPr>
      <t>2019</t>
    </r>
  </si>
  <si>
    <r>
      <rPr>
        <sz val="12"/>
        <color rgb="FF000000"/>
        <rFont val="Arial"/>
        <family val="2"/>
      </rPr>
      <t xml:space="preserve">La Roche Buissiere, </t>
    </r>
    <r>
      <rPr>
        <i/>
        <sz val="12"/>
        <color rgb="FF000000"/>
        <rFont val="Arial"/>
        <family val="2"/>
      </rPr>
      <t xml:space="preserve">Flonflons Cotes du Rhone Red </t>
    </r>
    <r>
      <rPr>
        <sz val="12"/>
        <color rgb="FF000000"/>
        <rFont val="Arial"/>
        <family val="2"/>
      </rPr>
      <t>2020</t>
    </r>
  </si>
  <si>
    <t>17-0616-19</t>
  </si>
  <si>
    <r>
      <rPr>
        <sz val="12"/>
        <color theme="1"/>
        <rFont val="Arial"/>
        <family val="2"/>
      </rPr>
      <t xml:space="preserve">Domaine Geschickt, </t>
    </r>
    <r>
      <rPr>
        <i/>
        <sz val="12"/>
        <color theme="1"/>
        <rFont val="Arial"/>
        <family val="2"/>
      </rPr>
      <t xml:space="preserve">Khepri Kaefferkopf Grand Cru Alsace Rose </t>
    </r>
    <r>
      <rPr>
        <sz val="12"/>
        <color theme="1"/>
        <rFont val="Arial"/>
        <family val="2"/>
      </rPr>
      <t>2019</t>
    </r>
  </si>
  <si>
    <t>Gewurtztraminer, Riesling, Pinot Gris, Pinot Noir</t>
  </si>
  <si>
    <r>
      <rPr>
        <sz val="12"/>
        <color rgb="FF000000"/>
        <rFont val="Arial"/>
        <family val="2"/>
      </rPr>
      <t xml:space="preserve">Distillerie Cazottes </t>
    </r>
    <r>
      <rPr>
        <i/>
        <sz val="12"/>
        <color rgb="FF000000"/>
        <rFont val="Arial"/>
        <family val="2"/>
      </rPr>
      <t>Mauzac Rose VDF Rosé</t>
    </r>
    <r>
      <rPr>
        <sz val="12"/>
        <color rgb="FF000000"/>
        <rFont val="Arial"/>
        <family val="2"/>
      </rPr>
      <t xml:space="preserve"> 2020</t>
    </r>
  </si>
  <si>
    <t>Mauzac Rose</t>
  </si>
  <si>
    <t>ZR-DC-04-19</t>
  </si>
  <si>
    <r>
      <rPr>
        <sz val="12"/>
        <color rgb="FF000000"/>
        <rFont val="Arial"/>
        <family val="2"/>
      </rPr>
      <t xml:space="preserve">Distillerie Cazottes </t>
    </r>
    <r>
      <rPr>
        <i/>
        <sz val="12"/>
        <color rgb="FF000000"/>
        <rFont val="Arial"/>
        <family val="2"/>
      </rPr>
      <t>Prunelart VDF Red</t>
    </r>
    <r>
      <rPr>
        <sz val="12"/>
        <color rgb="FF000000"/>
        <rFont val="Arial"/>
        <family val="2"/>
      </rPr>
      <t xml:space="preserve"> 2019</t>
    </r>
  </si>
  <si>
    <t>Prunelart</t>
  </si>
  <si>
    <r>
      <rPr>
        <sz val="12"/>
        <color theme="1"/>
        <rFont val="Arial"/>
        <family val="2"/>
      </rPr>
      <t xml:space="preserve">Julien Merle, </t>
    </r>
    <r>
      <rPr>
        <i/>
        <sz val="12"/>
        <color theme="1"/>
        <rFont val="Arial"/>
        <family val="2"/>
      </rPr>
      <t xml:space="preserve">Le Merle Blanc Beaujolais White </t>
    </r>
    <r>
      <rPr>
        <sz val="12"/>
        <color theme="1"/>
        <rFont val="Arial"/>
        <family val="2"/>
      </rPr>
      <t>2018</t>
    </r>
  </si>
  <si>
    <t>ZRS-2021-20</t>
  </si>
  <si>
    <r>
      <rPr>
        <sz val="12"/>
        <color theme="1"/>
        <rFont val="Arial"/>
        <family val="2"/>
      </rPr>
      <t xml:space="preserve">Domaine Houillon, </t>
    </r>
    <r>
      <rPr>
        <i/>
        <sz val="12"/>
        <color theme="1"/>
        <rFont val="Arial"/>
        <family val="2"/>
      </rPr>
      <t xml:space="preserve">Le Safre VDF Sparkling Red </t>
    </r>
    <r>
      <rPr>
        <sz val="12"/>
        <color theme="1"/>
        <rFont val="Arial"/>
        <family val="2"/>
      </rPr>
      <t>2020</t>
    </r>
  </si>
  <si>
    <t>ZRS200226-20</t>
  </si>
  <si>
    <r>
      <rPr>
        <sz val="12"/>
        <color theme="1"/>
        <rFont val="Arial"/>
        <family val="2"/>
      </rPr>
      <t xml:space="preserve">Domaine Houillon, </t>
    </r>
    <r>
      <rPr>
        <i/>
        <sz val="12"/>
        <color theme="1"/>
        <rFont val="Arial"/>
        <family val="2"/>
      </rPr>
      <t xml:space="preserve">Indigo VDF Red </t>
    </r>
    <r>
      <rPr>
        <sz val="12"/>
        <color theme="1"/>
        <rFont val="Arial"/>
        <family val="2"/>
      </rPr>
      <t>2020</t>
    </r>
  </si>
  <si>
    <r>
      <rPr>
        <sz val="12"/>
        <color theme="1"/>
        <rFont val="Arial"/>
        <family val="2"/>
      </rPr>
      <t xml:space="preserve">Maison en Belles Lies, </t>
    </r>
    <r>
      <rPr>
        <i/>
        <sz val="12"/>
        <color theme="1"/>
        <rFont val="Arial"/>
        <family val="2"/>
      </rPr>
      <t xml:space="preserve">L'Etrange VDF Red </t>
    </r>
    <r>
      <rPr>
        <sz val="12"/>
        <color theme="1"/>
        <rFont val="Arial"/>
        <family val="2"/>
      </rPr>
      <t>2019</t>
    </r>
  </si>
  <si>
    <t>Gamay a Petits Grains, Pinot Noir, Chardonnay</t>
  </si>
  <si>
    <t>ZRS22-0041-18</t>
  </si>
  <si>
    <r>
      <rPr>
        <sz val="12"/>
        <color rgb="FF000000"/>
        <rFont val="Arial"/>
        <family val="2"/>
      </rPr>
      <t xml:space="preserve">Domaine La Paonnerie, </t>
    </r>
    <r>
      <rPr>
        <i/>
        <sz val="12"/>
        <color rgb="FF000000"/>
        <rFont val="Arial"/>
        <family val="2"/>
      </rPr>
      <t>Le Rosé d`Ancenis Loire Rosé</t>
    </r>
    <r>
      <rPr>
        <sz val="12"/>
        <color rgb="FF000000"/>
        <rFont val="Arial"/>
        <family val="2"/>
      </rPr>
      <t xml:space="preserve"> 2018</t>
    </r>
  </si>
  <si>
    <t>Gamay</t>
  </si>
  <si>
    <t>14-0215-19</t>
  </si>
  <si>
    <r>
      <rPr>
        <sz val="12"/>
        <color rgb="FF000000"/>
        <rFont val="Arial"/>
        <family val="2"/>
      </rPr>
      <t xml:space="preserve">Domaine La Paonnerie, </t>
    </r>
    <r>
      <rPr>
        <i/>
        <sz val="12"/>
        <color rgb="FF000000"/>
        <rFont val="Arial"/>
        <family val="2"/>
      </rPr>
      <t xml:space="preserve">Simplement </t>
    </r>
    <r>
      <rPr>
        <sz val="12"/>
        <color rgb="FF000000"/>
        <rFont val="Arial"/>
        <family val="2"/>
      </rPr>
      <t>Loire Red 2019</t>
    </r>
  </si>
  <si>
    <r>
      <rPr>
        <sz val="12"/>
        <color rgb="FF000000"/>
        <rFont val="Arial"/>
        <family val="2"/>
      </rPr>
      <t xml:space="preserve">Weingut Schmitt, </t>
    </r>
    <r>
      <rPr>
        <i/>
        <sz val="12"/>
        <color rgb="FF000000"/>
        <rFont val="Arial"/>
        <family val="2"/>
      </rPr>
      <t>Petillant Naturel Rheinhessen Sparkling</t>
    </r>
    <r>
      <rPr>
        <sz val="12"/>
        <color rgb="FF000000"/>
        <rFont val="Arial"/>
        <family val="2"/>
      </rPr>
      <t xml:space="preserve"> 2021</t>
    </r>
  </si>
  <si>
    <t>Huxelrebe, Scheurebe, Ortega, Weisburgunder, Grauburgunder</t>
  </si>
  <si>
    <r>
      <rPr>
        <sz val="12"/>
        <color rgb="FF000000"/>
        <rFont val="Arial"/>
        <family val="2"/>
      </rPr>
      <t xml:space="preserve">Weingut Schmitt, </t>
    </r>
    <r>
      <rPr>
        <i/>
        <sz val="12"/>
        <color rgb="FF000000"/>
        <rFont val="Arial"/>
        <family val="2"/>
      </rPr>
      <t>Frei.Korper.Kultur Fizz Rheinhessen Sparkling Rose</t>
    </r>
    <r>
      <rPr>
        <sz val="12"/>
        <color rgb="FF000000"/>
        <rFont val="Arial"/>
        <family val="2"/>
      </rPr>
      <t xml:space="preserve"> 2021</t>
    </r>
  </si>
  <si>
    <t>Merlot, Pinot Noir, Portugieser, Dornfelder</t>
  </si>
  <si>
    <r>
      <rPr>
        <sz val="12"/>
        <color rgb="FF000000"/>
        <rFont val="Arial"/>
        <family val="2"/>
      </rPr>
      <t xml:space="preserve">Weingut Schmitt, </t>
    </r>
    <r>
      <rPr>
        <i/>
        <sz val="12"/>
        <color rgb="FF000000"/>
        <rFont val="Arial"/>
        <family val="2"/>
      </rPr>
      <t>Frei.Korper.Kultur Rheinhessen White</t>
    </r>
    <r>
      <rPr>
        <sz val="12"/>
        <color rgb="FF000000"/>
        <rFont val="Arial"/>
        <family val="2"/>
      </rPr>
      <t xml:space="preserve"> 2021 1000mL</t>
    </r>
  </si>
  <si>
    <t>Scheurebe, Pinot Blanc, Huxelrebe, Pinot Gris, Ortega</t>
  </si>
  <si>
    <r>
      <rPr>
        <sz val="12"/>
        <color rgb="FF000000"/>
        <rFont val="Arial"/>
        <family val="2"/>
      </rPr>
      <t xml:space="preserve">Weingut Schmitt, </t>
    </r>
    <r>
      <rPr>
        <i/>
        <sz val="12"/>
        <color rgb="FF000000"/>
        <rFont val="Arial"/>
        <family val="2"/>
      </rPr>
      <t>Frei.Korper.Kultur Rheinhessen Rosé</t>
    </r>
    <r>
      <rPr>
        <sz val="12"/>
        <color rgb="FF000000"/>
        <rFont val="Arial"/>
        <family val="2"/>
      </rPr>
      <t xml:space="preserve"> 2021 1000mL</t>
    </r>
  </si>
  <si>
    <t>Portugieser, Dornfelder</t>
  </si>
  <si>
    <t>ZRS-0241-21</t>
  </si>
  <si>
    <r>
      <rPr>
        <sz val="12"/>
        <color rgb="FF000000"/>
        <rFont val="Arial"/>
        <family val="2"/>
      </rPr>
      <t xml:space="preserve">Weingut Schmitt, </t>
    </r>
    <r>
      <rPr>
        <i/>
        <sz val="12"/>
        <color rgb="FF000000"/>
        <rFont val="Arial"/>
        <family val="2"/>
      </rPr>
      <t>Frei.Korper.Kultur Rot Rheinhessen Red</t>
    </r>
    <r>
      <rPr>
        <sz val="12"/>
        <color rgb="FF000000"/>
        <rFont val="Arial"/>
        <family val="2"/>
      </rPr>
      <t xml:space="preserve"> 2021 1000mL</t>
    </r>
  </si>
  <si>
    <t>Merlot, St. Laurent, Portugieser, Blaufränkisch, Spätburgunder</t>
  </si>
  <si>
    <t>ZRS22-0183-21</t>
  </si>
  <si>
    <r>
      <rPr>
        <sz val="12"/>
        <color rgb="FF000000"/>
        <rFont val="Arial"/>
        <family val="2"/>
      </rPr>
      <t>Weingut Schmitt,</t>
    </r>
    <r>
      <rPr>
        <i/>
        <sz val="12"/>
        <color rgb="FF000000"/>
        <rFont val="Arial"/>
        <family val="2"/>
      </rPr>
      <t xml:space="preserve"> Riesling Rheinhessen White </t>
    </r>
    <r>
      <rPr>
        <sz val="12"/>
        <color rgb="FF000000"/>
        <rFont val="Arial"/>
        <family val="2"/>
      </rPr>
      <t>2021</t>
    </r>
  </si>
  <si>
    <r>
      <rPr>
        <sz val="12"/>
        <color rgb="FF000000"/>
        <rFont val="Arial"/>
        <family val="2"/>
      </rPr>
      <t xml:space="preserve">Weingut Schmitt, </t>
    </r>
    <r>
      <rPr>
        <i/>
        <sz val="12"/>
        <color rgb="FF000000"/>
        <rFont val="Arial"/>
        <family val="2"/>
      </rPr>
      <t>Riesling</t>
    </r>
    <r>
      <rPr>
        <sz val="12"/>
        <color rgb="FF000000"/>
        <rFont val="Arial"/>
        <family val="2"/>
      </rPr>
      <t xml:space="preserve"> </t>
    </r>
    <r>
      <rPr>
        <i/>
        <sz val="12"/>
        <color rgb="FF000000"/>
        <rFont val="Arial"/>
        <family val="2"/>
      </rPr>
      <t>Voodoo Rheinhessen</t>
    </r>
    <r>
      <rPr>
        <sz val="12"/>
        <color rgb="FF000000"/>
        <rFont val="Arial"/>
        <family val="2"/>
      </rPr>
      <t xml:space="preserve"> </t>
    </r>
    <r>
      <rPr>
        <i/>
        <sz val="12"/>
        <color rgb="FF000000"/>
        <rFont val="Arial"/>
        <family val="2"/>
      </rPr>
      <t>White</t>
    </r>
    <r>
      <rPr>
        <sz val="12"/>
        <color rgb="FF000000"/>
        <rFont val="Arial"/>
        <family val="2"/>
      </rPr>
      <t xml:space="preserve"> 2020</t>
    </r>
  </si>
  <si>
    <r>
      <rPr>
        <sz val="12"/>
        <color rgb="FF1A3438"/>
        <rFont val="Arial"/>
        <family val="2"/>
      </rPr>
      <t xml:space="preserve">Weingut Schmitt, </t>
    </r>
    <r>
      <rPr>
        <i/>
        <sz val="12"/>
        <color rgb="FF1A3438"/>
        <rFont val="Arial"/>
        <family val="2"/>
      </rPr>
      <t xml:space="preserve">Erdreich Rheinhessen White </t>
    </r>
    <r>
      <rPr>
        <sz val="12"/>
        <color rgb="FF1A3438"/>
        <rFont val="Arial"/>
        <family val="2"/>
      </rPr>
      <t>2018</t>
    </r>
  </si>
  <si>
    <t>Gelber Muskateller, Bacchus, Riesling</t>
  </si>
  <si>
    <r>
      <rPr>
        <sz val="12"/>
        <color theme="1"/>
        <rFont val="Arial"/>
        <family val="2"/>
      </rPr>
      <t xml:space="preserve">Weingut Schmitt, </t>
    </r>
    <r>
      <rPr>
        <i/>
        <sz val="12"/>
        <color theme="1"/>
        <rFont val="Arial"/>
        <family val="2"/>
      </rPr>
      <t xml:space="preserve">Kekfrankos Rheinhessen Red </t>
    </r>
    <r>
      <rPr>
        <sz val="12"/>
        <color theme="1"/>
        <rFont val="Arial"/>
        <family val="2"/>
      </rPr>
      <t>2019</t>
    </r>
  </si>
  <si>
    <t>Kekfrankos</t>
  </si>
  <si>
    <r>
      <rPr>
        <sz val="12"/>
        <color theme="1"/>
        <rFont val="Arial"/>
        <family val="2"/>
      </rPr>
      <t xml:space="preserve">Vinarstvi Jediny Sud, </t>
    </r>
    <r>
      <rPr>
        <i/>
        <sz val="12"/>
        <color theme="1"/>
        <rFont val="Arial"/>
        <family val="2"/>
      </rPr>
      <t xml:space="preserve">Rivaner Sud Dornfelder Moravske Red </t>
    </r>
    <r>
      <rPr>
        <sz val="12"/>
        <color theme="1"/>
        <rFont val="Arial"/>
        <family val="2"/>
      </rPr>
      <t>2018</t>
    </r>
  </si>
  <si>
    <t>Dornfelder</t>
  </si>
  <si>
    <r>
      <rPr>
        <sz val="12"/>
        <color theme="1"/>
        <rFont val="Arial"/>
        <family val="2"/>
      </rPr>
      <t xml:space="preserve">Vinarstvi Jediny Sud, </t>
    </r>
    <r>
      <rPr>
        <i/>
        <sz val="12"/>
        <color theme="1"/>
        <rFont val="Arial"/>
        <family val="2"/>
      </rPr>
      <t xml:space="preserve">Belbog Czech Apple Cider </t>
    </r>
    <r>
      <rPr>
        <sz val="12"/>
        <color theme="1"/>
        <rFont val="Arial"/>
        <family val="2"/>
      </rPr>
      <t>2020</t>
    </r>
  </si>
  <si>
    <t>Apples</t>
  </si>
  <si>
    <t>11-036-14-20</t>
  </si>
  <si>
    <r>
      <rPr>
        <sz val="12"/>
        <color rgb="FF1A3438"/>
        <rFont val="Arial"/>
        <family val="2"/>
      </rPr>
      <t xml:space="preserve">Meinklang </t>
    </r>
    <r>
      <rPr>
        <i/>
        <sz val="12"/>
        <color rgb="FF1A3438"/>
        <rFont val="Arial"/>
        <family val="2"/>
      </rPr>
      <t>Graupert Natural Österreich White</t>
    </r>
    <r>
      <rPr>
        <sz val="12"/>
        <color rgb="FF1A3438"/>
        <rFont val="Arial"/>
        <family val="2"/>
      </rPr>
      <t xml:space="preserve"> 2020</t>
    </r>
  </si>
  <si>
    <t>Pinot Gris (unpuned vines)</t>
  </si>
  <si>
    <t>19-0843-18</t>
  </si>
  <si>
    <r>
      <rPr>
        <sz val="12"/>
        <color rgb="FF1A3438"/>
        <rFont val="Arial"/>
        <family val="2"/>
      </rPr>
      <t xml:space="preserve">Meinklang </t>
    </r>
    <r>
      <rPr>
        <i/>
        <sz val="12"/>
        <color rgb="FF1A3438"/>
        <rFont val="Arial"/>
        <family val="2"/>
      </rPr>
      <t>Tag Österreich White 2</t>
    </r>
    <r>
      <rPr>
        <sz val="12"/>
        <color rgb="FF1A3438"/>
        <rFont val="Arial"/>
        <family val="2"/>
      </rPr>
      <t>018</t>
    </r>
  </si>
  <si>
    <t>Gruner Veltliner (concrete egg)</t>
  </si>
  <si>
    <t>11-036-11-20</t>
  </si>
  <si>
    <r>
      <rPr>
        <sz val="12"/>
        <color rgb="FF1A3438"/>
        <rFont val="Arial"/>
        <family val="2"/>
      </rPr>
      <t xml:space="preserve">Meinklang </t>
    </r>
    <r>
      <rPr>
        <i/>
        <sz val="12"/>
        <color rgb="FF1A3438"/>
        <rFont val="Arial"/>
        <family val="2"/>
      </rPr>
      <t>Tag - Edition 2 Österreich White 2</t>
    </r>
    <r>
      <rPr>
        <sz val="12"/>
        <color rgb="FF1A3438"/>
        <rFont val="Arial"/>
        <family val="2"/>
      </rPr>
      <t>020</t>
    </r>
  </si>
  <si>
    <r>
      <rPr>
        <sz val="12"/>
        <color rgb="FF1A3438"/>
        <rFont val="Arial"/>
        <family val="2"/>
      </rPr>
      <t xml:space="preserve">Meinklang </t>
    </r>
    <r>
      <rPr>
        <i/>
        <sz val="12"/>
        <color rgb="FF1A3438"/>
        <rFont val="Arial"/>
        <family val="2"/>
      </rPr>
      <t>Tag - Edition 3 Österreich White 2</t>
    </r>
    <r>
      <rPr>
        <sz val="12"/>
        <color rgb="FF1A3438"/>
        <rFont val="Arial"/>
        <family val="2"/>
      </rPr>
      <t>021</t>
    </r>
  </si>
  <si>
    <t>Welschriesling (concrete egg)</t>
  </si>
  <si>
    <t>19-1286-18</t>
  </si>
  <si>
    <r>
      <rPr>
        <sz val="12"/>
        <color rgb="FF1A3438"/>
        <rFont val="Arial"/>
        <family val="2"/>
      </rPr>
      <t xml:space="preserve">Meinklang </t>
    </r>
    <r>
      <rPr>
        <i/>
        <sz val="12"/>
        <color rgb="FF1A3438"/>
        <rFont val="Arial"/>
        <family val="2"/>
      </rPr>
      <t xml:space="preserve">Morgen Österreich Rosé </t>
    </r>
    <r>
      <rPr>
        <sz val="12"/>
        <color rgb="FF1A3438"/>
        <rFont val="Arial"/>
        <family val="2"/>
      </rPr>
      <t>2018</t>
    </r>
  </si>
  <si>
    <t>St. Laurent (concrete egg)</t>
  </si>
  <si>
    <r>
      <rPr>
        <sz val="12"/>
        <color rgb="FF1A3438"/>
        <rFont val="Arial"/>
        <family val="2"/>
      </rPr>
      <t xml:space="preserve">Meinklang </t>
    </r>
    <r>
      <rPr>
        <i/>
        <sz val="12"/>
        <color rgb="FF1A3438"/>
        <rFont val="Arial"/>
        <family val="2"/>
      </rPr>
      <t xml:space="preserve">Morgen - Edition 2 Österreich Sparkling Rosé </t>
    </r>
    <r>
      <rPr>
        <sz val="12"/>
        <color rgb="FF1A3438"/>
        <rFont val="Arial"/>
        <family val="2"/>
      </rPr>
      <t>2020</t>
    </r>
  </si>
  <si>
    <t>St. Laurent, Traminer</t>
  </si>
  <si>
    <t>18-0391-18</t>
  </si>
  <si>
    <r>
      <rPr>
        <sz val="12"/>
        <color rgb="FF1A3438"/>
        <rFont val="Arial"/>
        <family val="2"/>
      </rPr>
      <t xml:space="preserve">Meinklang </t>
    </r>
    <r>
      <rPr>
        <i/>
        <sz val="12"/>
        <color rgb="FF1A3438"/>
        <rFont val="Arial"/>
        <family val="2"/>
      </rPr>
      <t xml:space="preserve">Nacht Österreich Red </t>
    </r>
    <r>
      <rPr>
        <sz val="12"/>
        <color rgb="FF1A3438"/>
        <rFont val="Arial"/>
        <family val="2"/>
      </rPr>
      <t>2018</t>
    </r>
  </si>
  <si>
    <t>Pinot Noir (concrete egg)</t>
  </si>
  <si>
    <t>11-036-09-20</t>
  </si>
  <si>
    <r>
      <rPr>
        <sz val="12"/>
        <color rgb="FF1A3438"/>
        <rFont val="Arial"/>
        <family val="2"/>
      </rPr>
      <t xml:space="preserve">Meinklang </t>
    </r>
    <r>
      <rPr>
        <i/>
        <sz val="12"/>
        <color rgb="FF1A3438"/>
        <rFont val="Arial"/>
        <family val="2"/>
      </rPr>
      <t xml:space="preserve">Nacht - Edition 3 Österreich Red </t>
    </r>
    <r>
      <rPr>
        <sz val="12"/>
        <color rgb="FF1A3438"/>
        <rFont val="Arial"/>
        <family val="2"/>
      </rPr>
      <t>2020</t>
    </r>
  </si>
  <si>
    <t>Syrah, Gruner Veltliner (concrete egg)</t>
  </si>
  <si>
    <t>20-0057-NV</t>
  </si>
  <si>
    <r>
      <rPr>
        <sz val="12"/>
        <color rgb="FF1A3438"/>
        <rFont val="Arial"/>
        <family val="2"/>
      </rPr>
      <t xml:space="preserve">Meinklang </t>
    </r>
    <r>
      <rPr>
        <i/>
        <sz val="12"/>
        <color rgb="FF1A3438"/>
        <rFont val="Arial"/>
        <family val="2"/>
      </rPr>
      <t>Abend Österreich Red</t>
    </r>
    <r>
      <rPr>
        <sz val="12"/>
        <color rgb="FF1A3438"/>
        <rFont val="Arial"/>
        <family val="2"/>
      </rPr>
      <t xml:space="preserve"> NV</t>
    </r>
  </si>
  <si>
    <t>St. Laurent, Blaufrankisch (concrete egg)</t>
  </si>
  <si>
    <t>19-0530-16</t>
  </si>
  <si>
    <r>
      <rPr>
        <sz val="12"/>
        <color rgb="FF1A3438"/>
        <rFont val="Arial"/>
        <family val="2"/>
      </rPr>
      <t xml:space="preserve">Michael Gindl </t>
    </r>
    <r>
      <rPr>
        <i/>
        <sz val="12"/>
        <color rgb="FF1A3438"/>
        <rFont val="Arial"/>
        <family val="2"/>
      </rPr>
      <t>Nanu!? Weinviertel Red</t>
    </r>
    <r>
      <rPr>
        <sz val="12"/>
        <color rgb="FF1A3438"/>
        <rFont val="Arial"/>
        <family val="2"/>
      </rPr>
      <t xml:space="preserve"> 2016</t>
    </r>
  </si>
  <si>
    <t>Rotburger (Zweigelt)</t>
  </si>
  <si>
    <r>
      <rPr>
        <sz val="12"/>
        <color rgb="FF1A3438"/>
        <rFont val="Arial"/>
        <family val="2"/>
      </rPr>
      <t xml:space="preserve">Burja Estate </t>
    </r>
    <r>
      <rPr>
        <i/>
        <sz val="12"/>
        <color rgb="FF1A3438"/>
        <rFont val="Arial"/>
        <family val="2"/>
      </rPr>
      <t xml:space="preserve">Reddo Vipava Valley Red </t>
    </r>
    <r>
      <rPr>
        <sz val="12"/>
        <color rgb="FF1A3438"/>
        <rFont val="Arial"/>
        <family val="2"/>
      </rPr>
      <t>2020</t>
    </r>
  </si>
  <si>
    <t>Schioppettino, Blaufränkisch,, Refošk</t>
  </si>
  <si>
    <t>Slovakia</t>
  </si>
  <si>
    <r>
      <rPr>
        <sz val="12"/>
        <color rgb="FF000000"/>
        <rFont val="Arial"/>
        <family val="2"/>
      </rPr>
      <t xml:space="preserve">Vino Loigi </t>
    </r>
    <r>
      <rPr>
        <i/>
        <sz val="12"/>
        <color rgb="FF000000"/>
        <rFont val="Arial"/>
        <family val="2"/>
      </rPr>
      <t xml:space="preserve">PB PN Moravske White </t>
    </r>
    <r>
      <rPr>
        <sz val="12"/>
        <color rgb="FF000000"/>
        <rFont val="Arial"/>
        <family val="2"/>
      </rPr>
      <t>2018</t>
    </r>
  </si>
  <si>
    <t>Pinot Blanc, Pinot Noir</t>
  </si>
  <si>
    <r>
      <rPr>
        <sz val="12"/>
        <color theme="1"/>
        <rFont val="Arial"/>
        <family val="2"/>
      </rPr>
      <t xml:space="preserve">Slobodne, </t>
    </r>
    <r>
      <rPr>
        <i/>
        <sz val="12"/>
        <color theme="1"/>
        <rFont val="Arial"/>
        <family val="2"/>
      </rPr>
      <t xml:space="preserve">Alternativa Slovakia Red </t>
    </r>
    <r>
      <rPr>
        <sz val="12"/>
        <color theme="1"/>
        <rFont val="Arial"/>
        <family val="2"/>
      </rPr>
      <t>2018</t>
    </r>
  </si>
  <si>
    <t>Blaufrankisch</t>
  </si>
  <si>
    <t>ZRS20-0109-19</t>
  </si>
  <si>
    <r>
      <rPr>
        <sz val="12"/>
        <color theme="1"/>
        <rFont val="Arial"/>
        <family val="2"/>
      </rPr>
      <t xml:space="preserve">Orgosa, </t>
    </r>
    <r>
      <rPr>
        <i/>
        <sz val="12"/>
        <color theme="1"/>
        <rFont val="Arial"/>
        <family val="2"/>
      </rPr>
      <t>Cannonau di Sardegna DOC Rose</t>
    </r>
    <r>
      <rPr>
        <sz val="12"/>
        <color theme="1"/>
        <rFont val="Arial"/>
        <family val="2"/>
      </rPr>
      <t xml:space="preserve"> 2019</t>
    </r>
  </si>
  <si>
    <t>Cannonau</t>
  </si>
  <si>
    <r>
      <rPr>
        <sz val="12"/>
        <color theme="1"/>
        <rFont val="Arial"/>
        <family val="2"/>
      </rPr>
      <t xml:space="preserve">Abbia Nova, </t>
    </r>
    <r>
      <rPr>
        <i/>
        <sz val="12"/>
        <color theme="1"/>
        <rFont val="Arial"/>
        <family val="2"/>
      </rPr>
      <t>San Giovanni Piglio IGT Red</t>
    </r>
    <r>
      <rPr>
        <sz val="12"/>
        <color theme="1"/>
        <rFont val="Arial"/>
        <family val="2"/>
      </rPr>
      <t xml:space="preserve"> 2020</t>
    </r>
  </si>
  <si>
    <t>Cesanese d'Afile</t>
  </si>
  <si>
    <t>ZRS-0106-21</t>
  </si>
  <si>
    <r>
      <rPr>
        <sz val="12"/>
        <color rgb="FF1A3438"/>
        <rFont val="Arial"/>
        <family val="2"/>
      </rPr>
      <t xml:space="preserve">Gismondi, </t>
    </r>
    <r>
      <rPr>
        <i/>
        <sz val="12"/>
        <color rgb="FF1A3438"/>
        <rFont val="Arial"/>
        <family val="2"/>
      </rPr>
      <t xml:space="preserve">Fontana Campania Red </t>
    </r>
    <r>
      <rPr>
        <sz val="12"/>
        <color rgb="FF1A3438"/>
        <rFont val="Arial"/>
        <family val="2"/>
      </rPr>
      <t>2021</t>
    </r>
  </si>
  <si>
    <t>Falanghina</t>
  </si>
  <si>
    <t>ZRS200260-20</t>
  </si>
  <si>
    <r>
      <rPr>
        <sz val="12"/>
        <color rgb="FF1A3438"/>
        <rFont val="Arial"/>
        <family val="2"/>
      </rPr>
      <t xml:space="preserve">Gismondi, </t>
    </r>
    <r>
      <rPr>
        <i/>
        <sz val="12"/>
        <color rgb="FF1A3438"/>
        <rFont val="Arial"/>
        <family val="2"/>
      </rPr>
      <t xml:space="preserve">Crucella Campania Red </t>
    </r>
    <r>
      <rPr>
        <sz val="12"/>
        <color rgb="FF1A3438"/>
        <rFont val="Arial"/>
        <family val="2"/>
      </rPr>
      <t>2020</t>
    </r>
  </si>
  <si>
    <t>Sangiovese, Freisa, Merlot</t>
  </si>
  <si>
    <t>18-0744-06</t>
  </si>
  <si>
    <r>
      <rPr>
        <sz val="12"/>
        <color rgb="FF000000"/>
        <rFont val="Arial"/>
        <family val="2"/>
      </rPr>
      <t xml:space="preserve">Tenuta dei Fossi, </t>
    </r>
    <r>
      <rPr>
        <i/>
        <sz val="12"/>
        <color rgb="FF000000"/>
        <rFont val="Arial"/>
        <family val="2"/>
      </rPr>
      <t xml:space="preserve">Sketta Sicilia White </t>
    </r>
    <r>
      <rPr>
        <sz val="12"/>
        <color rgb="FF000000"/>
        <rFont val="Arial"/>
        <family val="2"/>
      </rPr>
      <t>2006</t>
    </r>
  </si>
  <si>
    <t>Grecanico</t>
  </si>
  <si>
    <t>ZRS22-0022-20</t>
  </si>
  <si>
    <r>
      <rPr>
        <sz val="12"/>
        <color theme="1"/>
        <rFont val="Arial"/>
        <family val="2"/>
      </rPr>
      <t xml:space="preserve">Lammidia, </t>
    </r>
    <r>
      <rPr>
        <i/>
        <sz val="12"/>
        <color theme="1"/>
        <rFont val="Arial"/>
        <family val="2"/>
      </rPr>
      <t>Rosso Anfora Abruzzo Red 2020</t>
    </r>
  </si>
  <si>
    <t>Montepulciano</t>
  </si>
  <si>
    <r>
      <rPr>
        <sz val="12"/>
        <color theme="1"/>
        <rFont val="Arial"/>
        <family val="2"/>
      </rPr>
      <t xml:space="preserve">Lammidia, </t>
    </r>
    <r>
      <rPr>
        <i/>
        <sz val="12"/>
        <color theme="1"/>
        <rFont val="Arial"/>
        <family val="2"/>
      </rPr>
      <t xml:space="preserve">Flamingo Abruzzo Rose </t>
    </r>
    <r>
      <rPr>
        <sz val="12"/>
        <color theme="1"/>
        <rFont val="Arial"/>
        <family val="2"/>
      </rPr>
      <t>2021</t>
    </r>
  </si>
  <si>
    <t>Field blend</t>
  </si>
  <si>
    <t>ZR-LA-03-21</t>
  </si>
  <si>
    <r>
      <rPr>
        <sz val="12"/>
        <color theme="1"/>
        <rFont val="Arial"/>
        <family val="2"/>
      </rPr>
      <t xml:space="preserve">Lammidia, </t>
    </r>
    <r>
      <rPr>
        <i/>
        <sz val="12"/>
        <color theme="1"/>
        <rFont val="Arial"/>
        <family val="2"/>
      </rPr>
      <t xml:space="preserve">Panda Abruzzo Rose </t>
    </r>
    <r>
      <rPr>
        <sz val="12"/>
        <color theme="1"/>
        <rFont val="Arial"/>
        <family val="2"/>
      </rPr>
      <t>2021</t>
    </r>
  </si>
  <si>
    <t>Moscato Rosa</t>
  </si>
  <si>
    <r>
      <rPr>
        <sz val="12"/>
        <color theme="1"/>
        <rFont val="Arial"/>
        <family val="2"/>
      </rPr>
      <t xml:space="preserve">Lammidia, </t>
    </r>
    <r>
      <rPr>
        <i/>
        <sz val="12"/>
        <color theme="1"/>
        <rFont val="Arial"/>
        <family val="2"/>
      </rPr>
      <t xml:space="preserve">Frekt Abruzzo White </t>
    </r>
    <r>
      <rPr>
        <sz val="12"/>
        <color theme="1"/>
        <rFont val="Arial"/>
        <family val="2"/>
      </rPr>
      <t>2021</t>
    </r>
  </si>
  <si>
    <t>Pecorino</t>
  </si>
  <si>
    <r>
      <rPr>
        <sz val="12"/>
        <color theme="1"/>
        <rFont val="Arial"/>
        <family val="2"/>
      </rPr>
      <t xml:space="preserve">Voi Vignes, </t>
    </r>
    <r>
      <rPr>
        <i/>
        <sz val="12"/>
        <color theme="1"/>
        <rFont val="Arial"/>
        <family val="2"/>
      </rPr>
      <t xml:space="preserve">Nefos Pella Rose </t>
    </r>
    <r>
      <rPr>
        <sz val="12"/>
        <color theme="1"/>
        <rFont val="Arial"/>
        <family val="2"/>
      </rPr>
      <t>2021 6 PACK</t>
    </r>
  </si>
  <si>
    <t>Xinomavro, Stavroto, Krassato</t>
  </si>
  <si>
    <r>
      <rPr>
        <sz val="12"/>
        <color theme="1"/>
        <rFont val="Arial"/>
        <family val="2"/>
      </rPr>
      <t xml:space="preserve">Voi Vignes, </t>
    </r>
    <r>
      <rPr>
        <i/>
        <sz val="12"/>
        <color theme="1"/>
        <rFont val="Arial"/>
        <family val="2"/>
      </rPr>
      <t xml:space="preserve">Nefos Pella Rose </t>
    </r>
    <r>
      <rPr>
        <sz val="12"/>
        <color theme="1"/>
        <rFont val="Arial"/>
        <family val="2"/>
      </rPr>
      <t xml:space="preserve"> 2020</t>
    </r>
  </si>
  <si>
    <r>
      <rPr>
        <sz val="12"/>
        <color theme="1"/>
        <rFont val="Arial"/>
        <family val="2"/>
      </rPr>
      <t xml:space="preserve">Voi Vignes, </t>
    </r>
    <r>
      <rPr>
        <i/>
        <sz val="12"/>
        <color theme="1"/>
        <rFont val="Arial"/>
        <family val="2"/>
      </rPr>
      <t xml:space="preserve">Hymnos Pella White </t>
    </r>
    <r>
      <rPr>
        <sz val="12"/>
        <color theme="1"/>
        <rFont val="Arial"/>
        <family val="2"/>
      </rPr>
      <t>2021 6 PACK</t>
    </r>
  </si>
  <si>
    <t>ZRS WINE INBOUNDS - UPDATED 10.16.23</t>
  </si>
  <si>
    <t>ID</t>
  </si>
  <si>
    <t>Pack</t>
  </si>
  <si>
    <t>Masters</t>
  </si>
  <si>
    <t>Discounts</t>
  </si>
  <si>
    <t>Alcohol %</t>
  </si>
  <si>
    <t>First ETA</t>
  </si>
  <si>
    <t>AD VINUM</t>
  </si>
  <si>
    <t>ZRS-0508-21</t>
  </si>
  <si>
    <t>4 Horsemen VDF Red</t>
  </si>
  <si>
    <t>12/750 mL</t>
  </si>
  <si>
    <t>Volemie VDF Red</t>
  </si>
  <si>
    <t>ZRS-0748-22</t>
  </si>
  <si>
    <t>ZRS-0748-22M</t>
  </si>
  <si>
    <t>3/1.5 L</t>
  </si>
  <si>
    <t>ZRS-0749-22</t>
  </si>
  <si>
    <t>Aligote Maceration Bourgogne White</t>
  </si>
  <si>
    <t>ZRS-0752-22</t>
  </si>
  <si>
    <t>ZRS-0753-22</t>
  </si>
  <si>
    <t>ZRS-0755-22</t>
  </si>
  <si>
    <t>A-Miami Vice VDF Sparkling</t>
  </si>
  <si>
    <t>ZRS-0756-NV</t>
  </si>
  <si>
    <t>ANDERS FREDERIK STEEN</t>
  </si>
  <si>
    <t>Should we just rely on luck? VDF Rose</t>
  </si>
  <si>
    <t>ZRS-0646-22</t>
  </si>
  <si>
    <t>ZRS-0646-22M</t>
  </si>
  <si>
    <t>6/1.5 L</t>
  </si>
  <si>
    <t>ZRS-0649-21</t>
  </si>
  <si>
    <t>12/500 mL</t>
  </si>
  <si>
    <t>TAILLEURS CUEILLEURS</t>
  </si>
  <si>
    <t>ZRS-0164-22M</t>
  </si>
  <si>
    <t>Kove VDF Red</t>
  </si>
  <si>
    <t>LES TERRES DUBIEN</t>
  </si>
  <si>
    <t>L`Etoile Du Berger Bordeaux Red</t>
  </si>
  <si>
    <t>ZRS-0663-22</t>
  </si>
  <si>
    <t>ZRS-0664-21</t>
  </si>
  <si>
    <t>Synopsis Medoc Red</t>
  </si>
  <si>
    <t>DOMAINE DE LA BOHME</t>
  </si>
  <si>
    <t>J VDF White</t>
  </si>
  <si>
    <t>Festejar VDF Sparkling Rose</t>
  </si>
  <si>
    <t>Love Song VDF Rose</t>
  </si>
  <si>
    <t>Mol VDF Red</t>
  </si>
  <si>
    <t>Super B VDF Red</t>
  </si>
  <si>
    <t>G&amp;M VDF White</t>
  </si>
  <si>
    <t>Niglo VDF Red</t>
  </si>
  <si>
    <t xml:space="preserve">DOMAINE LE GRAIN DE SENEVE </t>
  </si>
  <si>
    <t>ZRS-0675-22</t>
  </si>
  <si>
    <t>Vos Lettres Sont Irresistibles VDF Red</t>
  </si>
  <si>
    <t>JEAN-YVES PERON</t>
  </si>
  <si>
    <t>ZRS-0713-21</t>
  </si>
  <si>
    <t>I Vicini Favorita Vin CEE White</t>
  </si>
  <si>
    <t>ZRS-0714-21</t>
  </si>
  <si>
    <t>I Vicini Moscato Vin CEE White</t>
  </si>
  <si>
    <t>ZRS-0715-21</t>
  </si>
  <si>
    <t>I Vicini Cortese Vin CEE White</t>
  </si>
  <si>
    <t>ZRS-0716-21</t>
  </si>
  <si>
    <t>La Tour Sarazine VDF White</t>
  </si>
  <si>
    <t>ZRS-0717-21</t>
  </si>
  <si>
    <t>Les Barrieux VDF White</t>
  </si>
  <si>
    <t>ZRS-0718-21</t>
  </si>
  <si>
    <t>ZRS-0719-21</t>
  </si>
  <si>
    <t>Les Oeillets VDF White</t>
  </si>
  <si>
    <t>ZRS-0719-21M</t>
  </si>
  <si>
    <t>ZRS-0720-19</t>
  </si>
  <si>
    <t>La Petite Robe VDF White</t>
  </si>
  <si>
    <t>ZRS-0720-19M</t>
  </si>
  <si>
    <t>ZRS-0721-19</t>
  </si>
  <si>
    <t>Vin de Lies VDF White</t>
  </si>
  <si>
    <t>ZRS-0721-NVM</t>
  </si>
  <si>
    <t>ZRS-0722-21</t>
  </si>
  <si>
    <t>I Vicini Grignolino Vin CEE Red</t>
  </si>
  <si>
    <t>ZRS-0723-21</t>
  </si>
  <si>
    <t>I Vicini Barbera Vin CEE Red</t>
  </si>
  <si>
    <t>ZRS-0724-19</t>
  </si>
  <si>
    <t>Le Pas de l`Ours VDF Red</t>
  </si>
  <si>
    <t>ZRS-0725-21</t>
  </si>
  <si>
    <t>Champs Levat VDF Red</t>
  </si>
  <si>
    <t>ZRS-0726-21M</t>
  </si>
  <si>
    <t>ZRS-0727-18</t>
  </si>
  <si>
    <t>ZRS-0728-18</t>
  </si>
  <si>
    <t>Cote Pelee VDF Red</t>
  </si>
  <si>
    <t>ZRS-0738-19</t>
  </si>
  <si>
    <t>ZRS-0739-NV</t>
  </si>
  <si>
    <t>Mademoiselle Germaine VDF Sparkling</t>
  </si>
  <si>
    <t>ZRS-0740-20</t>
  </si>
  <si>
    <t>Pierra Menta VDF White</t>
  </si>
  <si>
    <t>ZRS-0741-11</t>
  </si>
  <si>
    <t>Septaine 228 VDF White</t>
  </si>
  <si>
    <t>ZRS-0742-11</t>
  </si>
  <si>
    <t>Septaine Novembre VDF White</t>
  </si>
  <si>
    <t>I Vicini Reserve Vin CEE Red</t>
  </si>
  <si>
    <t>ZRS-0744-20</t>
  </si>
  <si>
    <t>Cassa Rossa VDF Red</t>
  </si>
  <si>
    <t>ZRS-0745-11</t>
  </si>
  <si>
    <t>Septaine 350 VDF White</t>
  </si>
  <si>
    <t>MAS GUALLAR</t>
  </si>
  <si>
    <t>6/750 mL</t>
  </si>
  <si>
    <t>ZRS-0607-21</t>
  </si>
  <si>
    <t>LES TETES</t>
  </si>
  <si>
    <t>ZRS-0730-22</t>
  </si>
  <si>
    <t>Tete Blanche VDF White</t>
  </si>
  <si>
    <t>ZRS-0732-22</t>
  </si>
  <si>
    <t>Tete Orange VDF White</t>
  </si>
  <si>
    <t>ZRS-0733-22</t>
  </si>
  <si>
    <t>Les Parcelles Tete Nat Orange VDF Sparkling</t>
  </si>
  <si>
    <t>CANTINA MARILINA</t>
  </si>
  <si>
    <t>ZRS-0364-21</t>
  </si>
  <si>
    <t>AZIENDA AGRICOLA CIRELLI</t>
  </si>
  <si>
    <t>ZRS-0579-22</t>
  </si>
  <si>
    <t>FRANK CORNELISSEN</t>
  </si>
  <si>
    <t>11-057-03-20</t>
  </si>
  <si>
    <t>Pistemutta Terre Siciliane Rose</t>
  </si>
  <si>
    <t>11-057-04-20</t>
  </si>
  <si>
    <t>Pistemutta Terre Siciliane Red</t>
  </si>
  <si>
    <t>ZRS-0145-19</t>
  </si>
  <si>
    <t>Magma Terre Siciliane Red</t>
  </si>
  <si>
    <t>2/3.0 L</t>
  </si>
  <si>
    <t>ZRS-0145-19M</t>
  </si>
  <si>
    <t>ZRS-0145-19R</t>
  </si>
  <si>
    <t>1/5.0 L</t>
  </si>
  <si>
    <t>ZRS-0147-19J</t>
  </si>
  <si>
    <t>ZRS-0147-19M</t>
  </si>
  <si>
    <t>ZRS-0148-19</t>
  </si>
  <si>
    <t>Munjebel CR Terre Siciliane Red</t>
  </si>
  <si>
    <t>ZRS-0149-19</t>
  </si>
  <si>
    <t>Munjebel FM Terre Siciliane Red</t>
  </si>
  <si>
    <t>ZRS-0149-19M</t>
  </si>
  <si>
    <t>ZRS-0150-19</t>
  </si>
  <si>
    <t>Munjebel MC Terre Siciliane Red</t>
  </si>
  <si>
    <t>ZRS-0150-19J</t>
  </si>
  <si>
    <t>ZRS-0150-19M</t>
  </si>
  <si>
    <t>ZRS-0151-21</t>
  </si>
  <si>
    <t>Munjebel Terre Siciliane Red</t>
  </si>
  <si>
    <t>MEINKLANG</t>
  </si>
  <si>
    <t>GERNOT &amp; HEINKE HEINRICH</t>
  </si>
  <si>
    <t>ZRS-0497-22</t>
  </si>
  <si>
    <t>Oh When the Saints Austria Sparkling</t>
  </si>
  <si>
    <t>ZRS-0692-22</t>
  </si>
  <si>
    <t>ZRS-0765-22</t>
  </si>
  <si>
    <t>KRISTINUS BORBIRTOK</t>
  </si>
  <si>
    <t>TARLLC</t>
  </si>
  <si>
    <t>ZRS-0695-21</t>
  </si>
  <si>
    <t>T01 Vayots Dzor Red</t>
  </si>
  <si>
    <t>ZRS-0703-20</t>
  </si>
  <si>
    <t>PINARD ET FILLES</t>
  </si>
  <si>
    <t>Chardonneret Quebec White</t>
  </si>
  <si>
    <t>Autoportrait Quebec Red</t>
  </si>
  <si>
    <t>PLEB URBAN WINERY</t>
  </si>
  <si>
    <t>United States</t>
  </si>
  <si>
    <t>ZRS-0688-NV</t>
  </si>
  <si>
    <t>True Player North Carolina Red</t>
  </si>
  <si>
    <t>ZRS-0689-NV</t>
  </si>
  <si>
    <t>Noble Carlos North Carolina Red</t>
  </si>
  <si>
    <t>ZRS-0690-NV</t>
  </si>
  <si>
    <t>Shuffle North Carolina Red</t>
  </si>
  <si>
    <t>ZRS-0691-NV</t>
  </si>
  <si>
    <t>Shuffle North Carolina Sparkling</t>
  </si>
  <si>
    <t>RUTH LEWANDOWSKI</t>
  </si>
  <si>
    <t>ZRS-0708-21</t>
  </si>
  <si>
    <t>ZRS-0710-21</t>
  </si>
  <si>
    <t>ZRS-0712-21</t>
  </si>
  <si>
    <t>Abandoned Meander California Rose</t>
  </si>
  <si>
    <t>ZRS-0729-22</t>
  </si>
  <si>
    <t>KALCHE WINE CO</t>
  </si>
  <si>
    <t>ZRS-0700-NV</t>
  </si>
  <si>
    <t>Cor Su Mains Vermont Red</t>
  </si>
  <si>
    <t>ZRS-0701-NV</t>
  </si>
  <si>
    <t>Cor Su Cirrus Vermont Sparkling</t>
  </si>
  <si>
    <t>ZRS-0702-NV</t>
  </si>
  <si>
    <t>Pou Fete La Vermont Sparkling</t>
  </si>
  <si>
    <t>24/355 mL</t>
  </si>
  <si>
    <t>MARGINS WINE</t>
  </si>
  <si>
    <t>ZRS-0685-22</t>
  </si>
  <si>
    <t>Pinot Noir Santa Cruz Red</t>
  </si>
  <si>
    <t>ZRS-0686-22</t>
  </si>
  <si>
    <t>Chenin Blanc Carmel Valley White</t>
  </si>
  <si>
    <t>GRAPE REPUBLIC</t>
  </si>
  <si>
    <t>ZRS-0627-21</t>
  </si>
  <si>
    <t>Aromatico Yamagata Sparkling</t>
  </si>
  <si>
    <t>ZRS-0628-21</t>
  </si>
  <si>
    <t>Rosa Frizzante Yamagata Sparkling</t>
  </si>
  <si>
    <t>ZRS-0629-21</t>
  </si>
  <si>
    <t>Bianco Yamagata White</t>
  </si>
  <si>
    <t>ZRS-0630-21</t>
  </si>
  <si>
    <t>Rosato Yamagata Rose</t>
  </si>
  <si>
    <t>ZRS-0631-21</t>
  </si>
  <si>
    <t>Rosso Yamagata Red</t>
  </si>
  <si>
    <t>Bailey A Yamagata Red</t>
  </si>
  <si>
    <t>ZRS-0633-21</t>
  </si>
  <si>
    <t>Nanyo Yamagata Cider</t>
  </si>
  <si>
    <t>25/330 mL</t>
  </si>
  <si>
    <t>ZRS-0634-21</t>
  </si>
  <si>
    <t>Anfora Rosso Yamagata Red</t>
  </si>
  <si>
    <t>ZRS-0635-21</t>
  </si>
  <si>
    <t>Arancione Yamagata White</t>
  </si>
  <si>
    <t>ZRS-0636-21</t>
  </si>
  <si>
    <t>Anfora Bianco Yamagata White</t>
  </si>
  <si>
    <t>ZRS SPIRITS INBOUNDS - UPDATED 10.16.23</t>
  </si>
  <si>
    <t>COUNTRY</t>
  </si>
  <si>
    <t>AVALLEN</t>
  </si>
  <si>
    <t>Calvados (PAPER BOTTLE)</t>
  </si>
  <si>
    <t>6/700 mL</t>
  </si>
  <si>
    <t>Calvados (GLASS BOTTLE)</t>
  </si>
  <si>
    <t>FREIMEISTER KOLLEKTIV</t>
  </si>
  <si>
    <t>ZR-FK-02-NV</t>
  </si>
  <si>
    <t>Stonsdorfer 031 Herbal Bitter Liqueur</t>
  </si>
  <si>
    <t>Rye 094</t>
  </si>
  <si>
    <t>9 GUARDIANES</t>
  </si>
  <si>
    <t>ZRS SAKE INBOUNDS - UPDATED 10.16.23</t>
  </si>
  <si>
    <t>6/1.8L</t>
  </si>
  <si>
    <t>12/720 mL</t>
  </si>
  <si>
    <t>ZRS19-1182-NV</t>
  </si>
  <si>
    <t>ZRS19-1184-NV</t>
  </si>
  <si>
    <t>Yama Osaka Sake</t>
  </si>
  <si>
    <t>6/720 mL</t>
  </si>
  <si>
    <t>ZRS19-1202-NV</t>
  </si>
  <si>
    <t>Yoigokochi Yuzu Hyogo Sake</t>
  </si>
  <si>
    <t>ZRS22-0172-MNV</t>
  </si>
  <si>
    <t>ZRS19-1189-NV</t>
  </si>
  <si>
    <t>ZRS21-0006-NVX20</t>
  </si>
  <si>
    <t>Hanatomoe Nature x Nature Nara Sake</t>
  </si>
  <si>
    <t>20/500 mL</t>
  </si>
  <si>
    <t>ZRS21-0007-NV</t>
  </si>
  <si>
    <t>ZRS19-1174-NV</t>
  </si>
  <si>
    <t>ZRS19-1174MNV</t>
  </si>
  <si>
    <t>10/720 mL</t>
  </si>
  <si>
    <t>ZRS19-1175-NV</t>
  </si>
  <si>
    <t>Daigo No Shizuku Chiba Sake</t>
  </si>
  <si>
    <t>ZRS19-1176-NV</t>
  </si>
  <si>
    <t>Kaikoshu Chiba Sake</t>
  </si>
  <si>
    <t>ZRS19-1178-NV</t>
  </si>
  <si>
    <t>ZRS21-0003-MNV</t>
  </si>
  <si>
    <t>Furosen Wataribune Shiga Sake</t>
  </si>
  <si>
    <t>ZRS21-0003-NV</t>
  </si>
  <si>
    <t>MAX WINE INBOUNDS - UPDATED 05.17.23</t>
  </si>
  <si>
    <t>CHAMPAGNE BAUDOUIN</t>
  </si>
  <si>
    <t>MAX22-0030-NV</t>
  </si>
  <si>
    <t>Cuvee Prestige Champagne</t>
  </si>
  <si>
    <t>CHATEAU L`ESCART</t>
  </si>
  <si>
    <t>MAX-0058-21</t>
  </si>
  <si>
    <t>Cuvee Eden Bordeaux Superieur Red</t>
  </si>
  <si>
    <t>tbd</t>
  </si>
  <si>
    <t>CHATEAU LE BERGEY</t>
  </si>
  <si>
    <t>MAX-0036-22</t>
  </si>
  <si>
    <t>Bordeaux Red</t>
  </si>
  <si>
    <t>DOMAINE DE GRISY</t>
  </si>
  <si>
    <t>MAX-0033-21</t>
  </si>
  <si>
    <t>MAX-0039-22</t>
  </si>
  <si>
    <t>DOMAINE DE LA CHEVALERIE</t>
  </si>
  <si>
    <t>MAX-0012-20</t>
  </si>
  <si>
    <t>Bulle de Fort VDF Sparkling</t>
  </si>
  <si>
    <t>MAX-0032-18</t>
  </si>
  <si>
    <t>Chevalerie Bourgueil Red</t>
  </si>
  <si>
    <t>MAX-0034-18</t>
  </si>
  <si>
    <t>Busardieres Bourgueil Red</t>
  </si>
  <si>
    <t>MAX-0045-14</t>
  </si>
  <si>
    <t>Peu Muleau Bourgueil Red</t>
  </si>
  <si>
    <t>MAX-0046-15</t>
  </si>
  <si>
    <t>Galichet Bourgueil Red</t>
  </si>
  <si>
    <t>MAX-0047-14</t>
  </si>
  <si>
    <t>Breteche Bourgueil Red</t>
  </si>
  <si>
    <t>MAX-0047-15</t>
  </si>
  <si>
    <t>MAX22-0034-17</t>
  </si>
  <si>
    <t>MX-CH-01-19</t>
  </si>
  <si>
    <t>Diptyque Franco de Porc Bourgeuil Red</t>
  </si>
  <si>
    <t>DOMAINE DU JAS</t>
  </si>
  <si>
    <t>MAX-0055-21</t>
  </si>
  <si>
    <t>Cuvee Prestige Cotes du Rhone Red</t>
  </si>
  <si>
    <t>DOMAINE GONZAGUE MAURICE</t>
  </si>
  <si>
    <t>MAX-0048-20</t>
  </si>
  <si>
    <t>Le Pavillon de Saint Jacques Lalande de Pomerol Red</t>
  </si>
  <si>
    <t>MAX-0049-19</t>
  </si>
  <si>
    <t>La Petite Tour Montagne Saint Emilion Red</t>
  </si>
  <si>
    <t>FABIEN JOUVES</t>
  </si>
  <si>
    <t>MAX-0006-22</t>
  </si>
  <si>
    <t>Haute Cot(e) de Fruit Cahors Red</t>
  </si>
  <si>
    <t>MAX-0027-22</t>
  </si>
  <si>
    <t>A Table VDF Rose</t>
  </si>
  <si>
    <t>MAX-0031-22</t>
  </si>
  <si>
    <t>Tu Vin Plus Aux Soirees VDF Red</t>
  </si>
  <si>
    <t>MAX-0037-22</t>
  </si>
  <si>
    <t>Nectar Des Dieux VDF Red</t>
  </si>
  <si>
    <t>MAX-0038-22</t>
  </si>
  <si>
    <t>Nectar Des Dieux VDF White</t>
  </si>
  <si>
    <t>MAX-0057-22</t>
  </si>
  <si>
    <t>Mas del Perie La Roque Cahors Red</t>
  </si>
  <si>
    <t>MAX22-0017-21</t>
  </si>
  <si>
    <t>Les Agudes VDF White</t>
  </si>
  <si>
    <t>FRANCK GIVAUDIN</t>
  </si>
  <si>
    <t>MAX-0015-21</t>
  </si>
  <si>
    <t>Irancy Red</t>
  </si>
  <si>
    <t>LES 3 DOMAINES</t>
  </si>
  <si>
    <t>MAX22-0050-21</t>
  </si>
  <si>
    <t>Cotes de Gascogne IGP White</t>
  </si>
  <si>
    <t>MANOLINE</t>
  </si>
  <si>
    <t>MAX-0017-22</t>
  </si>
  <si>
    <t>Sancerre White</t>
  </si>
  <si>
    <t>MERCIER-VALLEE</t>
  </si>
  <si>
    <t>MAX-0051-21</t>
  </si>
  <si>
    <t>La Closerie Imaginaire Touraine AOC White</t>
  </si>
  <si>
    <t>SAVATIER SELECTION</t>
  </si>
  <si>
    <t>MAX-0035-22</t>
  </si>
  <si>
    <t>Teres Antiques VDP de Mediterranee Rose</t>
  </si>
  <si>
    <t>THIERRY CHARDON</t>
  </si>
  <si>
    <t>MAX-0025-22</t>
  </si>
  <si>
    <t>Les Chardons Touraine Red</t>
  </si>
  <si>
    <t>MAX-0026-21</t>
  </si>
  <si>
    <t>Les Chardons Touraine White</t>
  </si>
  <si>
    <t>VIGNOBLE DINOCHEAU</t>
  </si>
  <si>
    <t>MAX-0052-21</t>
  </si>
  <si>
    <t>Les Cots Touraine Red</t>
  </si>
  <si>
    <t>MAX-0053-22</t>
  </si>
  <si>
    <t>Pineau D`Aunis VDF Red</t>
  </si>
  <si>
    <t>MAX-0054-21</t>
  </si>
  <si>
    <t>Grolleau Touraine Red</t>
  </si>
  <si>
    <t>VIGNOBLES SIOZARD</t>
  </si>
  <si>
    <t>MAX-0016-22</t>
  </si>
  <si>
    <t>Chateau du Claouset Bordeaux White</t>
  </si>
  <si>
    <t>CORTE FALCO</t>
  </si>
  <si>
    <t>MAX-0050-22</t>
  </si>
  <si>
    <t>Pinot Grigio Veneto White</t>
  </si>
  <si>
    <t>GIUSEPPE PARUSSA</t>
  </si>
  <si>
    <t>MAX-0044-21</t>
  </si>
  <si>
    <t>Roero White</t>
  </si>
  <si>
    <r>
      <rPr>
        <b/>
        <sz val="29"/>
        <color rgb="FFB41700"/>
        <rFont val="Verdana"/>
        <family val="2"/>
      </rPr>
      <t xml:space="preserve">
</t>
    </r>
    <r>
      <rPr>
        <b/>
        <sz val="68"/>
        <color theme="1"/>
        <rFont val="Verdana"/>
        <family val="2"/>
      </rPr>
      <t>ZRS SPIRITS</t>
    </r>
    <r>
      <rPr>
        <b/>
        <sz val="61"/>
        <color theme="1"/>
        <rFont val="Verdana"/>
        <family val="2"/>
      </rPr>
      <t xml:space="preserve"> National</t>
    </r>
  </si>
  <si>
    <t>NATURAL - Organic Agriculture, Native Yeast, Unadulterated Bottling</t>
  </si>
  <si>
    <t xml:space="preserve">ORGANIC - Organic Agriculture </t>
  </si>
  <si>
    <t xml:space="preserve">SOCIAL SUSTAINABILITY - Majority BIPOC and/or LQBTQIA and/or Woman Owned </t>
  </si>
  <si>
    <t xml:space="preserve">COOPERATIVE / COLLECTIVE - Cooperative Distilling and/or Economics </t>
  </si>
  <si>
    <t>Btls/Cs</t>
  </si>
  <si>
    <t>ML</t>
  </si>
  <si>
    <t xml:space="preserve">Pricing </t>
  </si>
  <si>
    <t>EU</t>
  </si>
  <si>
    <t xml:space="preserve">Freimeister Kollective </t>
  </si>
  <si>
    <t xml:space="preserve">Wermut Uhudler 017 Sweet Vermouth NV, Styria </t>
  </si>
  <si>
    <t xml:space="preserve">Stonsdorfer 031 Herbal Bitter Liqueur NV, Styria </t>
  </si>
  <si>
    <t xml:space="preserve">Speckbirne 302 Pear Wine NV, Germany </t>
  </si>
  <si>
    <t xml:space="preserve">Haselnuss, Wacholder 051 Hazlenut &amp; Juniper Spirit NV, Bavarian Forest </t>
  </si>
  <si>
    <t>Doppelwacholder 052 Juniper Spirit NV, Bavarian Forest</t>
  </si>
  <si>
    <t xml:space="preserve">Rye 094 NV, Germany </t>
  </si>
  <si>
    <t>ZR-FK-07-NV</t>
  </si>
  <si>
    <t xml:space="preserve">Cassis 775 Liqueur NV, Germany </t>
  </si>
  <si>
    <t xml:space="preserve">O.B.W. Aperitif Liqueur NV, Germany France + Spain </t>
  </si>
  <si>
    <t xml:space="preserve">Wodka Sangaste 800 Vodka Winter-Rye NV, Estonia </t>
  </si>
  <si>
    <t xml:space="preserve">Rhabarber 960 Rhubarb Liqueur NV, Germany </t>
  </si>
  <si>
    <t xml:space="preserve">Gondo AB Coffee Spirit, Germany + Kenya </t>
  </si>
  <si>
    <t>Volcan Azul Cold Brew Spirit, Germany + Costa Rica</t>
  </si>
  <si>
    <t>BRUNNWALD FOREST</t>
  </si>
  <si>
    <t>FERNET HUNTER</t>
  </si>
  <si>
    <t>ZRS22-0225-NV</t>
  </si>
  <si>
    <t>Fernet Hunter Austria Bitters NV</t>
  </si>
  <si>
    <t>ZRS22-0226-NV</t>
  </si>
  <si>
    <t>Fernet Hunter Granit Austria Bitters NV</t>
  </si>
  <si>
    <t>MOSTVIERTEL</t>
  </si>
  <si>
    <t>ST. JAMES</t>
  </si>
  <si>
    <t>THE SINGLE APPLE COMPANY</t>
  </si>
  <si>
    <t>ZRS-060</t>
  </si>
  <si>
    <t>Apple Gin NV</t>
  </si>
  <si>
    <t>ZRS-061</t>
  </si>
  <si>
    <t>Calvados NV</t>
  </si>
  <si>
    <t>FAUGÈRES</t>
  </si>
  <si>
    <t>L'ATELIER DU BOUILLEUR</t>
  </si>
  <si>
    <t>UNION DES DISTILLERIE DE LA MÉDITERRANÉE</t>
  </si>
  <si>
    <t>ZR-AB-01-10</t>
  </si>
  <si>
    <t>Fine Faugeres XO Eau de Vie 2010</t>
  </si>
  <si>
    <t>ZR-AB-02-NV</t>
  </si>
  <si>
    <t>GN NV</t>
  </si>
  <si>
    <t>ZR-AB-03-NV</t>
  </si>
  <si>
    <t>Esprit du Midi NV</t>
  </si>
  <si>
    <t>NORMANDY</t>
  </si>
  <si>
    <t>Calvados NV (GLASS BOTTLE)</t>
  </si>
  <si>
    <t>Calvados NV (PAPER BOTTLE)</t>
  </si>
  <si>
    <t>VAUVERT</t>
  </si>
  <si>
    <t>COEUR DE CUIVRE</t>
  </si>
  <si>
    <t>ZR-CV-02-NV</t>
  </si>
  <si>
    <t>Changing Color NV</t>
  </si>
  <si>
    <t>MONTPELLIER</t>
  </si>
  <si>
    <t>LA THÉRIAQUE SPIRITUEUX</t>
  </si>
  <si>
    <t>Garrigue NV</t>
  </si>
  <si>
    <t>Pic-Pic NV</t>
  </si>
  <si>
    <t>COLLIOURE</t>
  </si>
  <si>
    <t>NENU</t>
  </si>
  <si>
    <t>ZRS22-0484-NV</t>
  </si>
  <si>
    <t>Brandy NV</t>
  </si>
  <si>
    <t>PUEBLA</t>
  </si>
  <si>
    <t>ZINACANTAN</t>
  </si>
  <si>
    <t>ZRS-0217</t>
  </si>
  <si>
    <t>Papalometl Mezcal NV</t>
  </si>
  <si>
    <t>ZRS-0216</t>
  </si>
  <si>
    <t>Espadilla Mezcal NV</t>
  </si>
  <si>
    <t>ZRS-0218</t>
  </si>
  <si>
    <t>Pechuga Mezcal NV</t>
  </si>
  <si>
    <t>ZRS-0240</t>
  </si>
  <si>
    <t>Naranja Mezcal NV</t>
  </si>
  <si>
    <t>GUERRERO</t>
  </si>
  <si>
    <t>ALTIVA</t>
  </si>
  <si>
    <t>ZRS-AV-06</t>
  </si>
  <si>
    <t>Cupreata NV</t>
  </si>
  <si>
    <t>SOLA DEL VEGA, OAX</t>
  </si>
  <si>
    <t>VEINTIOCHO (28)</t>
  </si>
  <si>
    <t>ZRS-AV-01</t>
  </si>
  <si>
    <t>Espadin NV</t>
  </si>
  <si>
    <t>ZRS-AV-02</t>
  </si>
  <si>
    <t>Tepeztate NV</t>
  </si>
  <si>
    <t>ZRS-AV-03</t>
  </si>
  <si>
    <t>Mexicano NV</t>
  </si>
  <si>
    <t>ZRS-AV-04</t>
  </si>
  <si>
    <t>Arroqueno NV</t>
  </si>
  <si>
    <t>OCOTEPEC, OAX</t>
  </si>
  <si>
    <t>LA PALENQUERITA</t>
  </si>
  <si>
    <t>ZRS-0369-NV</t>
  </si>
  <si>
    <t>Tepeztate Mezcal NV</t>
  </si>
  <si>
    <t>ZRS-0370-NV</t>
  </si>
  <si>
    <t>Tobala Mezcal NV</t>
  </si>
  <si>
    <t>MIAHUTALAN, OAX</t>
  </si>
  <si>
    <t>SANTO LLANTO</t>
  </si>
  <si>
    <t>Madrecuixe Mezcal NV</t>
  </si>
  <si>
    <t>Tepextate Mezcal NV</t>
  </si>
  <si>
    <t>BRAZIL</t>
  </si>
  <si>
    <t>IVOTI</t>
  </si>
  <si>
    <t>JAMBUZERA</t>
  </si>
  <si>
    <t>AIURUOCA</t>
  </si>
  <si>
    <r>
      <rPr>
        <b/>
        <sz val="10"/>
        <color theme="1"/>
        <rFont val="Calibri"/>
        <family val="2"/>
      </rPr>
      <t>TIE CACHAÇA</t>
    </r>
    <r>
      <rPr>
        <sz val="10"/>
        <color theme="1"/>
        <rFont val="Calibri"/>
        <family val="2"/>
      </rPr>
      <t xml:space="preserve"> </t>
    </r>
  </si>
  <si>
    <t>CARIBBEAN</t>
  </si>
  <si>
    <t xml:space="preserve">Tiba Panama Rum </t>
  </si>
  <si>
    <t>ZR-TA-01-09</t>
  </si>
  <si>
    <t>Sawaku Bielle Rhum Agricole 2009</t>
  </si>
  <si>
    <t>ZR-TA-02-13</t>
  </si>
  <si>
    <t>Hiali Pere Labat Rhum Agricole 2013</t>
  </si>
  <si>
    <t>LANGONE, HAITI</t>
  </si>
  <si>
    <t>NAVET 1804</t>
  </si>
  <si>
    <t>ZRS-0556-NV</t>
  </si>
  <si>
    <t>Jus De Canne Haitian RUm</t>
  </si>
  <si>
    <t>ZRS-0557-NV</t>
  </si>
  <si>
    <t>Sirop De Canne Haitian RUm</t>
  </si>
  <si>
    <t>ZRS-0558-NV</t>
  </si>
  <si>
    <t>Sirop Vielli Haitian Rum</t>
  </si>
  <si>
    <t>USA</t>
  </si>
  <si>
    <t>STRIPED LION</t>
  </si>
  <si>
    <t>ZR-SL-01-NV</t>
  </si>
  <si>
    <t>Signature Rum NV</t>
  </si>
  <si>
    <t>ZR-SL-02-NV</t>
  </si>
  <si>
    <t>Overproof Rum NV</t>
  </si>
  <si>
    <t>ZR-SL-04-NV</t>
  </si>
  <si>
    <t>Cocoa Rum NV</t>
  </si>
  <si>
    <t>ZR-SL-05-NV</t>
  </si>
  <si>
    <t>Citrus Rum NV</t>
  </si>
  <si>
    <t>ZR-SL-06-NV</t>
  </si>
  <si>
    <t>Spiced Rum NV</t>
  </si>
  <si>
    <t>NEW YORK</t>
  </si>
  <si>
    <t>C. CASSIS</t>
  </si>
  <si>
    <t>Sparkling Blackcurrant Aperitif NV</t>
  </si>
  <si>
    <t>ZRS-059</t>
  </si>
  <si>
    <t>Cassis</t>
  </si>
  <si>
    <t>ZR-CC-03-NV</t>
  </si>
  <si>
    <t>MAINE</t>
  </si>
  <si>
    <t>R A S WINES</t>
  </si>
  <si>
    <t>ZRS22-0089-20</t>
  </si>
  <si>
    <t>A7 Americano Blueberry Bitter 2020</t>
  </si>
  <si>
    <t>ZRS SAKE / SOOL NATIONAL PRICEBOOK   -   ORDER DEADLINE 1PM   -   MIKEY@ZRSWINES.COM  -   413-854-1819  -   ZRSWINES.COM</t>
  </si>
  <si>
    <t>DESCRIPTION</t>
  </si>
  <si>
    <t>INGREDIENTS / TECHNICAL DETAILS</t>
  </si>
  <si>
    <t>VINTAGE</t>
  </si>
  <si>
    <t>PACK</t>
  </si>
  <si>
    <t>SIZE</t>
  </si>
  <si>
    <t>FOB</t>
  </si>
  <si>
    <t>STATUS</t>
  </si>
  <si>
    <t>CHIBA</t>
  </si>
  <si>
    <t>TERADA HONKE (Masaru Terada, Toji / Kuramoto)</t>
  </si>
  <si>
    <t>ZRS-1477-NV</t>
  </si>
  <si>
    <t>"Katori 80" Junmai Sake</t>
  </si>
  <si>
    <t>koshi-hikari, yukigeshō; kimoto, muroka, namagenshu</t>
  </si>
  <si>
    <t>"Katori 90" Junmai Sake</t>
  </si>
  <si>
    <t>"Katori 90" Junmai Sake MAG</t>
  </si>
  <si>
    <t>1800ml</t>
  </si>
  <si>
    <t>"Daigo no Shizuku" Junmai Sake</t>
  </si>
  <si>
    <t>koshi-hikari, yukigesho; bodaimoto, muroka, namagenshu</t>
  </si>
  <si>
    <t>ZRS19-1179-NV</t>
  </si>
  <si>
    <t>"Musubi" Junmai Sake (unpolished rice)</t>
  </si>
  <si>
    <t>kimoto, muroka, namagenshu</t>
  </si>
  <si>
    <t>ZRS19-110-NV</t>
  </si>
  <si>
    <t>"Gonin musumue" Junmai Sake</t>
  </si>
  <si>
    <t>miyamanishiki, dewasansan; kimoto, muroka, genshu</t>
  </si>
  <si>
    <t>"Shizen no Manma" Junmai Sake</t>
  </si>
  <si>
    <t>miyamanishiki, dewasansan; kimoto, muroka, namagenshu</t>
  </si>
  <si>
    <t>ZRS19-1180MNV</t>
  </si>
  <si>
    <t>"Shizen no Manma" Junmai Sake MAG</t>
  </si>
  <si>
    <t>"Kaikoshu" Junmai Koshu Sake</t>
  </si>
  <si>
    <t>miyama nishiki, koshi-hikari; kimoto, muroka, genshu</t>
  </si>
  <si>
    <t>KIDOIZUMI SHUZO (Hayato Shoji, Toji / Kuramoto)</t>
  </si>
  <si>
    <t>"Shizenmai sparkling" Junmai sake 355mls</t>
  </si>
  <si>
    <t>hanafubuki;'hot' yamahai, muroka, namagenshu, 2nd fermentation in bottle</t>
  </si>
  <si>
    <t>"Shizenmai sparkling" Junmai sake</t>
  </si>
  <si>
    <t>Hanafubuki Junmai Sake</t>
  </si>
  <si>
    <t>hanafubuki; 'hot' yamahai, muroka, namagenshu</t>
  </si>
  <si>
    <t>"Gold Label" Yamadanishiki Junmai Sake</t>
  </si>
  <si>
    <t>yamadanishiki; 'hot' yamahai, muroka, namagenshu</t>
  </si>
  <si>
    <t>ZRS19-1188MNV</t>
  </si>
  <si>
    <t>"Gold Label" Yamadanishiki Junmai Sake MAG</t>
  </si>
  <si>
    <t>"Kokin" Junmai Ginjo Koshu Sake</t>
  </si>
  <si>
    <t>yamadanishiki; 'hot' yamahai, genshu</t>
  </si>
  <si>
    <t>HYOGO</t>
  </si>
  <si>
    <t>MIYAKO-BIJIN (Kunihiro Yamauchi, Toji)</t>
  </si>
  <si>
    <t>Yoigokochi Yuzu-sake</t>
  </si>
  <si>
    <t>junmai, yamahai sake infused with yuzu</t>
  </si>
  <si>
    <t>"Usagi" Namagenshu</t>
  </si>
  <si>
    <t>table rice; junmai, yamahai, muroka, namagenshu</t>
  </si>
  <si>
    <t>"Usagi" Namagenshu MAG</t>
  </si>
  <si>
    <t xml:space="preserve">KAMEMAN SHUZO </t>
  </si>
  <si>
    <t>Genmaishu 500mL</t>
  </si>
  <si>
    <t>unpolished reiho (brown rice); junmai, genmai-zake</t>
  </si>
  <si>
    <t>KYOTO</t>
  </si>
  <si>
    <t>MUKAI SHUZO (Kuniko Mukai, Toji; Yoshihisa Mukai, Kuramoto)</t>
  </si>
  <si>
    <t>"Kyō no Haru" Nigori Junmai Sake</t>
  </si>
  <si>
    <t>kyō no kagayaki; muroka, namagenshu</t>
  </si>
  <si>
    <t>ZRS19-1173-MNV</t>
  </si>
  <si>
    <t>"Ine Mankai" Junmai Sake</t>
  </si>
  <si>
    <t>murasaki komachi (red rice), kyō no kagayaki; genshu</t>
  </si>
  <si>
    <t>"Ine Mankai" Junmai Sake MAG</t>
  </si>
  <si>
    <t>OSAKA</t>
  </si>
  <si>
    <t>AKISHIKA SHUZO (Hiroaki Oku, Toji / Kuramoto)</t>
  </si>
  <si>
    <t>"Yama" Junmai Sake</t>
  </si>
  <si>
    <t>yamada nishiki; yamahai, muroka, namagenshu</t>
  </si>
  <si>
    <t>ZRS19-1184MNV</t>
  </si>
  <si>
    <t>"Yama" Junmai Sake MAG</t>
  </si>
  <si>
    <t>ZRS19-1183-NV</t>
  </si>
  <si>
    <t>Omachi Junmai Sake</t>
  </si>
  <si>
    <t>omachi; yamahai, muroka, namagenshu</t>
  </si>
  <si>
    <t>Omachi Junmai Sake MAG</t>
  </si>
  <si>
    <t>Chokarakuchi Jumai Ginjo Sake</t>
  </si>
  <si>
    <t>Chokarakuchi Jumai Ginjo Sake MAG</t>
  </si>
  <si>
    <t>"Okushika" Junmai Ginjo Sake</t>
  </si>
  <si>
    <t>"Okushika" Junmai Ginjo Sake MAG</t>
  </si>
  <si>
    <t>"Black Moheji" Junmai Ginjo Sake</t>
  </si>
  <si>
    <t>omachi (single rice paddy); kimoto, muroka, namagenshu</t>
  </si>
  <si>
    <t>NARA</t>
  </si>
  <si>
    <t>MIYOSHINO JOZO (Teruaki Hashimoto, Toji)</t>
  </si>
  <si>
    <t>"Hanatomoe - Mizumoto" Junmai Sake</t>
  </si>
  <si>
    <t>gin no sato; muroka, genshu, mizumoto (bodaimoto)</t>
  </si>
  <si>
    <t>"Hanatomoe - Mizumoto" Junmai Sake MAG</t>
  </si>
  <si>
    <t>"Hanatomoe - Usunigori" Junmai Ginjo Sake</t>
  </si>
  <si>
    <t>gin no sato, gohyakumangoku, hitogokochi; yamahai, muroka, namagenshu</t>
  </si>
  <si>
    <t>"Hanatomoe - Tarumaru" Junmai Taruzake</t>
  </si>
  <si>
    <t>gin no sato; yamahai, muroka, namagenshu</t>
  </si>
  <si>
    <t>"Hanatomoe - Nature x Nature" Junmai Kijoshu Sake</t>
  </si>
  <si>
    <t>gin no sato; kimoto, kijoshu</t>
  </si>
  <si>
    <t>SHIGA</t>
  </si>
  <si>
    <t>OTA SHUZO (new!)</t>
  </si>
  <si>
    <t>ZRS-1363-NV</t>
  </si>
  <si>
    <t>Yoigokochi Yuzu</t>
  </si>
  <si>
    <t>"Dokan" Umeshu</t>
  </si>
  <si>
    <t>sake infused with ume fruit and korizato sugar</t>
  </si>
  <si>
    <t>"Kokoro" Junmai sake</t>
  </si>
  <si>
    <t>Tamazakae; muroka nama genshu</t>
  </si>
  <si>
    <t>"Kokoro cup" Junmai Sake</t>
  </si>
  <si>
    <t>"Dokan Fujikura" Junmai Daiginjo</t>
  </si>
  <si>
    <t>Yamadanishiki; muroka nama genshu</t>
  </si>
  <si>
    <t>UEHARA SHUZO (Isao Uehara, Kuramoto)</t>
  </si>
  <si>
    <t>ZRS-1432-NV</t>
  </si>
  <si>
    <t>Furosen - Nakagumi" Shiga Sake</t>
  </si>
  <si>
    <t>more info coming soon</t>
  </si>
  <si>
    <t>Furosen - Kameno-o' Shiga Sake</t>
  </si>
  <si>
    <t>ZRS-1433-NVM</t>
  </si>
  <si>
    <t>Furosen - Kameno-o' Shiga Sake MAG</t>
  </si>
  <si>
    <t>"Furosen - Usunigori" Junmai Ginjo Sake</t>
  </si>
  <si>
    <t>yamadanishiki; yamahai, namagenshu, usunigori</t>
  </si>
  <si>
    <t>"Furosen - Usunigori" Junmai Ginjo Sake MAG</t>
  </si>
  <si>
    <t>"Furosen - Wataribune" Junmai Ginjo Sake</t>
  </si>
  <si>
    <t>wataribune; yamahai, muroka, namagenshu</t>
  </si>
  <si>
    <t>"Furosen - Wataribune" Junmai Ginjo Sake MAG</t>
  </si>
  <si>
    <t>SHIZUOKA</t>
  </si>
  <si>
    <t xml:space="preserve">SUGII SHUZO (Kinnosuke Sugii, Toji / Kuramoto) </t>
  </si>
  <si>
    <t>"Suginishiki Tamasakae" Junmai Sake</t>
  </si>
  <si>
    <t>tamazakae; yamahai</t>
  </si>
  <si>
    <t>"Suginishiki Tamasakae" Junmai Sake MAG</t>
  </si>
  <si>
    <t>"Suginishiki Kimoto 90" Junmai Sake</t>
  </si>
  <si>
    <t>sasanishiki; kimoto</t>
  </si>
  <si>
    <t>GLOSSARY OF SAKE TERMS</t>
  </si>
  <si>
    <r>
      <rPr>
        <b/>
        <sz val="9"/>
        <color rgb="FF000000"/>
        <rFont val="Helvetica Neue"/>
        <family val="2"/>
      </rPr>
      <t>Bodaimoto</t>
    </r>
    <r>
      <rPr>
        <sz val="9"/>
        <color rgb="FF000000"/>
        <rFont val="Helvetica Neue"/>
        <family val="2"/>
      </rPr>
      <t xml:space="preserve"> – medieval starter method developed by Buddhist Monks – rice is soaked in water before being steamed, a portion inoculated with kōji, and added to the moto</t>
    </r>
  </si>
  <si>
    <r>
      <rPr>
        <b/>
        <sz val="9"/>
        <color rgb="FF000000"/>
        <rFont val="Helvetica Neue"/>
        <family val="2"/>
      </rPr>
      <t>Ginjō</t>
    </r>
    <r>
      <rPr>
        <sz val="9"/>
        <color rgb="FF000000"/>
        <rFont val="Helvetica Neue"/>
        <family val="2"/>
      </rPr>
      <t xml:space="preserve"> – rice polished to 60% or less</t>
    </r>
  </si>
  <si>
    <r>
      <rPr>
        <b/>
        <sz val="9"/>
        <color rgb="FF000000"/>
        <rFont val="Helvetica Neue"/>
        <family val="2"/>
      </rPr>
      <t>Daiginjō</t>
    </r>
    <r>
      <rPr>
        <sz val="9"/>
        <color rgb="FF000000"/>
        <rFont val="Helvetica Neue"/>
        <family val="2"/>
      </rPr>
      <t xml:space="preserve"> – rice polished to 50% or less</t>
    </r>
  </si>
  <si>
    <r>
      <rPr>
        <b/>
        <sz val="9"/>
        <color rgb="FF000000"/>
        <rFont val="Helvetica Neue"/>
        <family val="2"/>
      </rPr>
      <t>Genshu</t>
    </r>
    <r>
      <rPr>
        <sz val="9"/>
        <color rgb="FF000000"/>
        <rFont val="Helvetica Neue"/>
        <family val="2"/>
      </rPr>
      <t xml:space="preserve"> – undiluted sake</t>
    </r>
  </si>
  <si>
    <r>
      <rPr>
        <b/>
        <sz val="9"/>
        <color rgb="FF000000"/>
        <rFont val="Helvetica Neue"/>
        <family val="2"/>
      </rPr>
      <t>Junmai / junmaishu</t>
    </r>
    <r>
      <rPr>
        <sz val="9"/>
        <color rgb="FF000000"/>
        <rFont val="Helvetica Neue"/>
        <family val="2"/>
      </rPr>
      <t xml:space="preserve"> – 100% pure rice sake (no added alcohol)</t>
    </r>
  </si>
  <si>
    <r>
      <rPr>
        <b/>
        <sz val="9"/>
        <color rgb="FF000000"/>
        <rFont val="Helvetica Neue"/>
        <family val="2"/>
      </rPr>
      <t>Kimoto</t>
    </r>
    <r>
      <rPr>
        <sz val="9"/>
        <color rgb="FF000000"/>
        <rFont val="Helvetica Neue"/>
        <family val="2"/>
      </rPr>
      <t xml:space="preserve"> – ancient starter method in which steamed rice, water, and kōji is mashed into a puree with long wooden poles and fermented for 30-40 days until the moto is ready</t>
    </r>
  </si>
  <si>
    <r>
      <rPr>
        <b/>
        <sz val="9"/>
        <color rgb="FF000000"/>
        <rFont val="Helvetica Neue"/>
        <family val="2"/>
      </rPr>
      <t>Kōji</t>
    </r>
    <r>
      <rPr>
        <sz val="9"/>
        <color rgb="FF000000"/>
        <rFont val="Helvetica Neue"/>
        <family val="2"/>
      </rPr>
      <t xml:space="preserve"> – rice mold used to convert starch into sugar</t>
    </r>
  </si>
  <si>
    <r>
      <rPr>
        <b/>
        <sz val="9"/>
        <color rgb="FF000000"/>
        <rFont val="Helvetica Neue"/>
        <family val="2"/>
      </rPr>
      <t>Kura</t>
    </r>
    <r>
      <rPr>
        <sz val="9"/>
        <color rgb="FF000000"/>
        <rFont val="Helvetica Neue"/>
        <family val="2"/>
      </rPr>
      <t xml:space="preserve"> – sake brewery</t>
    </r>
  </si>
  <si>
    <r>
      <rPr>
        <b/>
        <sz val="9"/>
        <color rgb="FF000000"/>
        <rFont val="Helvetica Neue"/>
        <family val="2"/>
      </rPr>
      <t>Kuramoto</t>
    </r>
    <r>
      <rPr>
        <sz val="9"/>
        <color rgb="FF000000"/>
        <rFont val="Helvetica Neue"/>
        <family val="2"/>
      </rPr>
      <t xml:space="preserve"> – brewery owner</t>
    </r>
  </si>
  <si>
    <r>
      <rPr>
        <b/>
        <sz val="9"/>
        <color rgb="FF000000"/>
        <rFont val="Helvetica Neue"/>
        <family val="2"/>
      </rPr>
      <t>Muroka</t>
    </r>
    <r>
      <rPr>
        <sz val="9"/>
        <color rgb="FF000000"/>
        <rFont val="Helvetica Neue"/>
        <family val="2"/>
      </rPr>
      <t xml:space="preserve"> – no carbon filtration</t>
    </r>
  </si>
  <si>
    <r>
      <rPr>
        <b/>
        <sz val="9"/>
        <color rgb="FF000000"/>
        <rFont val="Helvetica Neue"/>
        <family val="2"/>
      </rPr>
      <t>Nama</t>
    </r>
    <r>
      <rPr>
        <sz val="9"/>
        <color rgb="FF000000"/>
        <rFont val="Helvetica Neue"/>
        <family val="2"/>
      </rPr>
      <t xml:space="preserve"> – unpasteurized sake</t>
    </r>
  </si>
  <si>
    <r>
      <rPr>
        <b/>
        <sz val="9"/>
        <color rgb="FF000000"/>
        <rFont val="Helvetica Neue"/>
        <family val="2"/>
      </rPr>
      <t>Shubo (moto)</t>
    </r>
    <r>
      <rPr>
        <sz val="9"/>
        <color rgb="FF000000"/>
        <rFont val="Helvetica Neue"/>
        <family val="2"/>
      </rPr>
      <t xml:space="preserve"> – yeast starter comprised of rice, water, yeast, and native or added lactic acid</t>
    </r>
  </si>
  <si>
    <r>
      <rPr>
        <b/>
        <sz val="9"/>
        <color rgb="FF000000"/>
        <rFont val="Helvetica Neue"/>
        <family val="2"/>
      </rPr>
      <t>Tōji</t>
    </r>
    <r>
      <rPr>
        <sz val="9"/>
        <color rgb="FF000000"/>
        <rFont val="Helvetica Neue"/>
        <family val="2"/>
      </rPr>
      <t xml:space="preserve"> – master brewer of a kura</t>
    </r>
  </si>
  <si>
    <r>
      <rPr>
        <b/>
        <sz val="9"/>
        <color rgb="FF000000"/>
        <rFont val="Helvetica Neue"/>
        <family val="2"/>
      </rPr>
      <t>Yamahai</t>
    </r>
    <r>
      <rPr>
        <sz val="9"/>
        <color rgb="FF000000"/>
        <rFont val="Helvetica Neue"/>
        <family val="2"/>
      </rPr>
      <t xml:space="preserve"> – slow starter method consisting of kōji rice, water, and yeast; similar to kimoto, but without the laborious mashing</t>
    </r>
  </si>
  <si>
    <t>NEW SKU</t>
  </si>
  <si>
    <t>LIMITED AVAILIBILITY / PLEASE INQUIRE</t>
  </si>
  <si>
    <t>MAX NATIONAL PRICEBOOK   -   ORDER DEADLINE 1PM   -   MIKEY@ZRSWINES.COM</t>
  </si>
  <si>
    <t>ITEM NUMBER</t>
  </si>
  <si>
    <t>GRAPE(S)</t>
  </si>
  <si>
    <t>NOTES</t>
  </si>
  <si>
    <t>"Cuvée Prestige" Brut Champagne</t>
  </si>
  <si>
    <t>CHATEAU DE LA MORINIERE</t>
  </si>
  <si>
    <t>MAX-0023-23</t>
  </si>
  <si>
    <t>Muscadet sur Lie Vieilles Vignes</t>
  </si>
  <si>
    <t>"Bulle de Fort" VDF Sparkling</t>
  </si>
  <si>
    <t>750 mL</t>
  </si>
  <si>
    <t>was $148.8</t>
  </si>
  <si>
    <t>MAX-0094-20</t>
  </si>
  <si>
    <t>"Diptyque Franco de Porc" Bourgeuil Red</t>
  </si>
  <si>
    <t>MAX-0045-18</t>
  </si>
  <si>
    <t>"Peu Muleau" Bourgueil</t>
  </si>
  <si>
    <t>MAX-0105-20</t>
  </si>
  <si>
    <t>"Nom d`Oiseaux" Bourgeuil Red</t>
  </si>
  <si>
    <t>MAX-0046-18</t>
  </si>
  <si>
    <t>"Galichet" Bourgueil</t>
  </si>
  <si>
    <t>MAX-0046-14</t>
  </si>
  <si>
    <t>11-0574-14</t>
  </si>
  <si>
    <t>"Busardiere" Bourgueil</t>
  </si>
  <si>
    <t>MAX100-04-15</t>
  </si>
  <si>
    <t>"Breteche" Bourgueil</t>
  </si>
  <si>
    <t>MAX100-01-15</t>
  </si>
  <si>
    <t>"Chevalerie" Bourgueil</t>
  </si>
  <si>
    <t>MAX100-05-15</t>
  </si>
  <si>
    <t>"Grand Mont" Bourgueil</t>
  </si>
  <si>
    <t>DOMAINE DE LA COTELLERAIE</t>
  </si>
  <si>
    <t>MAX-0001-20</t>
  </si>
  <si>
    <t>"Les Mauguerets" Saint Nicolas de Bourgueil Red</t>
  </si>
  <si>
    <t>was $114.48</t>
  </si>
  <si>
    <t>MAX-0002-19</t>
  </si>
  <si>
    <t>"Les Perruches" Saint Nicolas de Bourgueil Red</t>
  </si>
  <si>
    <t>was $120.24</t>
  </si>
  <si>
    <t>MAX-0003-20</t>
  </si>
  <si>
    <t>"Le Pigeur Fou" Saint Nicolas de Bourgueil Red</t>
  </si>
  <si>
    <t>MERCIER VALEE (new!)</t>
  </si>
  <si>
    <t>"La Closerie Imaginaire" Touraine AOC White</t>
  </si>
  <si>
    <t>eta tbd</t>
  </si>
  <si>
    <t>MERCIER-VALEE - new!</t>
  </si>
  <si>
    <t>MAX-0051-23</t>
  </si>
  <si>
    <t>DOMAINE CHARDONS (THIERRY CHARDON)</t>
  </si>
  <si>
    <t>MAX-0065-NV</t>
  </si>
  <si>
    <t>"Au Gre Du Vent" VDF Sparkling</t>
  </si>
  <si>
    <t>MAX-0026-23</t>
  </si>
  <si>
    <t>"Les Chardons" Touraine Blanc</t>
  </si>
  <si>
    <t>MAX-0025-23</t>
  </si>
  <si>
    <t>"Les Chardons" Touraine Rouge</t>
  </si>
  <si>
    <t>MAX-0099-22</t>
  </si>
  <si>
    <t>"Les Chardons" Val de Loire White</t>
  </si>
  <si>
    <t>MAX-0098-22</t>
  </si>
  <si>
    <t>CHATEAU GAUDRELLE (ALEXANDRE MONMOUSSEAU)</t>
  </si>
  <si>
    <t>MAX-0063-NV</t>
  </si>
  <si>
    <t>Tintamarre VDF Sparkling</t>
  </si>
  <si>
    <t>MAX-0062-16</t>
  </si>
  <si>
    <t>L`Extra Brut Vouvray Sparkling</t>
  </si>
  <si>
    <t>MAX-0061-23</t>
  </si>
  <si>
    <t>Vouvray Sec "Ammonite"</t>
  </si>
  <si>
    <t>LAURENCE DINOCHEAU</t>
  </si>
  <si>
    <t>MAX-0067-NV</t>
  </si>
  <si>
    <t>Les Arcis Touraine Sparkling</t>
  </si>
  <si>
    <t>MAX-0068-22</t>
  </si>
  <si>
    <t>Touraine Orbois</t>
  </si>
  <si>
    <t>orbois (menu pineau)</t>
  </si>
  <si>
    <t>MAX-0066-23</t>
  </si>
  <si>
    <t>Pineau d`Aunis VDF Rose</t>
  </si>
  <si>
    <t>Touraine Pineau d'Aunis Rouge</t>
  </si>
  <si>
    <t>Touraine "Le Côts" Rouge</t>
  </si>
  <si>
    <t>côt (malbec)</t>
  </si>
  <si>
    <t>Touraine Grolleau Rouge</t>
  </si>
  <si>
    <t>MANOLINE (FKA DOMAINE DE LA VOLTONNERIE)</t>
  </si>
  <si>
    <t>MAX-0017-23</t>
  </si>
  <si>
    <t>Sancerre</t>
  </si>
  <si>
    <t>FAMILLE LAURENT</t>
  </si>
  <si>
    <t>MAX-1309-21</t>
  </si>
  <si>
    <t>Saint Pourçain Tradition Rouge</t>
  </si>
  <si>
    <t>MAX-0039-23</t>
  </si>
  <si>
    <t>MAX-0033-23</t>
  </si>
  <si>
    <t>14-0450-17</t>
  </si>
  <si>
    <t>Aligoté</t>
  </si>
  <si>
    <t>MAX-0015-22</t>
  </si>
  <si>
    <t>Côtes du Rhône "Cuvée Prestige"</t>
  </si>
  <si>
    <t>PROVENCE</t>
  </si>
  <si>
    <t>MATTHIEU SAVATIER</t>
  </si>
  <si>
    <t>MAX-0035-23</t>
  </si>
  <si>
    <t>"Teres Antique" VDP Méditerranée Rosé</t>
  </si>
  <si>
    <t>cinsault blend</t>
  </si>
  <si>
    <t>VIGNOBLES SIOZARD (CHATEAU DU CLAOUSET)</t>
  </si>
  <si>
    <t>MAX-0016-24</t>
  </si>
  <si>
    <t>Bordeaux Blanc</t>
  </si>
  <si>
    <t>semillon, sauvignon blanc</t>
  </si>
  <si>
    <t>CHATEAU L'ESCART</t>
  </si>
  <si>
    <t>Bordeaux "Supérieur Eden"</t>
  </si>
  <si>
    <t>MAX-0074-22</t>
  </si>
  <si>
    <t>"Ladenac" VDF Red</t>
  </si>
  <si>
    <t>was $105</t>
  </si>
  <si>
    <t>MAX-0073-22</t>
  </si>
  <si>
    <t>"Dexter" VDF Red</t>
  </si>
  <si>
    <t>Bordeaux</t>
  </si>
  <si>
    <t>merlot, cabernet franc</t>
  </si>
  <si>
    <t>DOMAINE GONZAGUE MAURICE (LA PETITE TOUR / LE PAVILLON DE SAINT-JACQUES)</t>
  </si>
  <si>
    <t>La Petite Tour Montagne Saint-Emilion</t>
  </si>
  <si>
    <t>MAX22-0004-19</t>
  </si>
  <si>
    <t>Le Pavillon de Saint-Jacques Lalande de Pomerol</t>
  </si>
  <si>
    <t>SOUTHWEST</t>
  </si>
  <si>
    <t>LES 3 DOMAINES (Côtes de Gascogne)</t>
  </si>
  <si>
    <t>"La Croix Blanche" Cotes de Gascogne Blanc</t>
  </si>
  <si>
    <t>sauvignon blanc, colombard</t>
  </si>
  <si>
    <t>MAS DEL PERIE (FABIEN JOUVES)</t>
  </si>
  <si>
    <t>"Nectar Des Dieux" VDF White</t>
  </si>
  <si>
    <t>chardonnay, sauvignon gris, colombard, marsanne</t>
  </si>
  <si>
    <t>MAX-0060-23</t>
  </si>
  <si>
    <t>"Les Agudes" VDF Blanc</t>
  </si>
  <si>
    <t>sauvignon blanc, sauvignon gris, chardonnay, semillon, colombard</t>
  </si>
  <si>
    <t>MAX-0007-23</t>
  </si>
  <si>
    <t>"Les Pièces Longues" VDF Blanc</t>
  </si>
  <si>
    <t>MAX-0030-24</t>
  </si>
  <si>
    <t>"Skin Contact" VDF Blanc</t>
  </si>
  <si>
    <t>MAX-0009-23</t>
  </si>
  <si>
    <t>"Orange Voilée" VDF Blanc</t>
  </si>
  <si>
    <t xml:space="preserve">MAX-0027-24    </t>
  </si>
  <si>
    <t>"À Table!!!" VDF Rosé</t>
  </si>
  <si>
    <t>malbec, merlot</t>
  </si>
  <si>
    <t>malbec, grenache, cinsault, muscat d'alexandrie</t>
  </si>
  <si>
    <t>MAX-0006-23</t>
  </si>
  <si>
    <t>"Haute Côt(e) de Fruit" VDF Rouge</t>
  </si>
  <si>
    <t>malbec</t>
  </si>
  <si>
    <t>MAX-0031-24</t>
  </si>
  <si>
    <t>"Tu Vin Plus aux Soirées" VDF Rouge</t>
  </si>
  <si>
    <t>malbec, cabernet franc</t>
  </si>
  <si>
    <t>MAX-0043-24</t>
  </si>
  <si>
    <t>"You F#!* My Wine" VDF Rouge</t>
  </si>
  <si>
    <t>jurançon noir, malbec</t>
  </si>
  <si>
    <t>MAX-0104-23</t>
  </si>
  <si>
    <t>"Grape Invaders" VDF Red</t>
  </si>
  <si>
    <t>malbec, cinsault, grenache</t>
  </si>
  <si>
    <t>18-0074-17</t>
  </si>
  <si>
    <t>"Bistro" VDF Rouge</t>
  </si>
  <si>
    <t>grenache, cinsault, counoise</t>
  </si>
  <si>
    <t>MAX-0103-23</t>
  </si>
  <si>
    <t>"Soif d'Ailleurs" VDF Rouge</t>
  </si>
  <si>
    <t>clairette, counoise, cinsault, muscat, cot, g. blanc/gris/noir</t>
  </si>
  <si>
    <t>MAX-0004-21</t>
  </si>
  <si>
    <t>"Autochtones" VDF Rouge</t>
  </si>
  <si>
    <t>gibert, noual, valdiguié, jurançon noir</t>
  </si>
  <si>
    <t>MAX-0100-23</t>
  </si>
  <si>
    <t>"Les Escures" Cahors</t>
  </si>
  <si>
    <t>"La Roque" Cahors</t>
  </si>
  <si>
    <t>MAX22-0025-20</t>
  </si>
  <si>
    <t>"Les Acacias" Cahors</t>
  </si>
  <si>
    <t>MAX22-0026-20</t>
  </si>
  <si>
    <t>"Amphore" Cahors</t>
  </si>
  <si>
    <t>MAX-0008-21</t>
  </si>
  <si>
    <t>MAX22-0027-20</t>
  </si>
  <si>
    <t>"B763" Cahors</t>
  </si>
  <si>
    <t>MAX-0005-22</t>
  </si>
  <si>
    <t>"Haut Berba" VDF Blanc</t>
  </si>
  <si>
    <t>gros manseng, petit manseng</t>
  </si>
  <si>
    <t>MAX-0071-22L</t>
  </si>
  <si>
    <t>"Bois du Vin t'auras des Copains" VDF Rouge</t>
  </si>
  <si>
    <t>cinsault, syrah, carignan, juraçon noir</t>
  </si>
  <si>
    <t>GHISLAIN MONTROZIER (new!)</t>
  </si>
  <si>
    <t>MAX22-0048-20</t>
  </si>
  <si>
    <t>"F Servadou" Aveyron Red</t>
  </si>
  <si>
    <t>MX-GM-01-21</t>
  </si>
  <si>
    <t>"Calibre 12" Aveyron Red</t>
  </si>
  <si>
    <t>syrah, gamay, fer servadou</t>
  </si>
  <si>
    <t>ANNE ARBEAU</t>
  </si>
  <si>
    <t>MAX-0102-22</t>
  </si>
  <si>
    <t>"Le Paradis" Blanc VDF</t>
  </si>
  <si>
    <t>MAX-0091-22</t>
  </si>
  <si>
    <t>"On L'Appelle" Fronton Rouge</t>
  </si>
  <si>
    <t>negrette</t>
  </si>
  <si>
    <t>MAX-0093-22</t>
  </si>
  <si>
    <t>"Le Temps des Fleurs" Fronton Red</t>
  </si>
  <si>
    <t>negrette, syrah, gamay</t>
  </si>
  <si>
    <t>MAX-0050-23</t>
  </si>
  <si>
    <t>PIEDMONT</t>
  </si>
  <si>
    <t>arneis</t>
  </si>
  <si>
    <t>MAX-0014-20</t>
  </si>
  <si>
    <t>Roero Red</t>
  </si>
  <si>
    <t>nebbiolo</t>
  </si>
  <si>
    <t>MARIO BORGHI</t>
  </si>
  <si>
    <t>MAX22-0031-21</t>
  </si>
  <si>
    <t>"Campobello" Chianti</t>
  </si>
  <si>
    <t>UMBRIA</t>
  </si>
  <si>
    <t>NAPOLINI</t>
  </si>
  <si>
    <t>MAX-0041-24</t>
  </si>
  <si>
    <t>Umbria Rosso dei Monti</t>
  </si>
  <si>
    <t>sangiovese, sagrantino, merlot, cillegiolo, montepulciano</t>
  </si>
  <si>
    <t>MAX-0040-22</t>
  </si>
  <si>
    <t>Montefalco Rosso</t>
  </si>
  <si>
    <t>sangiovese, sagrantino, merlot, montepulciano</t>
  </si>
  <si>
    <t>CHILE</t>
  </si>
  <si>
    <t>MAIPO VALLEY</t>
  </si>
  <si>
    <t>VINA LAURENT</t>
  </si>
  <si>
    <t>MAX-0105-23</t>
  </si>
  <si>
    <t>"Arrogante" Valle del Maipo White</t>
  </si>
  <si>
    <t>MAX1307-21</t>
  </si>
  <si>
    <t>"Vanidoso" Valle Central White</t>
  </si>
  <si>
    <t>MAX-0096-23</t>
  </si>
  <si>
    <t>"Insolente" Valle del Maipo White</t>
  </si>
  <si>
    <t>MAX-0013-23</t>
  </si>
  <si>
    <t>"Egoista" Maipo Valley White</t>
  </si>
  <si>
    <t>skin-contact viognier</t>
  </si>
  <si>
    <t>MAX-0022-23</t>
  </si>
  <si>
    <t>"Reserva" Valle del Maipo Red</t>
  </si>
  <si>
    <t>MAX-0010-22</t>
  </si>
  <si>
    <t>"Clandestino" Valle del Maipo Red</t>
  </si>
  <si>
    <t>petit verdot</t>
  </si>
  <si>
    <t>MAX-0021-24</t>
  </si>
  <si>
    <t>"Inocente" Valle del Maipo Red</t>
  </si>
  <si>
    <t>carménère</t>
  </si>
  <si>
    <t>MAX-0018-24</t>
  </si>
  <si>
    <t>"Corrupto" Valle del Maipo Red</t>
  </si>
  <si>
    <t>MAX-0019-24</t>
  </si>
  <si>
    <t>"Culpable" Valle del Curicó Red</t>
  </si>
  <si>
    <t>MAX-0020-23</t>
  </si>
  <si>
    <t>"Generoso" Valle del Curicó Red</t>
  </si>
  <si>
    <t>MAX1300-21</t>
  </si>
  <si>
    <t>"Ridiculo" Valle de Maipo Red</t>
  </si>
  <si>
    <t>MX-VL-02-22</t>
  </si>
  <si>
    <t>"Polemico" Secano Interior Red</t>
  </si>
  <si>
    <t>país</t>
  </si>
  <si>
    <t>was $68.16</t>
  </si>
  <si>
    <t>NEW CUVEE</t>
  </si>
  <si>
    <t>MAX INVENTORY - UPDATED ON 10.6.25</t>
  </si>
  <si>
    <t>Chateau de la Moriniere</t>
  </si>
  <si>
    <t>Vieilles Vignes Muscadet White</t>
  </si>
  <si>
    <t>72 ; 2</t>
  </si>
  <si>
    <t>Chateau Gaudrelle</t>
  </si>
  <si>
    <t>Ammonite Vouvray White</t>
  </si>
  <si>
    <t>MX-CG-01-21</t>
  </si>
  <si>
    <t>MAX-0058-23</t>
  </si>
  <si>
    <t>Chateau L`Escart</t>
  </si>
  <si>
    <t>Dexter VDF Red</t>
  </si>
  <si>
    <t>39 ; 4</t>
  </si>
  <si>
    <t>Ladenac VDF Red</t>
  </si>
  <si>
    <t>Domaine de Grisy</t>
  </si>
  <si>
    <t>84 ; 11</t>
  </si>
  <si>
    <t>Domaine de la Chevalerie</t>
  </si>
  <si>
    <t>19 ; 9</t>
  </si>
  <si>
    <t>MAX-0047-17</t>
  </si>
  <si>
    <t>MAX-0012-22</t>
  </si>
  <si>
    <t>79 ; 2</t>
  </si>
  <si>
    <t>MAX-0094-21</t>
  </si>
  <si>
    <t>80 ; 8</t>
  </si>
  <si>
    <t>Galichets Bourgueil Red</t>
  </si>
  <si>
    <t>Domaine de la Cotelleraie</t>
  </si>
  <si>
    <t>Les Perruches Saint Nicolas de Bourgueil Red</t>
  </si>
  <si>
    <t>52 ; 6</t>
  </si>
  <si>
    <t>Pigeur Fou Saint Nicolas de Bourgueil Red</t>
  </si>
  <si>
    <t>MAX-0003-23</t>
  </si>
  <si>
    <t>52 ; 8</t>
  </si>
  <si>
    <t>MAX-0055-23</t>
  </si>
  <si>
    <t>Domaine du Jas</t>
  </si>
  <si>
    <t>114 ; 6</t>
  </si>
  <si>
    <t>Domaine Gonzague Maurice</t>
  </si>
  <si>
    <t>MAX-0027-24</t>
  </si>
  <si>
    <t>Fabien Jouves</t>
  </si>
  <si>
    <t>Les Pieces Longues VDF White</t>
  </si>
  <si>
    <t>Mas del Perie Amphore Cahors Red</t>
  </si>
  <si>
    <t>50 ; 6</t>
  </si>
  <si>
    <t>MAX-0029-22</t>
  </si>
  <si>
    <t>Mas del Perie Les Acacias Cahors Red</t>
  </si>
  <si>
    <t>22 ; 8</t>
  </si>
  <si>
    <t>Mas del Perie Les Escures Cahors Red</t>
  </si>
  <si>
    <t>MAX-0038-24</t>
  </si>
  <si>
    <t>MAX-0009-22</t>
  </si>
  <si>
    <t>Orange Voilee VDF White</t>
  </si>
  <si>
    <t>You F My Wine VDF Red</t>
  </si>
  <si>
    <t>6 ; 8</t>
  </si>
  <si>
    <t>MAX-1309-24</t>
  </si>
  <si>
    <t>Famille Laurent</t>
  </si>
  <si>
    <t>Saint Pourcain Red</t>
  </si>
  <si>
    <t>65 ; 0</t>
  </si>
  <si>
    <t>MAX-0015-23</t>
  </si>
  <si>
    <t>Franck Givaudin</t>
  </si>
  <si>
    <t>Ghislain Montrozier</t>
  </si>
  <si>
    <t>Calibre 12 Aveyron Red</t>
  </si>
  <si>
    <t>85 ; 1</t>
  </si>
  <si>
    <t>MAX-0052-24</t>
  </si>
  <si>
    <t>Les 3 Domaines</t>
  </si>
  <si>
    <t>117 ; 3</t>
  </si>
  <si>
    <t>Mercier-Vallee</t>
  </si>
  <si>
    <t>MAX-0035-24</t>
  </si>
  <si>
    <t>Savatier Selection</t>
  </si>
  <si>
    <t>194 ; 11</t>
  </si>
  <si>
    <t>Thierry Chardon</t>
  </si>
  <si>
    <t>Au Gre Du Vent VDF Sparkling</t>
  </si>
  <si>
    <t>29 ; 8</t>
  </si>
  <si>
    <t>29 ; 10</t>
  </si>
  <si>
    <t>MAX-0025-24</t>
  </si>
  <si>
    <t>105 ; 8</t>
  </si>
  <si>
    <t>63 ; 8</t>
  </si>
  <si>
    <t>MAX-0098-23</t>
  </si>
  <si>
    <t>Les Chardons Val de Loire Red</t>
  </si>
  <si>
    <t>MAX-0099-23</t>
  </si>
  <si>
    <t>Les Chardons Val de Loire White</t>
  </si>
  <si>
    <t>40 ; 0</t>
  </si>
  <si>
    <t>Vignoble Dinocheau</t>
  </si>
  <si>
    <t>MAX-0054-22</t>
  </si>
  <si>
    <t>56 ; 0</t>
  </si>
  <si>
    <t>48 ; 5</t>
  </si>
  <si>
    <t>MAX-0053-23</t>
  </si>
  <si>
    <t>79 ; 5</t>
  </si>
  <si>
    <t>Vignobles Arbeau</t>
  </si>
  <si>
    <t>Le Temps des Fleurs Fronton Red</t>
  </si>
  <si>
    <t>13-008-01-19</t>
  </si>
  <si>
    <t>Negrette Fronton Red</t>
  </si>
  <si>
    <t>15-0542-18</t>
  </si>
  <si>
    <t>Aldo Marenco</t>
  </si>
  <si>
    <t>Suri Dogliani Red</t>
  </si>
  <si>
    <t>MAX-0101-23</t>
  </si>
  <si>
    <t>Borghi</t>
  </si>
  <si>
    <t>Campobello Chianti Red</t>
  </si>
  <si>
    <t>141 ; 0</t>
  </si>
  <si>
    <t>MAX-0050-24</t>
  </si>
  <si>
    <t>Corte Falco</t>
  </si>
  <si>
    <t>Pinot Grigio Veneto White MWO</t>
  </si>
  <si>
    <t>13-015-01-19</t>
  </si>
  <si>
    <t>Napolini</t>
  </si>
  <si>
    <t>Napo`s Montefalco Red</t>
  </si>
  <si>
    <t>MAX-0040-20</t>
  </si>
  <si>
    <t>Chile</t>
  </si>
  <si>
    <t>MAX-0105-25</t>
  </si>
  <si>
    <t>Vina Laurent</t>
  </si>
  <si>
    <t>Arrogante Reserva Maipo Valley White</t>
  </si>
  <si>
    <t>297 ; 6</t>
  </si>
  <si>
    <t>MAX-1308-24</t>
  </si>
  <si>
    <t>Clandestino Maipo Valley Red</t>
  </si>
  <si>
    <t>96 ; 6</t>
  </si>
  <si>
    <t>Corrupto Maipo Valley Red</t>
  </si>
  <si>
    <t>96 ; 5</t>
  </si>
  <si>
    <t>MAX-0019-23</t>
  </si>
  <si>
    <t>Culpable Valle de Curico Red</t>
  </si>
  <si>
    <t>199 ; 6</t>
  </si>
  <si>
    <t>MAX-0013-24</t>
  </si>
  <si>
    <t>Egoista Maipo Valley White</t>
  </si>
  <si>
    <t>80 ; 6</t>
  </si>
  <si>
    <t>MAX-0020-24</t>
  </si>
  <si>
    <t>Generoso Valle de Curico Red</t>
  </si>
  <si>
    <t>99 ; 6</t>
  </si>
  <si>
    <t>Inocente Maipo Valley Red</t>
  </si>
  <si>
    <t>MAX-0022-24</t>
  </si>
  <si>
    <t>Reserva Maipo Valley Red</t>
  </si>
  <si>
    <t>194 ; 9</t>
  </si>
  <si>
    <t>MAX-1310-24</t>
  </si>
  <si>
    <t>Vanidoso Valle Central White</t>
  </si>
  <si>
    <t>299 ; 6</t>
  </si>
  <si>
    <t xml:space="preserve"> f</t>
  </si>
  <si>
    <t>NATIVE SELECTIONS INVENTORY - UPDATED ON 11.11.25</t>
  </si>
  <si>
    <t>SECANO INTERIOR DE YUMBEL</t>
  </si>
  <si>
    <t>CACIQUE MARAVILLA (VA, DC, MD)</t>
  </si>
  <si>
    <t>22-CMPP</t>
  </si>
  <si>
    <t>"Pipeño"</t>
  </si>
  <si>
    <t>22-CMVN</t>
  </si>
  <si>
    <t>"Vino Naranja"</t>
  </si>
  <si>
    <t>moscatel de alejandría, 2 months on skins</t>
  </si>
  <si>
    <t>*NEW*</t>
  </si>
  <si>
    <t>22-CMCS</t>
  </si>
  <si>
    <t>22-CMCN</t>
  </si>
  <si>
    <t>"Chacoli Negro" Pét-Nat</t>
  </si>
  <si>
    <t>50% cabernet sauvignon, 50% malbec</t>
  </si>
  <si>
    <t>22-GUT</t>
  </si>
  <si>
    <t>"Gutiflower" Pét-Nat</t>
  </si>
  <si>
    <t>68% moscatel de alejandría, 16% chasselas, 16% torontel</t>
  </si>
  <si>
    <t>SPAIN</t>
  </si>
  <si>
    <t>PENEDÉS</t>
  </si>
  <si>
    <t>VINYES SINGULARS</t>
  </si>
  <si>
    <t>VSEL20ER</t>
  </si>
  <si>
    <t>"Elemental" Pét-Nat</t>
  </si>
  <si>
    <t>50% xarel.lo, 50% macabeu</t>
  </si>
  <si>
    <t>VSMI19</t>
  </si>
  <si>
    <t>"Minipuça" Pét-Nat</t>
  </si>
  <si>
    <t>xarel.lo</t>
  </si>
  <si>
    <t>VSRO22</t>
  </si>
  <si>
    <t>"Al Amor" Rosat Pét-Nat</t>
  </si>
  <si>
    <t>xarel.lo, macabeu, monastrell</t>
  </si>
  <si>
    <t>VSXVA22</t>
  </si>
  <si>
    <t>"XVA" Pét-Nat</t>
  </si>
  <si>
    <t xml:space="preserve">xarel.lo vermell </t>
  </si>
  <si>
    <t>VSPPCH21</t>
  </si>
  <si>
    <t>Pim Pam Chh... Pét-Nat</t>
  </si>
  <si>
    <t>parellada</t>
  </si>
  <si>
    <t>VSPP22</t>
  </si>
  <si>
    <t>"Pim Pam Blanc"</t>
  </si>
  <si>
    <t>macabeu, xarel.lo, parellada, malvasia de sitges, sumoll blanc, garnatxa blanca</t>
  </si>
  <si>
    <t>VSPPP21</t>
  </si>
  <si>
    <t>"Pim Pam Pink"</t>
  </si>
  <si>
    <t>macabeu, xarel.lo, parellada, malvasia de sitges, sumoll blanc, sumoll tinto, garnatxa blanca</t>
  </si>
  <si>
    <t>VSPPOR23</t>
  </si>
  <si>
    <t>"Pim Pam Orange"</t>
  </si>
  <si>
    <t>parellada 6 months on skins</t>
  </si>
  <si>
    <t>VSXA20</t>
  </si>
  <si>
    <t>"La Masia" Xarel.lo</t>
  </si>
  <si>
    <t>xarel.lo (in steel)</t>
  </si>
  <si>
    <t>VSEB21</t>
  </si>
  <si>
    <t>"El Bosc" Field Blend Rosat</t>
  </si>
  <si>
    <t>garnacha negra, garnacha blanca (co-ferment)</t>
  </si>
  <si>
    <t>VSLG22</t>
  </si>
  <si>
    <t>"La Granja" Field Blend</t>
  </si>
  <si>
    <t>field blend of young vines (white and red)</t>
  </si>
  <si>
    <t>VSSUMBV21</t>
  </si>
  <si>
    <t>"Sumoi Barmei" Red</t>
  </si>
  <si>
    <t>sumoll (4 day maceration in steel)</t>
  </si>
  <si>
    <t>VSXVB22</t>
  </si>
  <si>
    <t>"L'Autocaravana" White</t>
  </si>
  <si>
    <t>xarel.lo vermell (chestnut barrel)</t>
  </si>
  <si>
    <t>VSSUMBB21</t>
  </si>
  <si>
    <t>"Can Marti" Penedes White</t>
  </si>
  <si>
    <t>sumoll blanc (chestnut barrel)</t>
  </si>
  <si>
    <t>VSMA19</t>
  </si>
  <si>
    <t>"Sant Pau" Penedes White</t>
  </si>
  <si>
    <t>macabeo (chestnut barrel)</t>
  </si>
  <si>
    <t>VSMA21</t>
  </si>
  <si>
    <t>VSSUAM21</t>
  </si>
  <si>
    <t>"Sumoll Amphora" Rosat</t>
  </si>
  <si>
    <t>sumoll (free-run juice)</t>
  </si>
  <si>
    <t>VSSUMCA22</t>
  </si>
  <si>
    <t>"Sumoll Chesnut" Rosat</t>
  </si>
  <si>
    <t>sumoll (2 day maceration; aged in chestnut barrels)</t>
  </si>
  <si>
    <t>VSXAM20</t>
  </si>
  <si>
    <t>"Xarel.lo Amphora" White</t>
  </si>
  <si>
    <t>xarel.lo in amphora</t>
  </si>
  <si>
    <t>VSXAS20</t>
  </si>
  <si>
    <t>"Xarel.lo Salinar" White</t>
  </si>
  <si>
    <t>xarel.lo (aged in chestnut barrels)</t>
  </si>
  <si>
    <t>VSXAS21</t>
  </si>
  <si>
    <t>VSXAS22</t>
  </si>
  <si>
    <t>ORIOL ROSSELL</t>
  </si>
  <si>
    <t>Cava Brut Nature</t>
  </si>
  <si>
    <t xml:space="preserve">xarel.lo, macabeu, parellada </t>
  </si>
  <si>
    <t>Cava Brut Nature Rosat</t>
  </si>
  <si>
    <t>pinot noir, garnacha</t>
  </si>
  <si>
    <t>BANYULS</t>
  </si>
  <si>
    <t>DOMAINE PECHPEYROU (Bertrand de Guitaut)</t>
  </si>
  <si>
    <t>NS21-01-19</t>
  </si>
  <si>
    <t>"El Angel" VDF Red</t>
  </si>
  <si>
    <t>grenache noir  (planted 1986)</t>
  </si>
  <si>
    <t>NS21-01-22</t>
  </si>
  <si>
    <t>NS21-04-22</t>
  </si>
  <si>
    <t>"Soula" VDF Red</t>
  </si>
  <si>
    <t>grenache Noir, carignan, and mourvèdre (planted pre-1950)</t>
  </si>
  <si>
    <t>NAT-0013-22</t>
  </si>
  <si>
    <t>"Reblum" VDF Red</t>
  </si>
  <si>
    <t>grenache noir, grenache blanc, grenache gris  (planted pre-1950)</t>
  </si>
  <si>
    <t>THIERRY DIAZ</t>
  </si>
  <si>
    <t>NAT-0010-22</t>
  </si>
  <si>
    <t>"La Martine" VDF Red</t>
  </si>
  <si>
    <t>grenache noir, grenache blanc, grenache gris, carignan  (planted pre-1950)</t>
  </si>
  <si>
    <t>NAT-0011-22</t>
  </si>
  <si>
    <t>"Machu Picchu" VDF Red</t>
  </si>
  <si>
    <t>NAT-0009-22</t>
  </si>
  <si>
    <t>"Pelicano" VDF Red</t>
  </si>
  <si>
    <t>grenache noir</t>
  </si>
  <si>
    <t>LOIRE</t>
  </si>
  <si>
    <t>DOMAINE DES COGNETTES</t>
  </si>
  <si>
    <t>NS2007-NV</t>
  </si>
  <si>
    <t>chardonnay,  folle blanche</t>
  </si>
  <si>
    <t>NS2005</t>
  </si>
  <si>
    <t>Rosé des Cognettes</t>
  </si>
  <si>
    <t>ETA 12/12</t>
  </si>
  <si>
    <t>NS2002</t>
  </si>
  <si>
    <t>Sauvignon Blanc</t>
  </si>
  <si>
    <t>23-SVCH</t>
  </si>
  <si>
    <t>NS2004</t>
  </si>
  <si>
    <t>Muscadet Selections des Cognettes</t>
  </si>
  <si>
    <t>22-DCDT</t>
  </si>
  <si>
    <t>Muscadet "Les 2 Terres"</t>
  </si>
  <si>
    <t>NS99209</t>
  </si>
  <si>
    <t xml:space="preserve">Cru Clisson Muscadet </t>
  </si>
  <si>
    <t>NS2000</t>
  </si>
  <si>
    <t>NS2003</t>
  </si>
  <si>
    <t>Cab a l'Ouest</t>
  </si>
  <si>
    <t>cabernet franc, cabernet sauvignon</t>
  </si>
  <si>
    <t>NAT-0015-NV</t>
  </si>
  <si>
    <t>Le Pas Rouge</t>
  </si>
  <si>
    <t xml:space="preserve">LE JONC BLANC </t>
  </si>
  <si>
    <t>NS3005</t>
  </si>
  <si>
    <t>Pure M "Solera"</t>
  </si>
  <si>
    <t>Gros Manseng (off-dry)</t>
  </si>
  <si>
    <t>18-19-20</t>
  </si>
  <si>
    <t>NS3002</t>
  </si>
  <si>
    <t>Pure T</t>
  </si>
  <si>
    <t>Merlot</t>
  </si>
  <si>
    <t>NS3000</t>
  </si>
  <si>
    <t>"Fruit" Rouge</t>
  </si>
  <si>
    <t>NS3001</t>
  </si>
  <si>
    <t>"Fleur" Blanc</t>
  </si>
  <si>
    <t>Semillon, Sauvignon Blanc, Sauvignon Gris</t>
  </si>
  <si>
    <t>ETA TBD</t>
  </si>
  <si>
    <t>NS3003-21</t>
  </si>
  <si>
    <t>Bulle Rosé Pét-Nat</t>
  </si>
  <si>
    <t>Semillon, Cabernet Sauvignon (very carbonated!)</t>
  </si>
  <si>
    <t>FOB FdL MARCH 2023</t>
  </si>
  <si>
    <t>ORDER DEADLINE 2:30pm</t>
  </si>
  <si>
    <t>Victor Vasquez: (240)-426-6418</t>
  </si>
  <si>
    <t>victor@nattywine.us</t>
  </si>
  <si>
    <t>www.nattywine.us</t>
  </si>
  <si>
    <r>
      <rPr>
        <sz val="8"/>
        <color rgb="FF993300"/>
        <rFont val="Gill Sans"/>
        <family val="2"/>
      </rPr>
      <t xml:space="preserve"> ;   </t>
    </r>
    <r>
      <rPr>
        <b/>
        <sz val="8"/>
        <color rgb="FFE6B8B8"/>
        <rFont val="Gill Sans"/>
        <family val="2"/>
      </rPr>
      <t>Rosé</t>
    </r>
    <r>
      <rPr>
        <sz val="8"/>
        <color rgb="FFE6B8B8"/>
        <rFont val="Gill Sans"/>
        <family val="2"/>
      </rPr>
      <t xml:space="preserve">  </t>
    </r>
    <r>
      <rPr>
        <sz val="8"/>
        <color rgb="FF0C0C0C"/>
        <rFont val="Gill Sans"/>
        <family val="2"/>
      </rPr>
      <t xml:space="preserve">|  </t>
    </r>
    <r>
      <rPr>
        <b/>
        <sz val="8"/>
        <color rgb="FFFABF8E"/>
        <rFont val="Gill Sans"/>
        <family val="2"/>
      </rPr>
      <t>Orange</t>
    </r>
    <r>
      <rPr>
        <sz val="8"/>
        <color rgb="FFFABF8E"/>
        <rFont val="Gill Sans"/>
        <family val="2"/>
      </rPr>
      <t xml:space="preserve"> </t>
    </r>
    <r>
      <rPr>
        <sz val="8"/>
        <color theme="1"/>
        <rFont val="Gill Sans"/>
        <family val="2"/>
      </rPr>
      <t>|</t>
    </r>
    <r>
      <rPr>
        <sz val="8"/>
        <color rgb="FFFABF8E"/>
        <rFont val="Gill Sans"/>
        <family val="2"/>
      </rPr>
      <t xml:space="preserve"> </t>
    </r>
    <r>
      <rPr>
        <b/>
        <sz val="8"/>
        <color rgb="FFFABF8E"/>
        <rFont val="Gill Sans"/>
        <family val="2"/>
      </rPr>
      <t xml:space="preserve"> </t>
    </r>
    <r>
      <rPr>
        <b/>
        <sz val="8"/>
        <color theme="6"/>
        <rFont val="Gill Sans"/>
        <family val="2"/>
      </rPr>
      <t>Cider</t>
    </r>
    <r>
      <rPr>
        <sz val="11"/>
        <color rgb="FFE6B8B8"/>
        <rFont val="Gill Sans"/>
        <family val="2"/>
      </rPr>
      <t xml:space="preserve">
</t>
    </r>
    <r>
      <rPr>
        <sz val="8"/>
        <color rgb="FF993300"/>
        <rFont val="Gill Sans"/>
        <family val="2"/>
      </rPr>
      <t xml:space="preserve"> ;   Pricing is in U.S. dollars
 ;   Bottles are 750 ml unless otherwise noted
 ;   Cases are 12 packs unless otherwise noted</t>
    </r>
    <r>
      <rPr>
        <sz val="9"/>
        <color rgb="FF993300"/>
        <rFont val="Gill Sans"/>
        <family val="2"/>
      </rPr>
      <t xml:space="preserve">
</t>
    </r>
  </si>
  <si>
    <t>vintage</t>
  </si>
  <si>
    <t xml:space="preserve">size </t>
  </si>
  <si>
    <r>
      <rPr>
        <sz val="8"/>
        <color rgb="FF800000"/>
        <rFont val="Gill Sans"/>
        <family val="2"/>
      </rPr>
      <t xml:space="preserve">front line </t>
    </r>
    <r>
      <rPr>
        <sz val="8"/>
        <color rgb="FFFF0000"/>
        <rFont val="Gill Sans"/>
        <family val="2"/>
      </rPr>
      <t xml:space="preserve">
</t>
    </r>
    <r>
      <rPr>
        <sz val="8"/>
        <color rgb="FFFF0000"/>
        <rFont val="Gill Sans"/>
        <family val="2"/>
      </rPr>
      <t>case price
bottle price</t>
    </r>
  </si>
  <si>
    <t xml:space="preserve"> # of cases : bottles</t>
  </si>
  <si>
    <t xml:space="preserve">  warehouse codes  </t>
  </si>
  <si>
    <t>Primorska</t>
  </si>
  <si>
    <t>KMETIJA ŠTEKAR</t>
  </si>
  <si>
    <t xml:space="preserve">"Japka" Goriška Brda Apple Cider </t>
  </si>
  <si>
    <t>12/375ml</t>
  </si>
  <si>
    <t>NW1101</t>
  </si>
  <si>
    <t>0-0</t>
  </si>
  <si>
    <t>7+ native apple varietes (both cider and dessert apples).</t>
  </si>
  <si>
    <t>Organic Cert.</t>
  </si>
  <si>
    <t>Little Carpathians - Malokarpatska</t>
  </si>
  <si>
    <t>MAGULA</t>
  </si>
  <si>
    <t>"Frankovka Unplugged" Malokarpatská Red</t>
  </si>
  <si>
    <t>12/750ml</t>
  </si>
  <si>
    <t>NW1186-17</t>
  </si>
  <si>
    <t>Frankovka (Blaufrankisch) made without mechanical intervention.</t>
  </si>
  <si>
    <t>"Teufestal Pinot Noir" Malokarpatská Red</t>
  </si>
  <si>
    <t>6 : 9</t>
  </si>
  <si>
    <t>NW1187-20</t>
  </si>
  <si>
    <t>Pinot Noir.</t>
  </si>
  <si>
    <t>Vino della Casa</t>
  </si>
  <si>
    <t>ENOTECA NATURALE (Milano)</t>
  </si>
  <si>
    <r>
      <rPr>
        <b/>
        <sz val="8"/>
        <rFont val="&quot;Gill Sans&quot;, Arial"/>
      </rPr>
      <t xml:space="preserve">"Bianco Giusto" Roero Bianco                                  </t>
    </r>
    <r>
      <rPr>
        <b/>
        <i/>
        <sz val="8"/>
        <color rgb="FF6AA84F"/>
        <rFont val="&quot;Gill Sans&quot;, Arial"/>
      </rPr>
      <t>NEW</t>
    </r>
  </si>
  <si>
    <t>NW1042</t>
  </si>
  <si>
    <t>Arneis aged in amphora for a year (Wine selected 
together with Enoteca Naturale Milano).</t>
  </si>
  <si>
    <t>Piemonte</t>
  </si>
  <si>
    <t xml:space="preserve">ALESSANDRO GALLINO </t>
  </si>
  <si>
    <r>
      <rPr>
        <b/>
        <sz val="8"/>
        <color theme="1"/>
        <rFont val="&quot;Gill Sans&quot;, Arial"/>
      </rPr>
      <t>"Mon Plin" Roero Bianco</t>
    </r>
    <r>
      <rPr>
        <b/>
        <i/>
        <sz val="8"/>
        <color theme="1"/>
        <rFont val="&quot;Gill Sans&quot;, Arial"/>
      </rPr>
      <t xml:space="preserve">                                         </t>
    </r>
    <r>
      <rPr>
        <b/>
        <i/>
        <sz val="8"/>
        <color rgb="FF00B050"/>
        <rFont val="&quot;Gill Sans&quot;, Arial"/>
      </rPr>
      <t>NEW</t>
    </r>
  </si>
  <si>
    <t>12 : 3</t>
  </si>
  <si>
    <t>NW1195-21</t>
  </si>
  <si>
    <t>Arneis (extended maceration).</t>
  </si>
  <si>
    <r>
      <rPr>
        <b/>
        <sz val="8"/>
        <color theme="1"/>
        <rFont val="&quot;Gill Sans&quot;, Arial"/>
      </rPr>
      <t xml:space="preserve">"Barbera d'Alba DOC" Roero Rosso  </t>
    </r>
    <r>
      <rPr>
        <b/>
        <i/>
        <sz val="8"/>
        <color theme="1"/>
        <rFont val="&quot;Gill Sans&quot;, Arial"/>
      </rPr>
      <t xml:space="preserve">                    </t>
    </r>
    <r>
      <rPr>
        <b/>
        <i/>
        <sz val="8"/>
        <color rgb="FF00B050"/>
        <rFont val="&quot;Gill Sans&quot;, Arial"/>
      </rPr>
      <t xml:space="preserve">NEW  </t>
    </r>
  </si>
  <si>
    <t>16 : 9</t>
  </si>
  <si>
    <t>NW1196-22</t>
  </si>
  <si>
    <t>Barbera.</t>
  </si>
  <si>
    <r>
      <rPr>
        <b/>
        <sz val="8"/>
        <color theme="1"/>
        <rFont val="&quot;Gill Sans&quot;, Arial"/>
      </rPr>
      <t>"Barbera d'Alba Superiore DOC" Roero Rosso</t>
    </r>
    <r>
      <rPr>
        <b/>
        <i/>
        <sz val="8"/>
        <color theme="1"/>
        <rFont val="&quot;Gill Sans&quot;, Arial"/>
      </rPr>
      <t xml:space="preserve">     </t>
    </r>
    <r>
      <rPr>
        <b/>
        <i/>
        <sz val="8"/>
        <color rgb="FF00B050"/>
        <rFont val="&quot;Gill Sans&quot;, Arial"/>
      </rPr>
      <t>NEW</t>
    </r>
  </si>
  <si>
    <t>7 :  9</t>
  </si>
  <si>
    <t>NW1197-21</t>
  </si>
  <si>
    <r>
      <rPr>
        <b/>
        <sz val="8"/>
        <color theme="1"/>
        <rFont val="&quot;Gill Sans&quot;, Arial"/>
      </rPr>
      <t xml:space="preserve">"Langhe Nebbiolo DOC" Roero Rosso                  </t>
    </r>
    <r>
      <rPr>
        <b/>
        <i/>
        <sz val="8"/>
        <color rgb="FF00B050"/>
        <rFont val="&quot;Gill Sans&quot;, Arial"/>
      </rPr>
      <t>NEW</t>
    </r>
  </si>
  <si>
    <t>NW1198-21</t>
  </si>
  <si>
    <t>Nebbiolo.</t>
  </si>
  <si>
    <r>
      <rPr>
        <b/>
        <sz val="8"/>
        <color theme="1"/>
        <rFont val="&quot;Gill Sans&quot;, Arial"/>
      </rPr>
      <t>"Ciriagno" Roero Riserva DOCG MAGNUM</t>
    </r>
    <r>
      <rPr>
        <b/>
        <i/>
        <sz val="8"/>
        <color theme="1"/>
        <rFont val="&quot;Gill Sans&quot;, Arial"/>
      </rPr>
      <t xml:space="preserve">         </t>
    </r>
    <r>
      <rPr>
        <b/>
        <i/>
        <sz val="8"/>
        <color rgb="FF00B050"/>
        <rFont val="&quot;Gill Sans&quot;, Arial"/>
      </rPr>
      <t xml:space="preserve">NEW  </t>
    </r>
  </si>
  <si>
    <t>1/1.5L</t>
  </si>
  <si>
    <t>NW1202-19</t>
  </si>
  <si>
    <t>BRACCIA RESE / SIDRERIA C&amp;L</t>
  </si>
  <si>
    <r>
      <rPr>
        <b/>
        <sz val="8"/>
        <color theme="1"/>
        <rFont val="&quot;Gill Sans&quot;, Arial"/>
      </rPr>
      <t xml:space="preserve">"Randevù" Cuneo Apple + Grape Frizzante Cider   </t>
    </r>
    <r>
      <rPr>
        <b/>
        <i/>
        <sz val="8"/>
        <color rgb="FF9900FF"/>
        <rFont val="&quot;Gill Sans&quot;, Arial"/>
      </rPr>
      <t>NEW</t>
    </r>
  </si>
  <si>
    <t>3 : 8</t>
  </si>
  <si>
    <t>NW1117-21</t>
  </si>
  <si>
    <t>Grannysmith Apples, Moscato d'Asti.</t>
  </si>
  <si>
    <t>0 - 0</t>
  </si>
  <si>
    <r>
      <rPr>
        <b/>
        <sz val="8"/>
        <color theme="1"/>
        <rFont val="&quot;Gill Sans&quot;, Arial"/>
      </rPr>
      <t>"RAM" Cuneo Frizzante Plum Cider</t>
    </r>
    <r>
      <rPr>
        <b/>
        <i/>
        <sz val="8"/>
        <color theme="1"/>
        <rFont val="&quot;Gill Sans&quot;, Arial"/>
      </rPr>
      <t xml:space="preserve">       </t>
    </r>
    <r>
      <rPr>
        <b/>
        <i/>
        <sz val="8"/>
        <color rgb="FF00B050"/>
        <rFont val="&quot;Gill Sans&quot;, Arial"/>
      </rPr>
      <t>NEW</t>
    </r>
  </si>
  <si>
    <t>8 : 7</t>
  </si>
  <si>
    <t>NW1183</t>
  </si>
  <si>
    <t>Forest-foraged Ramassin Plums, Grannysmith Apples.</t>
  </si>
  <si>
    <r>
      <rPr>
        <b/>
        <sz val="8"/>
        <color theme="1"/>
        <rFont val="&quot;Gill Sans&quot;, Arial"/>
      </rPr>
      <t xml:space="preserve">"Pinq" Cuneo Frizzante Rosato </t>
    </r>
    <r>
      <rPr>
        <b/>
        <i/>
        <sz val="8"/>
        <color theme="1"/>
        <rFont val="&quot;Gill Sans&quot;, Arial"/>
      </rPr>
      <t xml:space="preserve">           </t>
    </r>
    <r>
      <rPr>
        <b/>
        <i/>
        <sz val="8"/>
        <color rgb="FF00B050"/>
        <rFont val="&quot;Gill Sans&quot;, Arial"/>
      </rPr>
      <t>NEW</t>
    </r>
  </si>
  <si>
    <t>23 : 5</t>
  </si>
  <si>
    <t>NW1115</t>
  </si>
  <si>
    <t>Quagliano.</t>
  </si>
  <si>
    <r>
      <rPr>
        <b/>
        <sz val="8"/>
        <color theme="1"/>
        <rFont val="&quot;Gill Sans&quot;, Arial"/>
      </rPr>
      <t>"Barba" Cuneo Rosso</t>
    </r>
    <r>
      <rPr>
        <b/>
        <i/>
        <sz val="8"/>
        <color theme="1"/>
        <rFont val="&quot;Gill Sans&quot;, Arial"/>
      </rPr>
      <t xml:space="preserve">                          </t>
    </r>
    <r>
      <rPr>
        <b/>
        <i/>
        <sz val="8"/>
        <color rgb="FF00B050"/>
        <rFont val="&quot;Gill Sans&quot;, Arial"/>
      </rPr>
      <t>NEW</t>
    </r>
  </si>
  <si>
    <t>NW1114</t>
  </si>
  <si>
    <t>Chatus, Barbera.</t>
  </si>
  <si>
    <t>Sardegna</t>
  </si>
  <si>
    <t>SA DEFENZA</t>
  </si>
  <si>
    <r>
      <rPr>
        <b/>
        <sz val="8"/>
        <color theme="1"/>
        <rFont val="&quot;Gill Sans&quot;, Arial"/>
      </rPr>
      <t xml:space="preserve">"Maestru" Cagliari Bianco  </t>
    </r>
    <r>
      <rPr>
        <b/>
        <sz val="8"/>
        <color rgb="FF00B050"/>
        <rFont val="&quot;Gill Sans&quot;, Arial"/>
      </rPr>
      <t xml:space="preserve">   </t>
    </r>
  </si>
  <si>
    <t>NW1127</t>
  </si>
  <si>
    <t>Nugarus.</t>
  </si>
  <si>
    <t>Veneto - Vicenza</t>
  </si>
  <si>
    <t>MATERVI</t>
  </si>
  <si>
    <t>"Tainot" Breganze Frizzante Bianco</t>
  </si>
  <si>
    <t>NW1022</t>
  </si>
  <si>
    <t>Pinot Bianco, Tocai Bianco, Vespaiola.</t>
  </si>
  <si>
    <t>INDOMITI</t>
  </si>
  <si>
    <t xml:space="preserve">"Opplà" Colli Berici Frizzante Ramato </t>
  </si>
  <si>
    <t>31 : 11</t>
  </si>
  <si>
    <t>NW1092-21</t>
  </si>
  <si>
    <t>Garganega, Pinot Bianco, Sauvignon, Tai Rosso.</t>
  </si>
  <si>
    <t xml:space="preserve">"Ramingo" Colli Berici Bianco Macerato </t>
  </si>
  <si>
    <t>5 : 11</t>
  </si>
  <si>
    <t>NW1093-21</t>
  </si>
  <si>
    <t>Pinot Bianco, Sauvignon.</t>
  </si>
  <si>
    <t>"Osai" Colli Berici Rosato</t>
  </si>
  <si>
    <t>6 : 8</t>
  </si>
  <si>
    <t>NW1094-21</t>
  </si>
  <si>
    <t>Tai Rosso.</t>
  </si>
  <si>
    <t>TENUTA L'ARMONIA</t>
  </si>
  <si>
    <t>🍿 POP</t>
  </si>
  <si>
    <t xml:space="preserve">"Frizzi Pop" Montecchio Maggiore -  Frizzante Bianco     </t>
  </si>
  <si>
    <t>NW1107</t>
  </si>
  <si>
    <t>Pinot Noir, Durello, macerated Pinot Bianco.</t>
  </si>
  <si>
    <r>
      <rPr>
        <b/>
        <sz val="8"/>
        <rFont val="&quot;Gill Sans&quot;, Arial"/>
      </rPr>
      <t xml:space="preserve">"Bianco Pop" Montecchio Maggiore -  Bianco    </t>
    </r>
    <r>
      <rPr>
        <b/>
        <i/>
        <sz val="8"/>
        <color rgb="FF00B050"/>
        <rFont val="&quot;Gill Sans&quot;, Arial"/>
      </rPr>
      <t xml:space="preserve"> </t>
    </r>
  </si>
  <si>
    <t>NW1106</t>
  </si>
  <si>
    <r>
      <rPr>
        <i/>
        <sz val="8"/>
        <color rgb="FF000000"/>
        <rFont val="&quot;Gill Sans&quot;, Arial"/>
      </rPr>
      <t>Incrocio Manzoni, macerated Pinot Blanc, Garganega</t>
    </r>
    <r>
      <rPr>
        <i/>
        <sz val="8"/>
        <rFont val="&quot;Gill Sans&quot;, Arial"/>
      </rPr>
      <t>.</t>
    </r>
  </si>
  <si>
    <r>
      <rPr>
        <b/>
        <sz val="8"/>
        <color theme="1"/>
        <rFont val="&quot;Gill Sans&quot;, Arial"/>
      </rPr>
      <t>"Brio Pop" Montecchio Maggiore - Rosso</t>
    </r>
    <r>
      <rPr>
        <b/>
        <i/>
        <sz val="8"/>
        <color rgb="FF00B050"/>
        <rFont val="&quot;Gill Sans&quot;, Arial"/>
      </rPr>
      <t xml:space="preserve">     </t>
    </r>
  </si>
  <si>
    <t>94 : 7</t>
  </si>
  <si>
    <t>NW1105</t>
  </si>
  <si>
    <t>Cabernet Franc, Barbera, Tocai Rosso, Pinot Noir.</t>
  </si>
  <si>
    <t>📚 A+</t>
  </si>
  <si>
    <r>
      <rPr>
        <b/>
        <sz val="8"/>
        <color theme="1"/>
        <rFont val="&quot;Gill Sans&quot;, Arial"/>
      </rPr>
      <t>"Freak" Montecchio Maggiore - Bianco</t>
    </r>
    <r>
      <rPr>
        <b/>
        <i/>
        <sz val="8"/>
        <color rgb="FF00B050"/>
        <rFont val="&quot;Gill Sans&quot;, Arial"/>
      </rPr>
      <t xml:space="preserve">  </t>
    </r>
  </si>
  <si>
    <t>15 : 3</t>
  </si>
  <si>
    <t>NW1146</t>
  </si>
  <si>
    <t>Chardonnay (amphora-macerated), Durella (direct-press).</t>
  </si>
  <si>
    <r>
      <rPr>
        <b/>
        <sz val="8"/>
        <rFont val="&quot;Gill Sans&quot;, Arial"/>
      </rPr>
      <t>"Chic" Montecchio Maggiore - Brut Nature</t>
    </r>
    <r>
      <rPr>
        <b/>
        <i/>
        <sz val="8"/>
        <color rgb="FF00B050"/>
        <rFont val="&quot;Gill Sans&quot;, Arial"/>
      </rPr>
      <t xml:space="preserve"> - NEW</t>
    </r>
  </si>
  <si>
    <t>⏳ Vecchie Vigne</t>
  </si>
  <si>
    <t>"Bolla" Montecchio Maggiore - Brut Nature</t>
  </si>
  <si>
    <t>8 : 6</t>
  </si>
  <si>
    <t>70% Durella of recent vintages 30% Durella 2014.  36 months on lees.</t>
  </si>
  <si>
    <t>🌼 EASY</t>
  </si>
  <si>
    <t>"Easy Red" Vicenza Rosso KEG</t>
  </si>
  <si>
    <t>1/24L</t>
  </si>
  <si>
    <r>
      <rPr>
        <i/>
        <sz val="8"/>
        <color theme="1"/>
        <rFont val="&quot;Gill Sans&quot;, Arial"/>
      </rPr>
      <t xml:space="preserve">70% </t>
    </r>
    <r>
      <rPr>
        <i/>
        <u/>
        <sz val="8"/>
        <color theme="1"/>
        <rFont val="&quot;Gill Sans&quot;, Arial"/>
      </rPr>
      <t>Monarc</t>
    </r>
    <r>
      <rPr>
        <i/>
        <sz val="8"/>
        <color theme="1"/>
        <rFont val="&quot;Gill Sans&quot;, Arial"/>
      </rPr>
      <t xml:space="preserve">, 20% </t>
    </r>
    <r>
      <rPr>
        <i/>
        <u/>
        <sz val="8"/>
        <color theme="1"/>
        <rFont val="&quot;Gill Sans&quot;, Arial"/>
      </rPr>
      <t>Merlot</t>
    </r>
    <r>
      <rPr>
        <i/>
        <sz val="8"/>
        <color theme="1"/>
        <rFont val="&quot;Gill Sans&quot;, Arial"/>
      </rPr>
      <t xml:space="preserve">, 10% </t>
    </r>
    <r>
      <rPr>
        <i/>
        <u/>
        <sz val="8"/>
        <color theme="1"/>
        <rFont val="&quot;Gill Sans&quot;, Arial"/>
      </rPr>
      <t>Moscato</t>
    </r>
    <r>
      <rPr>
        <i/>
        <sz val="8"/>
        <color theme="1"/>
        <rFont val="&quot;Gill Sans&quot;, Arial"/>
      </rPr>
      <t>.</t>
    </r>
  </si>
  <si>
    <r>
      <rPr>
        <b/>
        <sz val="8"/>
        <rFont val="&quot;Gill Sans&quot;, Arial"/>
      </rPr>
      <t>"Easy Red" Vicenza Rosso LITRO</t>
    </r>
    <r>
      <rPr>
        <b/>
        <i/>
        <sz val="8"/>
        <rFont val="&quot;Gill Sans&quot;, Arial"/>
      </rPr>
      <t xml:space="preserve">  </t>
    </r>
  </si>
  <si>
    <t>181 : 8</t>
  </si>
  <si>
    <t>NW1150</t>
  </si>
  <si>
    <r>
      <rPr>
        <i/>
        <sz val="8"/>
        <rFont val="&quot;Gill Sans&quot;, Arial"/>
      </rPr>
      <t xml:space="preserve">70% </t>
    </r>
    <r>
      <rPr>
        <i/>
        <sz val="8"/>
        <rFont val="&quot;Gill Sans&quot;, Arial"/>
      </rPr>
      <t>Monarc</t>
    </r>
    <r>
      <rPr>
        <i/>
        <sz val="8"/>
        <rFont val="&quot;Gill Sans&quot;, Arial"/>
      </rPr>
      <t xml:space="preserve">, 20% </t>
    </r>
    <r>
      <rPr>
        <i/>
        <sz val="8"/>
        <rFont val="&quot;Gill Sans&quot;, Arial"/>
      </rPr>
      <t>Merlot</t>
    </r>
    <r>
      <rPr>
        <i/>
        <sz val="8"/>
        <rFont val="&quot;Gill Sans&quot;, Arial"/>
      </rPr>
      <t xml:space="preserve">, 10% </t>
    </r>
    <r>
      <rPr>
        <i/>
        <sz val="8"/>
        <rFont val="&quot;Gill Sans&quot;, Arial"/>
      </rPr>
      <t>Moscato</t>
    </r>
    <r>
      <rPr>
        <i/>
        <sz val="8"/>
        <rFont val="&quot;Gill Sans&quot;, Arial"/>
      </rPr>
      <t>.</t>
    </r>
  </si>
  <si>
    <r>
      <rPr>
        <b/>
        <sz val="8"/>
        <color theme="1"/>
        <rFont val="&quot;Gill Sans&quot;, Arial"/>
      </rPr>
      <t>"Easy Orange" Vicenza Bianco KEG</t>
    </r>
    <r>
      <rPr>
        <b/>
        <i/>
        <sz val="8"/>
        <color rgb="FF00B050"/>
        <rFont val="&quot;Gill Sans&quot;, Arial"/>
      </rPr>
      <t xml:space="preserve">    </t>
    </r>
    <r>
      <rPr>
        <b/>
        <sz val="8"/>
        <color rgb="FF38761D"/>
        <rFont val="&quot;Gill Sans&quot;, Arial"/>
      </rPr>
      <t xml:space="preserve"> </t>
    </r>
    <r>
      <rPr>
        <b/>
        <i/>
        <sz val="8"/>
        <color rgb="FF38761D"/>
        <rFont val="&quot;Gill Sans&quot;, Arial"/>
      </rPr>
      <t>NEW</t>
    </r>
  </si>
  <si>
    <t>NW1149</t>
  </si>
  <si>
    <r>
      <rPr>
        <i/>
        <sz val="8"/>
        <rFont val="&quot;Gill Sans&quot;, Arial"/>
      </rPr>
      <t xml:space="preserve">60%  </t>
    </r>
    <r>
      <rPr>
        <i/>
        <sz val="8"/>
        <rFont val="&quot;Gill Sans&quot;, Arial"/>
      </rPr>
      <t>Souvignier Gris</t>
    </r>
    <r>
      <rPr>
        <i/>
        <sz val="8"/>
        <rFont val="&quot;Gill Sans&quot;, Arial"/>
      </rPr>
      <t xml:space="preserve">, 20% </t>
    </r>
    <r>
      <rPr>
        <i/>
        <sz val="8"/>
        <rFont val="&quot;Gill Sans&quot;, Arial"/>
      </rPr>
      <t>Moscato</t>
    </r>
    <r>
      <rPr>
        <i/>
        <sz val="8"/>
        <rFont val="&quot;Gill Sans&quot;, Arial"/>
      </rPr>
      <t xml:space="preserve"> / </t>
    </r>
    <r>
      <rPr>
        <i/>
        <sz val="8"/>
        <rFont val="&quot;Gill Sans&quot;, Arial"/>
      </rPr>
      <t>Traminer</t>
    </r>
    <r>
      <rPr>
        <i/>
        <sz val="8"/>
        <rFont val="&quot;Gill Sans&quot;, Arial"/>
      </rPr>
      <t xml:space="preserve">, 20% </t>
    </r>
    <r>
      <rPr>
        <i/>
        <sz val="8"/>
        <rFont val="&quot;Gill Sans&quot;, Arial"/>
      </rPr>
      <t>Johanniter</t>
    </r>
    <r>
      <rPr>
        <i/>
        <sz val="8"/>
        <rFont val="&quot;Gill Sans&quot;, Arial"/>
      </rPr>
      <t>.</t>
    </r>
  </si>
  <si>
    <r>
      <rPr>
        <b/>
        <sz val="8"/>
        <color theme="1"/>
        <rFont val="&quot;Gill Sans&quot;, Arial"/>
      </rPr>
      <t xml:space="preserve">"Easy Orange" Vicenza Bianco LITRO    </t>
    </r>
    <r>
      <rPr>
        <b/>
        <i/>
        <sz val="8"/>
        <color rgb="FF38761D"/>
        <rFont val="&quot;Gill Sans&quot;, Arial"/>
      </rPr>
      <t>NEW</t>
    </r>
  </si>
  <si>
    <r>
      <rPr>
        <i/>
        <sz val="8"/>
        <color theme="1"/>
        <rFont val="&quot;Gill Sans&quot;, Arial"/>
      </rPr>
      <t xml:space="preserve">60%  </t>
    </r>
    <r>
      <rPr>
        <i/>
        <sz val="8"/>
        <color theme="1"/>
        <rFont val="&quot;Gill Sans&quot;, Arial"/>
      </rPr>
      <t>Souvignier Gris</t>
    </r>
    <r>
      <rPr>
        <i/>
        <sz val="8"/>
        <color theme="1"/>
        <rFont val="&quot;Gill Sans&quot;, Arial"/>
      </rPr>
      <t xml:space="preserve">, 20% </t>
    </r>
    <r>
      <rPr>
        <i/>
        <sz val="8"/>
        <color theme="1"/>
        <rFont val="&quot;Gill Sans&quot;, Arial"/>
      </rPr>
      <t>Moscato</t>
    </r>
    <r>
      <rPr>
        <i/>
        <sz val="8"/>
        <color theme="1"/>
        <rFont val="&quot;Gill Sans&quot;, Arial"/>
      </rPr>
      <t xml:space="preserve"> / </t>
    </r>
    <r>
      <rPr>
        <i/>
        <sz val="8"/>
        <color theme="1"/>
        <rFont val="&quot;Gill Sans&quot;, Arial"/>
      </rPr>
      <t>Traminer</t>
    </r>
    <r>
      <rPr>
        <i/>
        <sz val="8"/>
        <color theme="1"/>
        <rFont val="&quot;Gill Sans&quot;, Arial"/>
      </rPr>
      <t xml:space="preserve">, 20% </t>
    </r>
    <r>
      <rPr>
        <i/>
        <sz val="8"/>
        <color theme="1"/>
        <rFont val="&quot;Gill Sans&quot;, Arial"/>
      </rPr>
      <t>Johanniter</t>
    </r>
    <r>
      <rPr>
        <i/>
        <sz val="8"/>
        <color theme="1"/>
        <rFont val="&quot;Gill Sans&quot;, Arial"/>
      </rPr>
      <t>.</t>
    </r>
  </si>
  <si>
    <t>"Easy Pet-Nat" Vicenza Frizzante Bianco LITRO</t>
  </si>
  <si>
    <t>12/1L</t>
  </si>
  <si>
    <t>4 : 11</t>
  </si>
  <si>
    <t>NW1143</t>
  </si>
  <si>
    <r>
      <rPr>
        <i/>
        <sz val="8"/>
        <rFont val="&quot;Gill Sans&quot;, Arial"/>
      </rPr>
      <t xml:space="preserve">90% </t>
    </r>
    <r>
      <rPr>
        <i/>
        <u/>
        <sz val="8"/>
        <rFont val="&quot;Gill Sans&quot;, Arial"/>
      </rPr>
      <t>Muscaris</t>
    </r>
    <r>
      <rPr>
        <i/>
        <sz val="8"/>
        <rFont val="&quot;Gill Sans&quot;, Arial"/>
      </rPr>
      <t xml:space="preserve">, 10% </t>
    </r>
    <r>
      <rPr>
        <i/>
        <u/>
        <sz val="8"/>
        <rFont val="&quot;Gill Sans&quot;, Arial"/>
      </rPr>
      <t>Durella</t>
    </r>
    <r>
      <rPr>
        <i/>
        <sz val="8"/>
        <rFont val="&quot;Gill Sans&quot;, Arial"/>
      </rPr>
      <t>.</t>
    </r>
  </si>
  <si>
    <t>Toscana - Pistoia</t>
  </si>
  <si>
    <t>VAL DI BURI</t>
  </si>
  <si>
    <r>
      <rPr>
        <b/>
        <sz val="8"/>
        <color theme="1"/>
        <rFont val="&quot;Gill Sans&quot;, Arial"/>
      </rPr>
      <t xml:space="preserve">"Forabuja" Pistoia Bianco           </t>
    </r>
    <r>
      <rPr>
        <b/>
        <i/>
        <sz val="8"/>
        <color rgb="FF6AA84F"/>
        <rFont val="&quot;Gill Sans&quot;, Arial"/>
      </rPr>
      <t>NEW</t>
    </r>
  </si>
  <si>
    <t>11 : 6</t>
  </si>
  <si>
    <t>NW1034-21</t>
  </si>
  <si>
    <t>Trebbiano Toscana, San Colombano.</t>
  </si>
  <si>
    <t>Sicilia - Trapani</t>
  </si>
  <si>
    <t>AZ. AGR. BERTOLINO</t>
  </si>
  <si>
    <r>
      <rPr>
        <b/>
        <sz val="8"/>
        <color theme="1"/>
        <rFont val="&quot;Gill Sans&quot;, Arial"/>
      </rPr>
      <t xml:space="preserve">"Fuitina" Marsala Bianco     </t>
    </r>
    <r>
      <rPr>
        <b/>
        <i/>
        <sz val="8"/>
        <color rgb="FF00B050"/>
        <rFont val="&quot;Gill Sans&quot;, Arial"/>
      </rPr>
      <t>NEW</t>
    </r>
  </si>
  <si>
    <t>NW1119</t>
  </si>
  <si>
    <t>Catarratto.</t>
  </si>
  <si>
    <t xml:space="preserve">          </t>
  </si>
  <si>
    <r>
      <rPr>
        <b/>
        <sz val="8"/>
        <rFont val="&quot;Gill Sans&quot;, Arial"/>
      </rPr>
      <t xml:space="preserve">"Nicuzza" Marsala Bianco     </t>
    </r>
    <r>
      <rPr>
        <b/>
        <i/>
        <sz val="8"/>
        <color rgb="FF00B050"/>
        <rFont val="&quot;Gill Sans&quot;, Arial"/>
      </rPr>
      <t>NEW</t>
    </r>
  </si>
  <si>
    <t>NW1174</t>
  </si>
  <si>
    <t>Grillo.</t>
  </si>
  <si>
    <t>Auvergne</t>
  </si>
  <si>
    <t>LES CHEMINS DE L'ARKOSE</t>
  </si>
  <si>
    <t xml:space="preserve">"Arkose" Puy de Dôme IGP Rouge   </t>
  </si>
  <si>
    <t>NW1083</t>
  </si>
  <si>
    <t>Gamay  (Old vines).</t>
  </si>
  <si>
    <t>Alsace</t>
  </si>
  <si>
    <t>DOMAINE MULLER-KOEBERLÉ</t>
  </si>
  <si>
    <t>♥ COEUR DE GAMME (HEART OF RANGE)</t>
  </si>
  <si>
    <r>
      <rPr>
        <b/>
        <sz val="8"/>
        <color theme="1"/>
        <rFont val="Arial"/>
        <family val="2"/>
      </rPr>
      <t xml:space="preserve">"Mobylette" Alsace Rose   </t>
    </r>
    <r>
      <rPr>
        <b/>
        <i/>
        <sz val="8"/>
        <color rgb="FF00B050"/>
        <rFont val="Arial"/>
        <family val="2"/>
      </rPr>
      <t>NEW</t>
    </r>
  </si>
  <si>
    <t>20 : 3</t>
  </si>
  <si>
    <t>NW1120</t>
  </si>
  <si>
    <t>Riesling, Auxerrois, Pinot Blanc, Pinot Gris, Muscat, Gewurz, Pinot Noir.</t>
  </si>
  <si>
    <t>Organic, Biodynamic 
Certified</t>
  </si>
  <si>
    <r>
      <rPr>
        <b/>
        <sz val="8"/>
        <color theme="1"/>
        <rFont val="Arial"/>
        <family val="2"/>
      </rPr>
      <t xml:space="preserve">"Symbiose" Alsace "Rose" </t>
    </r>
    <r>
      <rPr>
        <b/>
        <i/>
        <sz val="8"/>
        <color rgb="FF00B050"/>
        <rFont val="Arial"/>
        <family val="2"/>
      </rPr>
      <t>NEW</t>
    </r>
  </si>
  <si>
    <t>NW1121</t>
  </si>
  <si>
    <t>Riesling, Pinot Gris, Gewürztraminer, Muscat, Pinot Blanc, Auxerrois.</t>
  </si>
  <si>
    <r>
      <rPr>
        <b/>
        <sz val="8"/>
        <color rgb="FF000000"/>
        <rFont val="&quot;Gill Sans&quot;, sans-serif"/>
      </rPr>
      <t xml:space="preserve">"Burgreben" Alsace White   </t>
    </r>
    <r>
      <rPr>
        <b/>
        <i/>
        <sz val="8"/>
        <color rgb="FF00B050"/>
        <rFont val="&quot;Gill Sans&quot;, sans-serif"/>
      </rPr>
      <t>NEW</t>
    </r>
  </si>
  <si>
    <t>NW1122</t>
  </si>
  <si>
    <t>Riesling.</t>
  </si>
  <si>
    <r>
      <rPr>
        <b/>
        <sz val="8"/>
        <color rgb="FF000000"/>
        <rFont val="&quot;Gill Sans&quot;, sans-serif"/>
      </rPr>
      <t xml:space="preserve">"Geiss" Alsace Red  </t>
    </r>
    <r>
      <rPr>
        <b/>
        <i/>
        <sz val="8"/>
        <color rgb="FF00B050"/>
        <rFont val="&quot;Gill Sans&quot;, sans-serif"/>
      </rPr>
      <t>NEW</t>
    </r>
  </si>
  <si>
    <t>NW1124</t>
  </si>
  <si>
    <r>
      <rPr>
        <b/>
        <sz val="8"/>
        <color theme="1"/>
        <rFont val="Arial"/>
        <family val="2"/>
      </rPr>
      <t xml:space="preserve">AOC Alsace Rouge de St. Hippolyte </t>
    </r>
    <r>
      <rPr>
        <b/>
        <i/>
        <sz val="8"/>
        <color rgb="FF00B050"/>
        <rFont val="Arial"/>
        <family val="2"/>
      </rPr>
      <t>NEW</t>
    </r>
  </si>
  <si>
    <t>72 : 9</t>
  </si>
  <si>
    <t>Pinot Noir .</t>
  </si>
  <si>
    <r>
      <rPr>
        <b/>
        <sz val="8"/>
        <color theme="1"/>
        <rFont val="Arial"/>
        <family val="2"/>
      </rPr>
      <t xml:space="preserve">"Renard" Alsace Orange   </t>
    </r>
    <r>
      <rPr>
        <b/>
        <i/>
        <sz val="8"/>
        <color rgb="FF00B050"/>
        <rFont val="Arial"/>
        <family val="2"/>
      </rPr>
      <t>NEW</t>
    </r>
  </si>
  <si>
    <t>4 : 9</t>
  </si>
  <si>
    <t>100% Gerwuztraminer du Grand cru Gloeckelberg.</t>
  </si>
  <si>
    <t xml:space="preserve">♥ CRÉMANT &amp; PET-NAT </t>
  </si>
  <si>
    <r>
      <rPr>
        <b/>
        <sz val="8"/>
        <rFont val="Arial"/>
        <family val="2"/>
      </rPr>
      <t xml:space="preserve">Crémant Blanc de Noirs - Zéro dosage  </t>
    </r>
    <r>
      <rPr>
        <b/>
        <i/>
        <sz val="8"/>
        <color rgb="FF00B050"/>
        <rFont val="Arial"/>
        <family val="2"/>
      </rPr>
      <t>NEW</t>
    </r>
  </si>
  <si>
    <t>11 :10</t>
  </si>
  <si>
    <t>NW1125</t>
  </si>
  <si>
    <r>
      <rPr>
        <b/>
        <sz val="8"/>
        <color theme="1"/>
        <rFont val="Arial"/>
        <family val="2"/>
      </rPr>
      <t xml:space="preserve">Crémant Rosé "Marianne" - Zéro dosage  </t>
    </r>
    <r>
      <rPr>
        <b/>
        <i/>
        <sz val="8"/>
        <color rgb="FF00B050"/>
        <rFont val="Arial"/>
        <family val="2"/>
      </rPr>
      <t>NEW</t>
    </r>
  </si>
  <si>
    <t>Crémant Cuvée 60 ans -zéro dosage-  NEW</t>
  </si>
  <si>
    <t>5 : 6</t>
  </si>
  <si>
    <t>Chardonnay, Pinot Blanc, Auxerrois.</t>
  </si>
  <si>
    <r>
      <rPr>
        <b/>
        <sz val="8"/>
        <color theme="1"/>
        <rFont val="Arial"/>
        <family val="2"/>
      </rPr>
      <t xml:space="preserve">"Bigarrure" Alsace Pet-Nat   </t>
    </r>
    <r>
      <rPr>
        <b/>
        <i/>
        <sz val="8"/>
        <color rgb="FF00B050"/>
        <rFont val="Arial"/>
        <family val="2"/>
      </rPr>
      <t>NEW</t>
    </r>
  </si>
  <si>
    <t>NW1123</t>
  </si>
  <si>
    <t>Riesling and Pinot Gris 2020 infused with full-cluster Pinot Gris 2021.</t>
  </si>
  <si>
    <r>
      <rPr>
        <b/>
        <sz val="8"/>
        <color theme="1"/>
        <rFont val="Arial"/>
        <family val="2"/>
      </rPr>
      <t xml:space="preserve">"Bubble Rainette" Alsace Pet-Nat   </t>
    </r>
    <r>
      <rPr>
        <b/>
        <i/>
        <sz val="8"/>
        <color rgb="FF00B050"/>
        <rFont val="Arial"/>
        <family val="2"/>
      </rPr>
      <t>NEW</t>
    </r>
  </si>
  <si>
    <t>Muscat 10%, Riesling 90% (Premier Cru).</t>
  </si>
  <si>
    <t>♥ LANGENBERG</t>
  </si>
  <si>
    <r>
      <rPr>
        <b/>
        <sz val="8"/>
        <color theme="1"/>
        <rFont val="Arial"/>
        <family val="2"/>
      </rPr>
      <t xml:space="preserve">AOC Alsace Rouge Langenberg (Cellar Reserve)  </t>
    </r>
    <r>
      <rPr>
        <b/>
        <i/>
        <sz val="8"/>
        <color rgb="FF00B050"/>
        <rFont val="Arial"/>
        <family val="2"/>
      </rPr>
      <t>NEW</t>
    </r>
  </si>
  <si>
    <t>Pinot Noir (2 years aged in old oak barrels).</t>
  </si>
  <si>
    <r>
      <rPr>
        <b/>
        <sz val="8"/>
        <color theme="1"/>
        <rFont val="Arial"/>
        <family val="2"/>
      </rPr>
      <t xml:space="preserve">Reisling Langenberg Alsace White (Cellar Reserve)   </t>
    </r>
    <r>
      <rPr>
        <b/>
        <i/>
        <sz val="8"/>
        <color rgb="FF00B050"/>
        <rFont val="Arial"/>
        <family val="2"/>
      </rPr>
      <t>NEW</t>
    </r>
  </si>
  <si>
    <t>Riesling (2 years aged in old oak barrels).</t>
  </si>
  <si>
    <t>♥ MAGNUMS</t>
  </si>
  <si>
    <r>
      <rPr>
        <b/>
        <sz val="8"/>
        <color rgb="FF000000"/>
        <rFont val="&quot;Gill Sans&quot;, sans-serif"/>
      </rPr>
      <t xml:space="preserve">"Geiss" Alsace Red  </t>
    </r>
    <r>
      <rPr>
        <b/>
        <i/>
        <sz val="8"/>
        <color rgb="FF00B050"/>
        <rFont val="&quot;Gill Sans&quot;, sans-serif"/>
      </rPr>
      <t>NEW</t>
    </r>
  </si>
  <si>
    <t>NW</t>
  </si>
  <si>
    <t>COMING LATER THIS MONTH:</t>
  </si>
  <si>
    <t xml:space="preserve">    </t>
  </si>
  <si>
    <t>Colli Euganei (Padova)</t>
  </si>
  <si>
    <t>ANANDA (EDOARDO SACCHETTO)</t>
  </si>
  <si>
    <r>
      <rPr>
        <b/>
        <sz val="8"/>
        <color theme="1"/>
        <rFont val="Arial"/>
        <family val="2"/>
      </rPr>
      <t xml:space="preserve">"Syrius" Teolo Bianco   </t>
    </r>
    <r>
      <rPr>
        <b/>
        <i/>
        <sz val="8"/>
        <color rgb="FF00B050"/>
        <rFont val="Arial"/>
        <family val="2"/>
      </rPr>
      <t>NEW</t>
    </r>
  </si>
  <si>
    <t>NW1170-22</t>
  </si>
  <si>
    <r>
      <rPr>
        <i/>
        <sz val="8"/>
        <rFont val="&quot;Gill Sans&quot;, Arial"/>
      </rPr>
      <t>70% Marzemino Bianco, 30% Pinella</t>
    </r>
    <r>
      <rPr>
        <i/>
        <sz val="8"/>
        <rFont val="&quot;Gill Sans&quot;, Arial"/>
      </rPr>
      <t xml:space="preserve"> </t>
    </r>
    <r>
      <rPr>
        <i/>
        <sz val="6"/>
        <rFont val="&quot;Gill Sans&quot;, Arial"/>
      </rPr>
      <t>(destemmed grape maceration 10 days - Steel aging)</t>
    </r>
  </si>
  <si>
    <r>
      <rPr>
        <b/>
        <sz val="8"/>
        <color theme="1"/>
        <rFont val="Arial"/>
        <family val="2"/>
      </rPr>
      <t xml:space="preserve">"Salicornia" Teolo Bianco </t>
    </r>
    <r>
      <rPr>
        <b/>
        <i/>
        <sz val="8"/>
        <color rgb="FF00B050"/>
        <rFont val="Arial"/>
        <family val="2"/>
      </rPr>
      <t>NEW</t>
    </r>
  </si>
  <si>
    <t>NW1171-22</t>
  </si>
  <si>
    <r>
      <rPr>
        <i/>
        <sz val="8"/>
        <color theme="1"/>
        <rFont val="&quot;Gill Sans&quot;, Arial"/>
      </rPr>
      <t xml:space="preserve">Moscato Bianco  </t>
    </r>
    <r>
      <rPr>
        <i/>
        <sz val="7"/>
        <color theme="1"/>
        <rFont val="&quot;Gill Sans&quot;, Arial"/>
      </rPr>
      <t>(destemmed grape maceration 13 days - steel aging)</t>
    </r>
  </si>
  <si>
    <r>
      <rPr>
        <b/>
        <sz val="8"/>
        <rFont val="Arial"/>
        <family val="2"/>
      </rPr>
      <t xml:space="preserve">"Le Vergine" Teolo Bianco   </t>
    </r>
    <r>
      <rPr>
        <b/>
        <i/>
        <sz val="8"/>
        <color rgb="FF00B050"/>
        <rFont val="Arial"/>
        <family val="2"/>
      </rPr>
      <t>NEW</t>
    </r>
  </si>
  <si>
    <t>NW1203-22</t>
  </si>
  <si>
    <r>
      <rPr>
        <i/>
        <sz val="8"/>
        <color theme="1"/>
        <rFont val="&quot;Gill Sans&quot;, Arial"/>
      </rPr>
      <t>Moscato Bianco</t>
    </r>
    <r>
      <rPr>
        <i/>
        <sz val="7"/>
        <color theme="1"/>
        <rFont val="&quot;Gill Sans&quot;, Arial"/>
      </rPr>
      <t xml:space="preserve"> (direct press - fiberglass aging)</t>
    </r>
  </si>
  <si>
    <r>
      <rPr>
        <b/>
        <sz val="8"/>
        <color theme="1"/>
        <rFont val="Arial"/>
        <family val="2"/>
      </rPr>
      <t xml:space="preserve">"Lilly" Teolo Rosato     </t>
    </r>
    <r>
      <rPr>
        <b/>
        <sz val="8"/>
        <color rgb="FFFCE5CD"/>
        <rFont val="Arial"/>
        <family val="2"/>
      </rPr>
      <t xml:space="preserve"> </t>
    </r>
    <r>
      <rPr>
        <b/>
        <i/>
        <sz val="8"/>
        <color rgb="FFFCE5CD"/>
        <rFont val="Arial"/>
        <family val="2"/>
      </rPr>
      <t>NEW</t>
    </r>
  </si>
  <si>
    <t>NW1169-22</t>
  </si>
  <si>
    <t>Cabernet Sauvignon (Direct press - aged in steel)</t>
  </si>
  <si>
    <r>
      <rPr>
        <b/>
        <sz val="8"/>
        <color theme="1"/>
        <rFont val="Arial"/>
        <family val="2"/>
      </rPr>
      <t xml:space="preserve">"Petit Parcel" Teolo Rosato </t>
    </r>
    <r>
      <rPr>
        <b/>
        <sz val="8"/>
        <color rgb="FFFCE5CD"/>
        <rFont val="Arial"/>
        <family val="2"/>
      </rPr>
      <t xml:space="preserve">  </t>
    </r>
    <r>
      <rPr>
        <b/>
        <i/>
        <sz val="8"/>
        <color rgb="FFFCE5CD"/>
        <rFont val="Arial"/>
        <family val="2"/>
      </rPr>
      <t>NEW</t>
    </r>
  </si>
  <si>
    <t>NW1204-22</t>
  </si>
  <si>
    <t>Old vines - 7 varieties (Semi Carbonic Maceration - aged in steel)</t>
  </si>
  <si>
    <r>
      <rPr>
        <b/>
        <sz val="8"/>
        <color theme="1"/>
        <rFont val="Arial"/>
        <family val="2"/>
      </rPr>
      <t xml:space="preserve">"Threesome" Teolo Rosato   </t>
    </r>
    <r>
      <rPr>
        <b/>
        <i/>
        <sz val="8"/>
        <color rgb="FFFCE5CD"/>
        <rFont val="Arial"/>
        <family val="2"/>
      </rPr>
      <t>NEW</t>
    </r>
  </si>
  <si>
    <t>NW1205-22</t>
  </si>
  <si>
    <t>Dorona, Marzemino Rosso, Glera (Direct press - aged in steel)</t>
  </si>
  <si>
    <r>
      <rPr>
        <b/>
        <sz val="8"/>
        <color theme="1"/>
        <rFont val="Arial"/>
        <family val="2"/>
      </rPr>
      <t xml:space="preserve">"Gargamerlo" Teolo Rosso   </t>
    </r>
    <r>
      <rPr>
        <b/>
        <i/>
        <sz val="8"/>
        <color rgb="FFFCE5CD"/>
        <rFont val="Arial"/>
        <family val="2"/>
      </rPr>
      <t>NEW</t>
    </r>
  </si>
  <si>
    <t>NW1166-22</t>
  </si>
  <si>
    <t>Garganega, Merlot co-fermented (aged in fiberglass)</t>
  </si>
  <si>
    <r>
      <rPr>
        <b/>
        <sz val="8"/>
        <rFont val="Arial"/>
        <family val="2"/>
      </rPr>
      <t xml:space="preserve">"La Madonna del Nord" Teolo Rosso   </t>
    </r>
    <r>
      <rPr>
        <b/>
        <i/>
        <sz val="8"/>
        <color rgb="FFF4CCCC"/>
        <rFont val="Arial"/>
        <family val="2"/>
      </rPr>
      <t>NEW</t>
    </r>
  </si>
  <si>
    <t>NW1167-22</t>
  </si>
  <si>
    <t>Merlot (aged in fiberglass)</t>
  </si>
  <si>
    <t>Trentino - Alto Adige</t>
  </si>
  <si>
    <t>FLORIBUNDA CIDER</t>
  </si>
  <si>
    <r>
      <rPr>
        <b/>
        <sz val="8"/>
        <color theme="1"/>
        <rFont val="&quot;Gill Sans&quot;, Arial"/>
      </rPr>
      <t xml:space="preserve">"Apfelcider" Südtirol Sparkling Apple Cider   </t>
    </r>
    <r>
      <rPr>
        <b/>
        <i/>
        <sz val="8"/>
        <color rgb="FF9900FF"/>
        <rFont val="&quot;Gill Sans&quot;, Arial"/>
      </rPr>
      <t>NEW</t>
    </r>
  </si>
  <si>
    <t>NW1017</t>
  </si>
  <si>
    <t>Topaz apples, Goldrush apples.</t>
  </si>
  <si>
    <r>
      <rPr>
        <b/>
        <sz val="8"/>
        <color theme="1"/>
        <rFont val="&quot;Gill Sans&quot;, Arial"/>
      </rPr>
      <t xml:space="preserve">"Ginger Cider" Südtirol Sparkling Apple Cider   </t>
    </r>
    <r>
      <rPr>
        <b/>
        <i/>
        <sz val="8"/>
        <color rgb="FF9900FF"/>
        <rFont val="&quot;Gill Sans&quot;, Arial"/>
      </rPr>
      <t>NEW</t>
    </r>
  </si>
  <si>
    <t>NW1018</t>
  </si>
  <si>
    <t>Topaz apples, Local ginger.</t>
  </si>
  <si>
    <r>
      <rPr>
        <b/>
        <sz val="8"/>
        <color theme="1"/>
        <rFont val="&quot;Gill Sans&quot;, Arial"/>
      </rPr>
      <t xml:space="preserve">"Holunder Cider" Südtirol Sparkling Apple Cider </t>
    </r>
    <r>
      <rPr>
        <b/>
        <i/>
        <sz val="8"/>
        <color theme="1"/>
        <rFont val="&quot;Gill Sans&quot;, Arial"/>
      </rPr>
      <t xml:space="preserve"> </t>
    </r>
    <r>
      <rPr>
        <b/>
        <i/>
        <sz val="8"/>
        <color rgb="FF00B050"/>
        <rFont val="&quot;Gill Sans&quot;, Arial"/>
      </rPr>
      <t>NEW</t>
    </r>
  </si>
  <si>
    <t>NW1019</t>
  </si>
  <si>
    <t>Topaz apples, foraged elderflowers.</t>
  </si>
  <si>
    <r>
      <rPr>
        <b/>
        <sz val="8"/>
        <color theme="1"/>
        <rFont val="&quot;Gill Sans&quot;, Arial"/>
      </rPr>
      <t xml:space="preserve">"Rose Cider" Südtirol Sparkling Rose Apple Cider </t>
    </r>
    <r>
      <rPr>
        <b/>
        <i/>
        <sz val="8"/>
        <color theme="1"/>
        <rFont val="&quot;Gill Sans&quot;, Arial"/>
      </rPr>
      <t xml:space="preserve"> </t>
    </r>
    <r>
      <rPr>
        <b/>
        <i/>
        <sz val="8"/>
        <color rgb="FF00B050"/>
        <rFont val="&quot;Gill Sans&quot;, Arial"/>
      </rPr>
      <t>NEW</t>
    </r>
  </si>
  <si>
    <t>NW1058</t>
  </si>
  <si>
    <t xml:space="preserve">Topaz apples and Weirouge (red-fleshed apple variety) </t>
  </si>
  <si>
    <r>
      <rPr>
        <b/>
        <sz val="8"/>
        <color theme="1"/>
        <rFont val="&quot;Gill Sans&quot;, Arial"/>
      </rPr>
      <t xml:space="preserve">"Cider alla Cotogna" Südtirol Sparkling Apple Quince Cider   </t>
    </r>
    <r>
      <rPr>
        <b/>
        <i/>
        <sz val="8"/>
        <color rgb="FF9900FF"/>
        <rFont val="&quot;Gill Sans&quot;, Arial"/>
      </rPr>
      <t>NEW</t>
    </r>
  </si>
  <si>
    <t>NW1134</t>
  </si>
  <si>
    <t>Topaz apples, Quince.</t>
  </si>
  <si>
    <r>
      <rPr>
        <b/>
        <sz val="8"/>
        <color theme="1"/>
        <rFont val="&quot;Gill Sans&quot;, Arial"/>
      </rPr>
      <t xml:space="preserve">"Peperoncino Cider" Südtirol Sparkling Apple Cider    </t>
    </r>
    <r>
      <rPr>
        <b/>
        <i/>
        <sz val="8"/>
        <color rgb="FF9900FF"/>
        <rFont val="&quot;Gill Sans&quot;, Arial"/>
      </rPr>
      <t>NEW</t>
    </r>
  </si>
  <si>
    <t>NW1218</t>
  </si>
  <si>
    <t>Topaz apples, Habanero from their garden.</t>
  </si>
  <si>
    <r>
      <rPr>
        <b/>
        <sz val="8"/>
        <color theme="1"/>
        <rFont val="&quot;Gill Sans&quot;, Arial"/>
      </rPr>
      <t xml:space="preserve">"KorMela" Südtirol Sparkling Apple Cherry Cider    </t>
    </r>
    <r>
      <rPr>
        <b/>
        <i/>
        <sz val="8"/>
        <color rgb="FF9900FF"/>
        <rFont val="&quot;Gill Sans&quot;, Arial"/>
      </rPr>
      <t>NEW</t>
    </r>
  </si>
  <si>
    <t>NW1219</t>
  </si>
  <si>
    <t>Topaz apples, Kornelkirsche Cherries.</t>
  </si>
  <si>
    <t>Liguria and Toscana</t>
  </si>
  <si>
    <t>TERRE DI CONFINE</t>
  </si>
  <si>
    <t xml:space="preserve">"Lincontro" Carrara Bianco      </t>
  </si>
  <si>
    <t>NW1139-22</t>
  </si>
  <si>
    <t>heroic viticilture</t>
  </si>
  <si>
    <t>Vermentino, Trebbiano Rosa, Moscato Gialla, Albarola, Malvasia</t>
  </si>
  <si>
    <t>"Lintero" Carrara Rosso</t>
  </si>
  <si>
    <t>NW1138-22</t>
  </si>
  <si>
    <t>Vermentino Nero, Sangiovese, Merlot, Barbarossa, Syrah, Cabernet Franc</t>
  </si>
  <si>
    <t>Galicia</t>
  </si>
  <si>
    <t>PEQUENA ADEGA ROMANA</t>
  </si>
  <si>
    <t xml:space="preserve">"Nostrum" Valdeorras White     </t>
  </si>
  <si>
    <t>NW1209-21</t>
  </si>
  <si>
    <t>Godello 70%, Mencia 30% in Tinajas Amphorae</t>
  </si>
  <si>
    <t xml:space="preserve">"Festina Lente" Valdeorras White      </t>
  </si>
  <si>
    <t>NW1211-21</t>
  </si>
  <si>
    <t>Godello, Treixadura in Tinajas Amphorae</t>
  </si>
  <si>
    <t>"Galerno" Valdeorras White and Red Co-Ferment</t>
  </si>
  <si>
    <t>NW1210-21</t>
  </si>
  <si>
    <t>Garnacha tintorera, Godello in Tinajas Amphorae</t>
  </si>
  <si>
    <t xml:space="preserve">"Barbarus!" Valdeorras Red       </t>
  </si>
  <si>
    <t>NW1208-21</t>
  </si>
  <si>
    <t>Garnacha Tintorera, Palomino (ploussard-style) in Tinajas Amphorae</t>
  </si>
  <si>
    <t>Wine</t>
  </si>
  <si>
    <t>Appellation</t>
  </si>
  <si>
    <t>Volume</t>
  </si>
  <si>
    <t>Pack-size</t>
  </si>
  <si>
    <t>National</t>
  </si>
  <si>
    <t>RSA101-20</t>
  </si>
  <si>
    <t>Artana</t>
  </si>
  <si>
    <t>Rkatsiteli</t>
  </si>
  <si>
    <t>Kakheti, Georgia</t>
  </si>
  <si>
    <t>RSA101-16</t>
  </si>
  <si>
    <t>RSA102-19</t>
  </si>
  <si>
    <t>Saperavi</t>
  </si>
  <si>
    <t>RSA103-20</t>
  </si>
  <si>
    <t>Tavkveri</t>
  </si>
  <si>
    <t>RSA100-20</t>
  </si>
  <si>
    <t>Kisi</t>
  </si>
  <si>
    <t>RSA101-15</t>
  </si>
  <si>
    <t>RSA101-19</t>
  </si>
  <si>
    <t>RS22-0009-21</t>
  </si>
  <si>
    <t>Catherine Bernard</t>
  </si>
  <si>
    <t>Alicante</t>
  </si>
  <si>
    <t>Languedoc, France</t>
  </si>
  <si>
    <t>RS22-0010-21</t>
  </si>
  <si>
    <t>Rose de Carbonelle</t>
  </si>
  <si>
    <t>RS22-0011-20</t>
  </si>
  <si>
    <t>La Carbonelle</t>
  </si>
  <si>
    <t>RS22-0011-20M</t>
  </si>
  <si>
    <t>RSCB100-19</t>
  </si>
  <si>
    <t>Le Carignan</t>
  </si>
  <si>
    <t>RSC101-18</t>
  </si>
  <si>
    <t>Colombaia</t>
  </si>
  <si>
    <t>Rosato</t>
  </si>
  <si>
    <t>Tuscany, Italy</t>
  </si>
  <si>
    <t>RSDV103-21</t>
  </si>
  <si>
    <t>Domäne Vincendeau</t>
  </si>
  <si>
    <t xml:space="preserve">Rosa </t>
  </si>
  <si>
    <t>Loire Valley, France</t>
  </si>
  <si>
    <t>RSDV104-15</t>
  </si>
  <si>
    <t>Zeitlos</t>
  </si>
  <si>
    <t>RSDV104-18</t>
  </si>
  <si>
    <t>RSDV100-20</t>
  </si>
  <si>
    <t>Gold</t>
  </si>
  <si>
    <t>RSDV101-19</t>
  </si>
  <si>
    <t>Le Carré du Puits</t>
  </si>
  <si>
    <t>RSDV102-16</t>
  </si>
  <si>
    <t>Le Raguenet</t>
  </si>
  <si>
    <t>RSEK100-NV</t>
  </si>
  <si>
    <t>Eric Kamm</t>
  </si>
  <si>
    <t>A Chacun Sa Bulle</t>
  </si>
  <si>
    <t>Alsace, France</t>
  </si>
  <si>
    <t>RSEK101-19</t>
  </si>
  <si>
    <t>Auxerrois</t>
  </si>
  <si>
    <t>RSEK101-NV</t>
  </si>
  <si>
    <t>Kammmehamehaa</t>
  </si>
  <si>
    <t>RSKM101-20</t>
  </si>
  <si>
    <t>Kortavebis Marani</t>
  </si>
  <si>
    <t>3 Grapes</t>
  </si>
  <si>
    <t>RSKM-TW01-20</t>
  </si>
  <si>
    <t>Black Rkatsiteli</t>
  </si>
  <si>
    <t>RSKM102-20</t>
  </si>
  <si>
    <t>Kiss of Kakhuri Mtsvane</t>
  </si>
  <si>
    <t>RSKM105-20</t>
  </si>
  <si>
    <t>RSKM100-20</t>
  </si>
  <si>
    <t>Kakhuri Mtsvane</t>
  </si>
  <si>
    <t>Saperavi + Kisi + Khikhvi</t>
  </si>
  <si>
    <t>RSKM104-20</t>
  </si>
  <si>
    <t>Chinuri + Saperavi</t>
  </si>
  <si>
    <t>RSPB105-18</t>
  </si>
  <si>
    <t>La Petite Baigneuse</t>
  </si>
  <si>
    <t xml:space="preserve">Grand Largue </t>
  </si>
  <si>
    <t>Roussillon, France</t>
  </si>
  <si>
    <t>RSPB100-20</t>
  </si>
  <si>
    <t>Plâit il!</t>
  </si>
  <si>
    <t>RSPB101-20</t>
  </si>
  <si>
    <t>Imposture</t>
  </si>
  <si>
    <t>RSPB102-19</t>
  </si>
  <si>
    <t>Juste Ciel</t>
  </si>
  <si>
    <t>RSPB103-19</t>
  </si>
  <si>
    <t>Les Loustics</t>
  </si>
  <si>
    <t>RSPB105-19</t>
  </si>
  <si>
    <t>RSPB106-19</t>
  </si>
  <si>
    <t>Fusion</t>
  </si>
  <si>
    <t>RSLV-RK01-21</t>
  </si>
  <si>
    <t>Lagvinari</t>
  </si>
  <si>
    <t>Imereti, Georgia</t>
  </si>
  <si>
    <t>RSLV-TS01-20</t>
  </si>
  <si>
    <t>Tsolikouri</t>
  </si>
  <si>
    <t>RSLV-KR01-20</t>
  </si>
  <si>
    <t>Krakhuna</t>
  </si>
  <si>
    <t>RS22-0005-19</t>
  </si>
  <si>
    <t>Tsitska</t>
  </si>
  <si>
    <t>RSLV-OS01-19</t>
  </si>
  <si>
    <t>Otskanuri Sapere</t>
  </si>
  <si>
    <t>RSLV-RK01-20</t>
  </si>
  <si>
    <t>RSLV-KI01-20</t>
  </si>
  <si>
    <t>RS22-0004-19</t>
  </si>
  <si>
    <t>Aladasturi</t>
  </si>
  <si>
    <t>RS22-0002-19</t>
  </si>
  <si>
    <t>RS22-0001-19</t>
  </si>
  <si>
    <t>RS22-0003-19</t>
  </si>
  <si>
    <t>RS-MM-01-20</t>
  </si>
  <si>
    <t>Martvilis Marani</t>
  </si>
  <si>
    <t>Samegrelo, Georgia</t>
  </si>
  <si>
    <t>RS-MM-02-20</t>
  </si>
  <si>
    <t>RS-MM-03-20</t>
  </si>
  <si>
    <t>Aladasturi Rose</t>
  </si>
  <si>
    <t>RS-MM-04-20</t>
  </si>
  <si>
    <t>Aladasturi Red</t>
  </si>
  <si>
    <t>RSMM-TK01-20</t>
  </si>
  <si>
    <t>Tsolikouri Krakhuna</t>
  </si>
  <si>
    <t>RSMM-MK01-20</t>
  </si>
  <si>
    <t>Mtsvane Kakhuri</t>
  </si>
  <si>
    <t>RSMM-OO01-20</t>
  </si>
  <si>
    <t>Orbeluri Ojaleshi</t>
  </si>
  <si>
    <t>RSMM-O01-20</t>
  </si>
  <si>
    <t>Ojaleshi</t>
  </si>
  <si>
    <t>RSO200-20</t>
  </si>
  <si>
    <t>Ocho</t>
  </si>
  <si>
    <t>Mtsvane / Do U Believe?</t>
  </si>
  <si>
    <t>RSO201-21</t>
  </si>
  <si>
    <t>Kisi / What R U Waiting For?</t>
  </si>
  <si>
    <t>RS22-0008-21</t>
  </si>
  <si>
    <t>Khikhvi / Who Do U Love?</t>
  </si>
  <si>
    <t>RSO202-21</t>
  </si>
  <si>
    <t>Rkatsiteli / Why R U Here?</t>
  </si>
  <si>
    <t>RSO203-20</t>
  </si>
  <si>
    <t>Rkatsiteli Mtsvane / Who R U?</t>
  </si>
  <si>
    <t>Saperavi / Who Do U Love?</t>
  </si>
  <si>
    <t>RS22-0007-20</t>
  </si>
  <si>
    <t>Goruli Mtsvane / What Do U Wish?</t>
  </si>
  <si>
    <t>RSOW-CH01-21</t>
  </si>
  <si>
    <t>Chinuri / How Do U Feel?</t>
  </si>
  <si>
    <t>RSOW-TS01-21</t>
  </si>
  <si>
    <t>Tsolikouri / What Do U Know?</t>
  </si>
  <si>
    <t>Mtsvane</t>
  </si>
  <si>
    <t>RSO201-20</t>
  </si>
  <si>
    <t>RSO202-20</t>
  </si>
  <si>
    <t xml:space="preserve">Rkatsiteli Mtsvane </t>
  </si>
  <si>
    <t>RSO204-20</t>
  </si>
  <si>
    <t>Chinuri</t>
  </si>
  <si>
    <t>RSOF100-19</t>
  </si>
  <si>
    <t>Oda Family Winery</t>
  </si>
  <si>
    <t>RONISELECTS.COM</t>
  </si>
  <si>
    <t>NATIVE SELECTIONS NATIONAL PRICEBOOK   -   ORDER DEADLINE 1PM   -   TONI@ZRSWINES.COM  -   347-689-4031  -   ZRSWINES.COM</t>
  </si>
  <si>
    <t>VSRO21</t>
  </si>
  <si>
    <t>VSPP21</t>
  </si>
  <si>
    <t>VSSUMBB19</t>
  </si>
  <si>
    <t>sumoll blanc</t>
  </si>
  <si>
    <t>macabeo (chestnut barrels)</t>
  </si>
  <si>
    <t>VSCLA20</t>
  </si>
  <si>
    <t>"Claret" Ecologico Rosé</t>
  </si>
  <si>
    <t>sumoll rosat &amp; macerated xarel.lo</t>
  </si>
  <si>
    <t>VSMS20</t>
  </si>
  <si>
    <t>"Brisat" Malvasia</t>
  </si>
  <si>
    <t>malvasia de sitges</t>
  </si>
  <si>
    <t>VSXVB20</t>
  </si>
  <si>
    <t>xarel.lo vermell</t>
  </si>
  <si>
    <t>VSXVB21</t>
  </si>
  <si>
    <t>VS1000R19</t>
  </si>
  <si>
    <t>"Mil Races (1000 R)" Red</t>
  </si>
  <si>
    <t>merlot, tempranillo, monastrell, garnacha, sumoll, syrah, cabernet sauvignon</t>
  </si>
  <si>
    <t>VSSUAM20</t>
  </si>
  <si>
    <t>VSSUMCA19</t>
  </si>
  <si>
    <t>VSSUMBV19</t>
  </si>
  <si>
    <t>VSXAS19</t>
  </si>
  <si>
    <t>DOMAINE PECHPEYROU</t>
  </si>
  <si>
    <t>INVOICED &amp; PROCESSED SEPARATELY FROM OTHER PORTFOLIOS - PLEASE TELL US IF YOU WOULD LIKE TO REQUEST CONSOLIDATION - CREATE SEPARATE PURCHASE ORDER FOR NATIVE SELECTIONS-ONLY ITEMS</t>
  </si>
  <si>
    <t>REGION</t>
  </si>
  <si>
    <t>PRODUCER</t>
  </si>
  <si>
    <t>New Cuvee</t>
  </si>
  <si>
    <t>New Vintage</t>
  </si>
  <si>
    <t>In Stock</t>
  </si>
  <si>
    <t>Not Available / Sold Out</t>
  </si>
  <si>
    <t>Limited Availibility / Allocated</t>
  </si>
  <si>
    <t>In Transit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</si>
</sst>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_);[Red]\(&quot;$&quot;#,##0.00\)"/>
    <numFmt numFmtId="164" formatCode="&quot;$&quot;#,##0.00"/>
    <numFmt numFmtId="165" formatCode="&quot;$&quot;#,##0"/>
    <numFmt numFmtId="166" formatCode="m\-yyyy"/>
    <numFmt numFmtId="167" formatCode="mm/dd/yyyy"/>
    <numFmt numFmtId="168" formatCode="m/d/yyyy"/>
    <numFmt numFmtId="169" formatCode="&quot;$&quot;0.00"/>
    <numFmt numFmtId="170" formatCode="0.0%"/>
  </numFmts>
  <fonts count="209">
    <font>
      <sz val="10"/>
      <color rgb="FF000000"/>
      <name val="Georgia"/>
      <scheme val="minor"/>
    </font>
    <font>
      <b/>
      <sz val="17"/>
      <color rgb="FF000000"/>
      <name val="Helvetica Neue"/>
      <family val="2"/>
    </font>
    <font>
      <sz val="10"/>
      <name val="Georgia"/>
      <family val="1"/>
    </font>
    <font>
      <sz val="26"/>
      <color rgb="FFD9EAD3"/>
      <name val="Helvetica Neue"/>
      <family val="2"/>
    </font>
    <font>
      <sz val="14"/>
      <color rgb="FF000000"/>
      <name val="Helvetica Neue"/>
      <family val="2"/>
    </font>
    <font>
      <sz val="10"/>
      <color rgb="FF000000"/>
      <name val="Helvetica Neue"/>
      <family val="2"/>
    </font>
    <font>
      <i/>
      <sz val="9"/>
      <color rgb="FF000000"/>
      <name val="Helvetica Neue"/>
      <family val="2"/>
    </font>
    <font>
      <sz val="9"/>
      <color rgb="FF000000"/>
      <name val="Helvetica Neue"/>
      <family val="2"/>
    </font>
    <font>
      <i/>
      <sz val="10"/>
      <color rgb="FF008000"/>
      <name val="Helvetica Neue"/>
      <family val="2"/>
    </font>
    <font>
      <sz val="10"/>
      <color rgb="FF222222"/>
      <name val="Arial"/>
      <family val="2"/>
    </font>
    <font>
      <sz val="18"/>
      <color rgb="FF000000"/>
      <name val="Helvetica Neue"/>
      <family val="2"/>
    </font>
    <font>
      <sz val="10"/>
      <color theme="1"/>
      <name val="Helvetica Neue"/>
      <family val="2"/>
    </font>
    <font>
      <i/>
      <sz val="10"/>
      <color rgb="FF38761D"/>
      <name val="Helvetica Neue"/>
      <family val="2"/>
    </font>
    <font>
      <sz val="9"/>
      <color theme="1"/>
      <name val="Helvetica Neue"/>
      <family val="2"/>
    </font>
    <font>
      <sz val="10"/>
      <color theme="1"/>
      <name val="&quot;Helvetica Neue&quot;"/>
    </font>
    <font>
      <sz val="14"/>
      <color theme="1"/>
      <name val="Helvetica Neue"/>
      <family val="2"/>
    </font>
    <font>
      <sz val="10"/>
      <color theme="1"/>
      <name val="Helvetica Neue"/>
      <family val="2"/>
    </font>
    <font>
      <i/>
      <sz val="9"/>
      <color theme="1"/>
      <name val="Helvetica Neue"/>
      <family val="2"/>
    </font>
    <font>
      <i/>
      <sz val="10"/>
      <color rgb="FF38761D"/>
      <name val="Helvetica Neue"/>
      <family val="2"/>
    </font>
    <font>
      <sz val="10"/>
      <color rgb="FF008000"/>
      <name val="Helvetica Neue"/>
      <family val="2"/>
    </font>
    <font>
      <i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0"/>
      <color theme="1"/>
      <name val="Georgia"/>
      <family val="1"/>
    </font>
    <font>
      <i/>
      <sz val="9"/>
      <color rgb="FF1F1F1F"/>
      <name val="&quot;Google Sans&quot;"/>
    </font>
    <font>
      <i/>
      <sz val="10"/>
      <color rgb="FF366092"/>
      <name val="Helvetica Neue"/>
      <family val="2"/>
    </font>
    <font>
      <i/>
      <sz val="10"/>
      <color rgb="FFDA9694"/>
      <name val="Helvetica Neue"/>
      <family val="2"/>
    </font>
    <font>
      <sz val="10"/>
      <color theme="1"/>
      <name val="Georgia"/>
      <family val="1"/>
      <scheme val="minor"/>
    </font>
    <font>
      <sz val="10"/>
      <color rgb="FF76933C"/>
      <name val="Helvetica Neue"/>
      <family val="2"/>
    </font>
    <font>
      <sz val="18"/>
      <color theme="1"/>
      <name val="Helvetica Neue"/>
      <family val="2"/>
    </font>
    <font>
      <i/>
      <sz val="8"/>
      <color rgb="FF000000"/>
      <name val="Helvetica Neue"/>
      <family val="2"/>
    </font>
    <font>
      <i/>
      <sz val="10"/>
      <color rgb="FF76933C"/>
      <name val="Helvetica Neue"/>
      <family val="2"/>
    </font>
    <font>
      <i/>
      <sz val="10"/>
      <color theme="1"/>
      <name val="Helvetica Neue"/>
      <family val="2"/>
    </font>
    <font>
      <sz val="26"/>
      <color rgb="FFFFF2CC"/>
      <name val="Helvetica Neue"/>
      <family val="2"/>
    </font>
    <font>
      <sz val="26"/>
      <color rgb="FFD9D2E9"/>
      <name val="Helvetica Neue"/>
      <family val="2"/>
    </font>
    <font>
      <i/>
      <sz val="9"/>
      <color theme="1"/>
      <name val="&quot;Helvetica Neue&quot;"/>
    </font>
    <font>
      <i/>
      <sz val="10"/>
      <color rgb="FF38761D"/>
      <name val="&quot;Helvetica Neue&quot;"/>
    </font>
    <font>
      <sz val="26"/>
      <color rgb="FFD0E0E3"/>
      <name val="Helvetica Neue"/>
      <family val="2"/>
    </font>
    <font>
      <sz val="10"/>
      <color theme="1"/>
      <name val="Verdana"/>
      <family val="2"/>
    </font>
    <font>
      <sz val="26"/>
      <color rgb="FFF4CCCC"/>
      <name val="Helvetica Neue"/>
      <family val="2"/>
    </font>
    <font>
      <sz val="26"/>
      <color rgb="FFFCE5CD"/>
      <name val="Helvetica Neue"/>
      <family val="2"/>
    </font>
    <font>
      <i/>
      <sz val="7"/>
      <color rgb="FF000000"/>
      <name val="Helvetica Neue"/>
      <family val="2"/>
    </font>
    <font>
      <i/>
      <sz val="10"/>
      <color theme="1"/>
      <name val="Helvetica Neue"/>
      <family val="2"/>
    </font>
    <font>
      <sz val="24"/>
      <color theme="1"/>
      <name val="&quot;Helvetica Neue&quot;"/>
    </font>
    <font>
      <b/>
      <sz val="9"/>
      <color theme="1"/>
      <name val="&quot;Helvetica Neue&quot;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Helvetica Neue"/>
      <family val="2"/>
    </font>
    <font>
      <sz val="14"/>
      <color theme="1"/>
      <name val="&quot;Helvetica Neue&quot;"/>
    </font>
    <font>
      <sz val="26"/>
      <color theme="1"/>
      <name val="&quot;Helvetica Neue&quot;"/>
    </font>
    <font>
      <sz val="26"/>
      <color rgb="FF000000"/>
      <name val="Helvetica Neue"/>
      <family val="2"/>
    </font>
    <font>
      <i/>
      <sz val="10"/>
      <color theme="1"/>
      <name val="&quot;Helvetica Neue&quot;"/>
    </font>
    <font>
      <b/>
      <sz val="10"/>
      <color theme="1"/>
      <name val="Helvetica Neue"/>
      <family val="2"/>
    </font>
    <font>
      <i/>
      <sz val="10"/>
      <color rgb="FF000000"/>
      <name val="Helvetica Neue"/>
      <family val="2"/>
    </font>
    <font>
      <b/>
      <sz val="16"/>
      <color theme="1"/>
      <name val="Arial"/>
      <family val="2"/>
    </font>
    <font>
      <b/>
      <sz val="13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1F1F1F"/>
      <name val="Arial"/>
      <family val="2"/>
    </font>
    <font>
      <sz val="12"/>
      <color rgb="FF1A3438"/>
      <name val="Arial"/>
      <family val="2"/>
    </font>
    <font>
      <sz val="24"/>
      <color theme="1"/>
      <name val="Helvetica Neue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&quot;Helvetica Neue&quot;"/>
    </font>
    <font>
      <b/>
      <sz val="61"/>
      <color theme="1"/>
      <name val="Verdana"/>
      <family val="2"/>
    </font>
    <font>
      <sz val="10"/>
      <color theme="1"/>
      <name val="Calibri"/>
      <family val="2"/>
    </font>
    <font>
      <b/>
      <sz val="18"/>
      <color theme="1"/>
      <name val="Calibri"/>
      <family val="2"/>
    </font>
    <font>
      <b/>
      <sz val="12"/>
      <color rgb="FF000000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sz val="14"/>
      <color theme="1"/>
      <name val="Calibri"/>
      <family val="2"/>
    </font>
    <font>
      <b/>
      <u/>
      <sz val="12"/>
      <color rgb="FF000000"/>
      <name val="Calibri"/>
      <family val="2"/>
    </font>
    <font>
      <b/>
      <u/>
      <sz val="12"/>
      <color rgb="FF000000"/>
      <name val="Calibri"/>
      <family val="2"/>
    </font>
    <font>
      <b/>
      <u/>
      <sz val="12"/>
      <color rgb="FF000000"/>
      <name val="Calibri"/>
      <family val="2"/>
    </font>
    <font>
      <b/>
      <u/>
      <sz val="12"/>
      <color rgb="FF000000"/>
      <name val="Calibri"/>
      <family val="2"/>
    </font>
    <font>
      <b/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u/>
      <sz val="12"/>
      <color rgb="FF000000"/>
      <name val="Calibri"/>
      <family val="2"/>
    </font>
    <font>
      <b/>
      <u/>
      <sz val="12"/>
      <color rgb="FF000000"/>
      <name val="Calibri"/>
      <family val="2"/>
    </font>
    <font>
      <b/>
      <sz val="10"/>
      <color theme="1"/>
      <name val="Calibri"/>
      <family val="2"/>
    </font>
    <font>
      <sz val="12"/>
      <color rgb="FFFFFFFF"/>
      <name val="Helvetica Neue"/>
      <family val="2"/>
    </font>
    <font>
      <sz val="12"/>
      <color rgb="FF000000"/>
      <name val="Helvetica Neue"/>
      <family val="2"/>
    </font>
    <font>
      <sz val="24"/>
      <color rgb="FF000000"/>
      <name val="Helvetica Neue"/>
      <family val="2"/>
    </font>
    <font>
      <sz val="18"/>
      <color rgb="FFFABF8E"/>
      <name val="Helvetica Neue"/>
      <family val="2"/>
    </font>
    <font>
      <i/>
      <sz val="10"/>
      <color rgb="FF980000"/>
      <name val="Helvetica Neue"/>
      <family val="2"/>
    </font>
    <font>
      <b/>
      <sz val="14"/>
      <color rgb="FFFFFFFF"/>
      <name val="Helvetica Neue"/>
      <family val="2"/>
    </font>
    <font>
      <b/>
      <u/>
      <sz val="12"/>
      <color rgb="FF000000"/>
      <name val="Helvetica Neue"/>
      <family val="2"/>
    </font>
    <font>
      <sz val="24"/>
      <color rgb="FFD0E0E3"/>
      <name val="Helvetica Neue"/>
      <family val="2"/>
    </font>
    <font>
      <b/>
      <sz val="10"/>
      <color rgb="FFFFFFFF"/>
      <name val="Helvetica Neue"/>
      <family val="2"/>
    </font>
    <font>
      <sz val="24"/>
      <color rgb="FF000000"/>
      <name val="&quot;Helvetica Neue&quot;"/>
    </font>
    <font>
      <b/>
      <sz val="10"/>
      <color rgb="FF000000"/>
      <name val="&quot;Helvetica Neue&quot;"/>
    </font>
    <font>
      <b/>
      <sz val="14"/>
      <color rgb="FFFFFFFF"/>
      <name val="Calibri"/>
      <family val="2"/>
    </font>
    <font>
      <sz val="12"/>
      <color theme="1"/>
      <name val="Calibri"/>
      <family val="2"/>
    </font>
    <font>
      <sz val="24"/>
      <color theme="1"/>
      <name val="Consolas"/>
      <family val="2"/>
    </font>
    <font>
      <b/>
      <sz val="24"/>
      <color rgb="FF1A3438"/>
      <name val="Calibri"/>
      <family val="2"/>
    </font>
    <font>
      <sz val="18"/>
      <color rgb="FF1A3438"/>
      <name val="Calibri"/>
      <family val="2"/>
    </font>
    <font>
      <i/>
      <sz val="12"/>
      <color rgb="FF1A3438"/>
      <name val="Calibri"/>
      <family val="2"/>
    </font>
    <font>
      <sz val="10"/>
      <color rgb="FF1A3438"/>
      <name val="Calibri"/>
      <family val="2"/>
    </font>
    <font>
      <i/>
      <sz val="9"/>
      <color rgb="FF1A3438"/>
      <name val="Calibri"/>
      <family val="2"/>
    </font>
    <font>
      <b/>
      <i/>
      <sz val="9"/>
      <color rgb="FF1A3438"/>
      <name val="Calibri"/>
      <family val="2"/>
    </font>
    <font>
      <i/>
      <sz val="10"/>
      <color rgb="FF38761D"/>
      <name val="Calibri"/>
      <family val="2"/>
    </font>
    <font>
      <sz val="10"/>
      <color theme="1"/>
      <name val="Calibri"/>
      <family val="2"/>
    </font>
    <font>
      <b/>
      <sz val="24"/>
      <color theme="1"/>
      <name val="Calibri"/>
      <family val="2"/>
    </font>
    <font>
      <sz val="18"/>
      <color theme="1"/>
      <name val="Calibri"/>
      <family val="2"/>
    </font>
    <font>
      <i/>
      <sz val="12"/>
      <color theme="1"/>
      <name val="Calibri"/>
      <family val="2"/>
    </font>
    <font>
      <i/>
      <sz val="9"/>
      <color theme="1"/>
      <name val="Calibri"/>
      <family val="2"/>
    </font>
    <font>
      <sz val="10"/>
      <color theme="1"/>
      <name val="Arial"/>
      <family val="2"/>
    </font>
    <font>
      <i/>
      <sz val="9"/>
      <color rgb="FF1A3438"/>
      <name val="Arial"/>
      <family val="2"/>
    </font>
    <font>
      <sz val="12"/>
      <color rgb="FF1A3438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Gill Sans"/>
      <family val="2"/>
    </font>
    <font>
      <sz val="8"/>
      <color theme="1"/>
      <name val="Gill Sans"/>
      <family val="2"/>
    </font>
    <font>
      <sz val="10"/>
      <color theme="1"/>
      <name val="Verdana"/>
      <family val="2"/>
    </font>
    <font>
      <b/>
      <sz val="10"/>
      <color theme="1"/>
      <name val="&quot;Gill Sans&quot;"/>
    </font>
    <font>
      <sz val="10"/>
      <color theme="1"/>
      <name val="Gill Sans"/>
      <family val="2"/>
    </font>
    <font>
      <u/>
      <sz val="10"/>
      <color rgb="FF0000FF"/>
      <name val="Verdana"/>
      <family val="2"/>
    </font>
    <font>
      <u/>
      <sz val="9"/>
      <color rgb="FF1155CC"/>
      <name val="Verdana"/>
      <family val="2"/>
    </font>
    <font>
      <sz val="11"/>
      <color rgb="FF993300"/>
      <name val="Gill Sans"/>
      <family val="2"/>
    </font>
    <font>
      <sz val="8"/>
      <color rgb="FF993300"/>
      <name val="Gill Sans"/>
      <family val="2"/>
    </font>
    <font>
      <sz val="8"/>
      <color rgb="FFFF0000"/>
      <name val="Gill Sans"/>
      <family val="2"/>
    </font>
    <font>
      <sz val="10"/>
      <color theme="1"/>
      <name val="&quot;Gill Sans&quot;"/>
    </font>
    <font>
      <sz val="10"/>
      <color rgb="FF900000"/>
      <name val="&quot;Gill Sans&quot;"/>
    </font>
    <font>
      <b/>
      <u/>
      <sz val="8"/>
      <color rgb="FF0000FF"/>
      <name val="&quot;Gill Sans&quot;"/>
    </font>
    <font>
      <b/>
      <sz val="8"/>
      <color theme="1"/>
      <name val="&quot;Gill Sans&quot;"/>
    </font>
    <font>
      <sz val="8"/>
      <color theme="1"/>
      <name val="&quot;Gill Sans&quot;"/>
    </font>
    <font>
      <i/>
      <sz val="8"/>
      <color theme="1"/>
      <name val="&quot;Gill Sans&quot;"/>
    </font>
    <font>
      <b/>
      <u/>
      <sz val="9"/>
      <color rgb="FF0000FF"/>
      <name val="&quot;Gill Sans&quot;"/>
    </font>
    <font>
      <i/>
      <u/>
      <sz val="8"/>
      <color rgb="FF0000FF"/>
      <name val="&quot;Gill Sans&quot;"/>
    </font>
    <font>
      <sz val="10"/>
      <color rgb="FF800000"/>
      <name val="&quot;Gill Sans&quot;"/>
    </font>
    <font>
      <b/>
      <u/>
      <sz val="8"/>
      <color rgb="FF0000FF"/>
      <name val="&quot;Gill Sans&quot;"/>
    </font>
    <font>
      <i/>
      <u/>
      <sz val="8"/>
      <color theme="1"/>
      <name val="&quot;Gill Sans&quot;"/>
    </font>
    <font>
      <i/>
      <u/>
      <sz val="8"/>
      <color rgb="FF0000FF"/>
      <name val="&quot;Gill Sans&quot;"/>
    </font>
    <font>
      <b/>
      <u/>
      <sz val="8"/>
      <color rgb="FF1155CC"/>
      <name val="&quot;Gill Sans&quot;"/>
    </font>
    <font>
      <i/>
      <u/>
      <sz val="8"/>
      <color rgb="FF0000FF"/>
      <name val="&quot;Gill Sans&quot;"/>
    </font>
    <font>
      <b/>
      <u/>
      <sz val="8"/>
      <color rgb="FF1155CC"/>
      <name val="&quot;Gill Sans&quot;"/>
    </font>
    <font>
      <b/>
      <u/>
      <sz val="8"/>
      <color rgb="FF0000FF"/>
      <name val="&quot;Gill Sans&quot;"/>
    </font>
    <font>
      <b/>
      <u/>
      <sz val="8"/>
      <color rgb="FF0000FF"/>
      <name val="&quot;Gill Sans&quot;"/>
    </font>
    <font>
      <b/>
      <u/>
      <sz val="8"/>
      <color rgb="FF0000FF"/>
      <name val="&quot;Gill Sans&quot;"/>
    </font>
    <font>
      <b/>
      <u/>
      <sz val="8"/>
      <color rgb="FF0000FF"/>
      <name val="&quot;Gill Sans&quot;"/>
    </font>
    <font>
      <i/>
      <u/>
      <sz val="8"/>
      <color rgb="FF0000FF"/>
      <name val="&quot;Gill Sans&quot;"/>
    </font>
    <font>
      <b/>
      <u/>
      <sz val="8"/>
      <color rgb="FF0000FF"/>
      <name val="&quot;Gill Sans&quot;"/>
    </font>
    <font>
      <i/>
      <u/>
      <sz val="8"/>
      <color rgb="FF0000FF"/>
      <name val="&quot;Gill Sans&quot;"/>
    </font>
    <font>
      <u/>
      <sz val="10"/>
      <color rgb="FF900000"/>
      <name val="&quot;Gill Sans&quot;"/>
    </font>
    <font>
      <u/>
      <sz val="10"/>
      <color rgb="FF900000"/>
      <name val="&quot;Gill Sans&quot;"/>
    </font>
    <font>
      <b/>
      <sz val="9"/>
      <color theme="1"/>
      <name val="&quot;Gill Sans&quot;"/>
    </font>
    <font>
      <b/>
      <sz val="8"/>
      <color theme="1"/>
      <name val="Arial"/>
      <family val="2"/>
    </font>
    <font>
      <sz val="5"/>
      <color theme="1"/>
      <name val="&quot;Gill Sans&quot;"/>
    </font>
    <font>
      <b/>
      <u/>
      <sz val="8"/>
      <color rgb="FF0000FF"/>
      <name val="Arial"/>
      <family val="2"/>
    </font>
    <font>
      <b/>
      <u/>
      <sz val="8"/>
      <color rgb="FF0000FF"/>
      <name val="&quot;Gill Sans&quot;"/>
    </font>
    <font>
      <i/>
      <u/>
      <sz val="8"/>
      <color rgb="FF0000FF"/>
      <name val="&quot;Gill Sans&quot;"/>
    </font>
    <font>
      <b/>
      <u/>
      <sz val="8"/>
      <color rgb="FF0000FF"/>
      <name val="Arial"/>
      <family val="2"/>
    </font>
    <font>
      <b/>
      <u/>
      <sz val="8"/>
      <color rgb="FF0000FF"/>
      <name val="Arial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u/>
      <sz val="10"/>
      <color rgb="FF000000"/>
      <name val="Calibri"/>
      <family val="2"/>
    </font>
    <font>
      <b/>
      <sz val="14"/>
      <color rgb="FFFFFFFF"/>
      <name val="Consolas"/>
      <family val="2"/>
    </font>
    <font>
      <sz val="12"/>
      <color rgb="FF000000"/>
      <name val="Calibri"/>
      <family val="2"/>
    </font>
    <font>
      <b/>
      <sz val="24"/>
      <color rgb="FF000000"/>
      <name val="Calibri"/>
      <family val="2"/>
    </font>
    <font>
      <sz val="18"/>
      <color rgb="FF000000"/>
      <name val="Calibri"/>
      <family val="2"/>
    </font>
    <font>
      <i/>
      <sz val="12"/>
      <color rgb="FF000000"/>
      <name val="Calibri"/>
      <family val="2"/>
    </font>
    <font>
      <sz val="10"/>
      <color rgb="FF000000"/>
      <name val="Calibri"/>
      <family val="2"/>
    </font>
    <font>
      <i/>
      <sz val="9"/>
      <color rgb="FF000000"/>
      <name val="Calibri"/>
      <family val="2"/>
    </font>
    <font>
      <i/>
      <sz val="10"/>
      <color rgb="FF008000"/>
      <name val="Calibri"/>
      <family val="2"/>
    </font>
    <font>
      <b/>
      <sz val="9"/>
      <color rgb="FFFFFFFF"/>
      <name val="Consolas"/>
      <family val="2"/>
    </font>
    <font>
      <sz val="10"/>
      <color theme="1"/>
      <name val="Consolas"/>
      <family val="2"/>
    </font>
    <font>
      <i/>
      <sz val="14"/>
      <color rgb="FF000000"/>
      <name val="Helvetica Neue"/>
      <family val="2"/>
    </font>
    <font>
      <sz val="14"/>
      <color rgb="FF000000"/>
      <name val="Helvetica Neue,Arial"/>
    </font>
    <font>
      <i/>
      <sz val="14"/>
      <color rgb="FF000000"/>
      <name val="Helvetica Neue,Arial"/>
    </font>
    <font>
      <i/>
      <sz val="14"/>
      <color theme="1"/>
      <name val="Helvetica Neue"/>
      <family val="2"/>
    </font>
    <font>
      <i/>
      <sz val="12"/>
      <color rgb="FF000000"/>
      <name val="Arial"/>
      <family val="2"/>
    </font>
    <font>
      <i/>
      <sz val="12"/>
      <color theme="1"/>
      <name val="Arial"/>
      <family val="2"/>
    </font>
    <font>
      <i/>
      <sz val="12"/>
      <color rgb="FF1A3438"/>
      <name val="Arial"/>
      <family val="2"/>
    </font>
    <font>
      <b/>
      <sz val="29"/>
      <color rgb="FFB41700"/>
      <name val="Verdana"/>
      <family val="2"/>
    </font>
    <font>
      <b/>
      <sz val="68"/>
      <color theme="1"/>
      <name val="Verdana"/>
      <family val="2"/>
    </font>
    <font>
      <b/>
      <sz val="9"/>
      <color rgb="FF000000"/>
      <name val="Helvetica Neue"/>
      <family val="2"/>
    </font>
    <font>
      <b/>
      <sz val="8"/>
      <color rgb="FFE6B8B8"/>
      <name val="Gill Sans"/>
      <family val="2"/>
    </font>
    <font>
      <sz val="8"/>
      <color rgb="FFE6B8B8"/>
      <name val="Gill Sans"/>
      <family val="2"/>
    </font>
    <font>
      <sz val="8"/>
      <color rgb="FF0C0C0C"/>
      <name val="Gill Sans"/>
      <family val="2"/>
    </font>
    <font>
      <b/>
      <sz val="8"/>
      <color rgb="FFFABF8E"/>
      <name val="Gill Sans"/>
      <family val="2"/>
    </font>
    <font>
      <sz val="8"/>
      <color rgb="FFFABF8E"/>
      <name val="Gill Sans"/>
      <family val="2"/>
    </font>
    <font>
      <b/>
      <sz val="8"/>
      <color theme="6"/>
      <name val="Gill Sans"/>
      <family val="2"/>
    </font>
    <font>
      <sz val="11"/>
      <color rgb="FFE6B8B8"/>
      <name val="Gill Sans"/>
      <family val="2"/>
    </font>
    <font>
      <sz val="9"/>
      <color rgb="FF993300"/>
      <name val="Gill Sans"/>
      <family val="2"/>
    </font>
    <font>
      <sz val="8"/>
      <color rgb="FF800000"/>
      <name val="Gill Sans"/>
      <family val="2"/>
    </font>
    <font>
      <b/>
      <sz val="8"/>
      <name val="&quot;Gill Sans&quot;, Arial"/>
    </font>
    <font>
      <b/>
      <i/>
      <sz val="8"/>
      <color rgb="FF6AA84F"/>
      <name val="&quot;Gill Sans&quot;, Arial"/>
    </font>
    <font>
      <b/>
      <sz val="8"/>
      <color theme="1"/>
      <name val="&quot;Gill Sans&quot;, Arial"/>
    </font>
    <font>
      <b/>
      <i/>
      <sz val="8"/>
      <color theme="1"/>
      <name val="&quot;Gill Sans&quot;, Arial"/>
    </font>
    <font>
      <b/>
      <i/>
      <sz val="8"/>
      <color rgb="FF00B050"/>
      <name val="&quot;Gill Sans&quot;, Arial"/>
    </font>
    <font>
      <b/>
      <i/>
      <sz val="8"/>
      <color rgb="FF9900FF"/>
      <name val="&quot;Gill Sans&quot;, Arial"/>
    </font>
    <font>
      <b/>
      <sz val="8"/>
      <color rgb="FF00B050"/>
      <name val="&quot;Gill Sans&quot;, Arial"/>
    </font>
    <font>
      <i/>
      <sz val="8"/>
      <color rgb="FF000000"/>
      <name val="&quot;Gill Sans&quot;, Arial"/>
    </font>
    <font>
      <i/>
      <sz val="8"/>
      <name val="&quot;Gill Sans&quot;, Arial"/>
    </font>
    <font>
      <i/>
      <sz val="8"/>
      <color theme="1"/>
      <name val="&quot;Gill Sans&quot;, Arial"/>
    </font>
    <font>
      <i/>
      <u/>
      <sz val="8"/>
      <color theme="1"/>
      <name val="&quot;Gill Sans&quot;, Arial"/>
    </font>
    <font>
      <b/>
      <i/>
      <sz val="8"/>
      <name val="&quot;Gill Sans&quot;, Arial"/>
    </font>
    <font>
      <b/>
      <sz val="8"/>
      <color rgb="FF38761D"/>
      <name val="&quot;Gill Sans&quot;, Arial"/>
    </font>
    <font>
      <b/>
      <i/>
      <sz val="8"/>
      <color rgb="FF38761D"/>
      <name val="&quot;Gill Sans&quot;, Arial"/>
    </font>
    <font>
      <i/>
      <u/>
      <sz val="8"/>
      <name val="&quot;Gill Sans&quot;, Arial"/>
    </font>
    <font>
      <b/>
      <i/>
      <sz val="8"/>
      <color rgb="FF00B050"/>
      <name val="Arial"/>
      <family val="2"/>
    </font>
    <font>
      <b/>
      <sz val="8"/>
      <color rgb="FF000000"/>
      <name val="&quot;Gill Sans&quot;, sans-serif"/>
    </font>
    <font>
      <b/>
      <i/>
      <sz val="8"/>
      <color rgb="FF00B050"/>
      <name val="&quot;Gill Sans&quot;, sans-serif"/>
    </font>
    <font>
      <b/>
      <sz val="8"/>
      <name val="Arial"/>
      <family val="2"/>
    </font>
    <font>
      <i/>
      <sz val="6"/>
      <name val="&quot;Gill Sans&quot;, Arial"/>
    </font>
    <font>
      <i/>
      <sz val="7"/>
      <color theme="1"/>
      <name val="&quot;Gill Sans&quot;, Arial"/>
    </font>
    <font>
      <b/>
      <sz val="8"/>
      <color rgb="FFFCE5CD"/>
      <name val="Arial"/>
      <family val="2"/>
    </font>
    <font>
      <b/>
      <i/>
      <sz val="8"/>
      <color rgb="FFFCE5CD"/>
      <name val="Arial"/>
      <family val="2"/>
    </font>
    <font>
      <b/>
      <i/>
      <sz val="8"/>
      <color rgb="FFF4CCCC"/>
      <name val="Arial"/>
      <family val="2"/>
    </font>
  </fonts>
  <fills count="4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38761D"/>
        <bgColor rgb="FF38761D"/>
      </patternFill>
    </fill>
    <fill>
      <patternFill patternType="solid">
        <fgColor rgb="FFF9CB9C"/>
        <bgColor rgb="FFF9CB9C"/>
      </patternFill>
    </fill>
    <fill>
      <patternFill patternType="solid">
        <fgColor rgb="FF963634"/>
        <bgColor rgb="FF963634"/>
      </patternFill>
    </fill>
    <fill>
      <patternFill patternType="solid">
        <fgColor rgb="FFD5A6BD"/>
        <bgColor rgb="FFD5A6BD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EAD1DC"/>
        <bgColor rgb="FFEAD1DC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999999"/>
        <bgColor rgb="FF999999"/>
      </patternFill>
    </fill>
    <fill>
      <patternFill patternType="solid">
        <fgColor rgb="FF85200C"/>
        <bgColor rgb="FF85200C"/>
      </patternFill>
    </fill>
    <fill>
      <patternFill patternType="solid">
        <fgColor rgb="FFB7B7B7"/>
        <bgColor rgb="FFB7B7B7"/>
      </patternFill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6"/>
        <bgColor theme="6"/>
      </patternFill>
    </fill>
    <fill>
      <patternFill patternType="solid">
        <fgColor rgb="FFA2C4C9"/>
        <bgColor rgb="FFA2C4C9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F2F2F2"/>
        <bgColor rgb="FFF2F2F2"/>
      </patternFill>
    </fill>
    <fill>
      <patternFill patternType="solid">
        <fgColor rgb="FFFABF8E"/>
        <bgColor rgb="FFFABF8E"/>
      </patternFill>
    </fill>
    <fill>
      <patternFill patternType="solid">
        <fgColor theme="5"/>
        <bgColor theme="5"/>
      </patternFill>
    </fill>
    <fill>
      <patternFill patternType="solid">
        <fgColor rgb="FF00B050"/>
        <bgColor rgb="FF00B050"/>
      </patternFill>
    </fill>
    <fill>
      <patternFill patternType="solid">
        <fgColor rgb="FFB4A7D6"/>
        <bgColor rgb="FFB4A7D6"/>
      </patternFill>
    </fill>
    <fill>
      <patternFill patternType="solid">
        <fgColor rgb="FF366092"/>
        <bgColor rgb="FF366092"/>
      </patternFill>
    </fill>
    <fill>
      <patternFill patternType="solid">
        <fgColor rgb="FFE7E6E6"/>
        <bgColor rgb="FFE7E6E6"/>
      </patternFill>
    </fill>
    <fill>
      <patternFill patternType="solid">
        <fgColor rgb="FFC00000"/>
        <bgColor rgb="FFC00000"/>
      </patternFill>
    </fill>
    <fill>
      <patternFill patternType="solid">
        <fgColor rgb="FF969696"/>
        <bgColor rgb="FF969696"/>
      </patternFill>
    </fill>
    <fill>
      <patternFill patternType="solid">
        <fgColor rgb="FFA5A5A5"/>
        <bgColor rgb="FFA5A5A5"/>
      </patternFill>
    </fill>
    <fill>
      <patternFill patternType="solid">
        <fgColor rgb="FFFFE599"/>
        <bgColor rgb="FFFFE599"/>
      </patternFill>
    </fill>
    <fill>
      <patternFill patternType="solid">
        <fgColor rgb="FFF1C232"/>
        <bgColor rgb="FFF1C232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  <fill>
      <patternFill patternType="solid">
        <fgColor rgb="FFCCCCCC"/>
        <bgColor rgb="FFCCCCCC"/>
      </patternFill>
    </fill>
    <fill>
      <patternFill patternType="solid">
        <fgColor rgb="FFA6A6A6"/>
        <bgColor rgb="FFA6A6A6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 style="thin">
        <color rgb="FFA5A5A5"/>
      </left>
      <right/>
      <top/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tted">
        <color rgb="FF000000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869">
    <xf numFmtId="0" fontId="0" fillId="0" borderId="0" xfId="0"/>
    <xf numFmtId="0" fontId="5" fillId="5" borderId="4" xfId="0" applyFont="1" applyFill="1" applyBorder="1" applyAlignment="1">
      <alignment horizontal="left" vertical="top"/>
    </xf>
    <xf numFmtId="0" fontId="5" fillId="2" borderId="5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5" fillId="2" borderId="5" xfId="0" applyFont="1" applyFill="1" applyBorder="1" applyAlignment="1">
      <alignment horizontal="right"/>
    </xf>
    <xf numFmtId="0" fontId="5" fillId="2" borderId="5" xfId="0" applyFont="1" applyFill="1" applyBorder="1" applyAlignment="1">
      <alignment horizontal="left"/>
    </xf>
    <xf numFmtId="164" fontId="5" fillId="2" borderId="6" xfId="0" applyNumberFormat="1" applyFont="1" applyFill="1" applyBorder="1" applyAlignment="1">
      <alignment horizontal="left" vertical="top"/>
    </xf>
    <xf numFmtId="164" fontId="7" fillId="6" borderId="4" xfId="0" applyNumberFormat="1" applyFont="1" applyFill="1" applyBorder="1" applyAlignment="1">
      <alignment horizontal="center" vertical="top"/>
    </xf>
    <xf numFmtId="0" fontId="8" fillId="7" borderId="7" xfId="0" applyFont="1" applyFill="1" applyBorder="1"/>
    <xf numFmtId="0" fontId="9" fillId="0" borderId="4" xfId="0" applyFont="1" applyBorder="1"/>
    <xf numFmtId="0" fontId="5" fillId="8" borderId="4" xfId="0" applyFont="1" applyFill="1" applyBorder="1" applyAlignment="1">
      <alignment horizontal="left" vertical="top"/>
    </xf>
    <xf numFmtId="0" fontId="6" fillId="2" borderId="4" xfId="0" applyFont="1" applyFill="1" applyBorder="1" applyAlignment="1">
      <alignment horizontal="left" vertical="center"/>
    </xf>
    <xf numFmtId="164" fontId="7" fillId="2" borderId="4" xfId="0" applyNumberFormat="1" applyFont="1" applyFill="1" applyBorder="1" applyAlignment="1">
      <alignment horizontal="center" vertical="top"/>
    </xf>
    <xf numFmtId="0" fontId="8" fillId="9" borderId="7" xfId="0" applyFont="1" applyFill="1" applyBorder="1"/>
    <xf numFmtId="0" fontId="5" fillId="10" borderId="4" xfId="0" applyFont="1" applyFill="1" applyBorder="1" applyAlignment="1">
      <alignment horizontal="left" vertical="top"/>
    </xf>
    <xf numFmtId="0" fontId="5" fillId="5" borderId="4" xfId="0" applyFont="1" applyFill="1" applyBorder="1" applyAlignment="1">
      <alignment horizontal="left"/>
    </xf>
    <xf numFmtId="0" fontId="11" fillId="0" borderId="4" xfId="0" applyFont="1" applyBorder="1"/>
    <xf numFmtId="164" fontId="5" fillId="2" borderId="4" xfId="0" applyNumberFormat="1" applyFont="1" applyFill="1" applyBorder="1" applyAlignment="1">
      <alignment horizontal="center"/>
    </xf>
    <xf numFmtId="0" fontId="12" fillId="7" borderId="7" xfId="0" applyFont="1" applyFill="1" applyBorder="1" applyAlignment="1">
      <alignment horizontal="right" vertical="top"/>
    </xf>
    <xf numFmtId="0" fontId="12" fillId="9" borderId="7" xfId="0" applyFont="1" applyFill="1" applyBorder="1" applyAlignment="1">
      <alignment horizontal="right" vertical="top"/>
    </xf>
    <xf numFmtId="0" fontId="5" fillId="10" borderId="5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 wrapText="1"/>
    </xf>
    <xf numFmtId="0" fontId="11" fillId="14" borderId="4" xfId="0" applyFont="1" applyFill="1" applyBorder="1"/>
    <xf numFmtId="164" fontId="5" fillId="6" borderId="4" xfId="0" applyNumberFormat="1" applyFont="1" applyFill="1" applyBorder="1" applyAlignment="1">
      <alignment horizontal="center"/>
    </xf>
    <xf numFmtId="0" fontId="6" fillId="0" borderId="5" xfId="0" applyFont="1" applyBorder="1" applyAlignment="1">
      <alignment horizontal="left" vertical="top"/>
    </xf>
    <xf numFmtId="0" fontId="5" fillId="10" borderId="4" xfId="0" applyFont="1" applyFill="1" applyBorder="1" applyAlignment="1">
      <alignment horizontal="left"/>
    </xf>
    <xf numFmtId="164" fontId="5" fillId="6" borderId="4" xfId="0" applyNumberFormat="1" applyFont="1" applyFill="1" applyBorder="1" applyAlignment="1">
      <alignment horizontal="center" vertical="top"/>
    </xf>
    <xf numFmtId="0" fontId="5" fillId="15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left"/>
    </xf>
    <xf numFmtId="164" fontId="5" fillId="2" borderId="6" xfId="0" applyNumberFormat="1" applyFont="1" applyFill="1" applyBorder="1" applyAlignment="1">
      <alignment horizontal="left"/>
    </xf>
    <xf numFmtId="0" fontId="8" fillId="9" borderId="7" xfId="0" applyFont="1" applyFill="1" applyBorder="1" applyAlignment="1">
      <alignment vertical="top"/>
    </xf>
    <xf numFmtId="164" fontId="5" fillId="0" borderId="4" xfId="0" applyNumberFormat="1" applyFont="1" applyBorder="1" applyAlignment="1">
      <alignment horizontal="center"/>
    </xf>
    <xf numFmtId="0" fontId="8" fillId="7" borderId="7" xfId="0" applyFont="1" applyFill="1" applyBorder="1" applyAlignment="1">
      <alignment vertical="top"/>
    </xf>
    <xf numFmtId="164" fontId="5" fillId="2" borderId="4" xfId="0" applyNumberFormat="1" applyFont="1" applyFill="1" applyBorder="1" applyAlignment="1">
      <alignment horizontal="center" vertical="top"/>
    </xf>
    <xf numFmtId="164" fontId="5" fillId="0" borderId="6" xfId="0" applyNumberFormat="1" applyFont="1" applyBorder="1" applyAlignment="1">
      <alignment horizontal="left" vertical="top"/>
    </xf>
    <xf numFmtId="0" fontId="5" fillId="16" borderId="4" xfId="0" applyFont="1" applyFill="1" applyBorder="1" applyAlignment="1">
      <alignment horizontal="left" vertical="top"/>
    </xf>
    <xf numFmtId="0" fontId="6" fillId="6" borderId="4" xfId="0" applyFont="1" applyFill="1" applyBorder="1" applyAlignment="1">
      <alignment horizontal="center"/>
    </xf>
    <xf numFmtId="0" fontId="5" fillId="17" borderId="4" xfId="0" applyFont="1" applyFill="1" applyBorder="1" applyAlignment="1">
      <alignment horizontal="left" vertical="top"/>
    </xf>
    <xf numFmtId="164" fontId="5" fillId="0" borderId="4" xfId="0" applyNumberFormat="1" applyFont="1" applyBorder="1" applyAlignment="1">
      <alignment horizontal="center" vertical="top"/>
    </xf>
    <xf numFmtId="0" fontId="5" fillId="17" borderId="4" xfId="0" applyFont="1" applyFill="1" applyBorder="1" applyAlignment="1">
      <alignment horizontal="left"/>
    </xf>
    <xf numFmtId="0" fontId="5" fillId="16" borderId="4" xfId="0" applyFont="1" applyFill="1" applyBorder="1" applyAlignment="1">
      <alignment horizontal="left"/>
    </xf>
    <xf numFmtId="164" fontId="5" fillId="0" borderId="6" xfId="0" applyNumberFormat="1" applyFont="1" applyBorder="1" applyAlignment="1">
      <alignment horizontal="left"/>
    </xf>
    <xf numFmtId="0" fontId="7" fillId="0" borderId="4" xfId="0" applyFont="1" applyBorder="1" applyAlignment="1">
      <alignment horizontal="center"/>
    </xf>
    <xf numFmtId="0" fontId="5" fillId="0" borderId="5" xfId="0" applyFont="1" applyBorder="1" applyAlignment="1">
      <alignment horizontal="left"/>
    </xf>
    <xf numFmtId="164" fontId="7" fillId="2" borderId="4" xfId="0" applyNumberFormat="1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164" fontId="5" fillId="18" borderId="6" xfId="0" applyNumberFormat="1" applyFont="1" applyFill="1" applyBorder="1" applyAlignment="1">
      <alignment horizontal="left" vertical="top"/>
    </xf>
    <xf numFmtId="0" fontId="6" fillId="13" borderId="4" xfId="0" applyFont="1" applyFill="1" applyBorder="1" applyAlignment="1">
      <alignment horizontal="center"/>
    </xf>
    <xf numFmtId="164" fontId="5" fillId="2" borderId="4" xfId="0" applyNumberFormat="1" applyFont="1" applyFill="1" applyBorder="1" applyAlignment="1">
      <alignment horizontal="left" vertical="top"/>
    </xf>
    <xf numFmtId="164" fontId="13" fillId="0" borderId="0" xfId="0" applyNumberFormat="1" applyFont="1" applyAlignment="1">
      <alignment horizontal="center"/>
    </xf>
    <xf numFmtId="164" fontId="5" fillId="2" borderId="4" xfId="0" applyNumberFormat="1" applyFont="1" applyFill="1" applyBorder="1" applyAlignment="1">
      <alignment horizontal="left"/>
    </xf>
    <xf numFmtId="164" fontId="13" fillId="0" borderId="4" xfId="0" applyNumberFormat="1" applyFont="1" applyBorder="1" applyAlignment="1">
      <alignment horizontal="center"/>
    </xf>
    <xf numFmtId="164" fontId="7" fillId="6" borderId="4" xfId="0" applyNumberFormat="1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0" fontId="5" fillId="8" borderId="4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center"/>
    </xf>
    <xf numFmtId="0" fontId="14" fillId="16" borderId="4" xfId="0" applyFont="1" applyFill="1" applyBorder="1" applyAlignment="1">
      <alignment horizontal="left"/>
    </xf>
    <xf numFmtId="0" fontId="14" fillId="5" borderId="4" xfId="0" applyFont="1" applyFill="1" applyBorder="1" applyAlignment="1">
      <alignment horizontal="left"/>
    </xf>
    <xf numFmtId="0" fontId="14" fillId="0" borderId="4" xfId="0" applyFont="1" applyBorder="1"/>
    <xf numFmtId="0" fontId="13" fillId="0" borderId="4" xfId="0" applyFont="1" applyBorder="1" applyAlignment="1">
      <alignment horizontal="center"/>
    </xf>
    <xf numFmtId="164" fontId="5" fillId="18" borderId="6" xfId="0" applyNumberFormat="1" applyFont="1" applyFill="1" applyBorder="1" applyAlignment="1">
      <alignment horizontal="left"/>
    </xf>
    <xf numFmtId="164" fontId="7" fillId="0" borderId="4" xfId="0" applyNumberFormat="1" applyFont="1" applyBorder="1" applyAlignment="1">
      <alignment horizontal="center"/>
    </xf>
    <xf numFmtId="0" fontId="14" fillId="17" borderId="4" xfId="0" applyFont="1" applyFill="1" applyBorder="1" applyAlignment="1">
      <alignment horizontal="left"/>
    </xf>
    <xf numFmtId="164" fontId="14" fillId="0" borderId="4" xfId="0" applyNumberFormat="1" applyFont="1" applyBorder="1"/>
    <xf numFmtId="164" fontId="14" fillId="10" borderId="4" xfId="0" applyNumberFormat="1" applyFont="1" applyFill="1" applyBorder="1" applyAlignment="1">
      <alignment horizontal="left"/>
    </xf>
    <xf numFmtId="0" fontId="14" fillId="10" borderId="4" xfId="0" applyFont="1" applyFill="1" applyBorder="1" applyAlignment="1">
      <alignment horizontal="left"/>
    </xf>
    <xf numFmtId="0" fontId="16" fillId="16" borderId="7" xfId="0" applyFont="1" applyFill="1" applyBorder="1" applyAlignment="1">
      <alignment horizontal="left" vertical="top"/>
    </xf>
    <xf numFmtId="0" fontId="16" fillId="2" borderId="5" xfId="0" applyFont="1" applyFill="1" applyBorder="1" applyAlignment="1">
      <alignment vertical="top"/>
    </xf>
    <xf numFmtId="0" fontId="17" fillId="2" borderId="5" xfId="0" applyFont="1" applyFill="1" applyBorder="1"/>
    <xf numFmtId="0" fontId="16" fillId="2" borderId="5" xfId="0" applyFont="1" applyFill="1" applyBorder="1" applyAlignment="1">
      <alignment horizontal="right"/>
    </xf>
    <xf numFmtId="0" fontId="16" fillId="2" borderId="5" xfId="0" applyFont="1" applyFill="1" applyBorder="1"/>
    <xf numFmtId="164" fontId="17" fillId="0" borderId="4" xfId="0" applyNumberFormat="1" applyFont="1" applyBorder="1" applyAlignment="1">
      <alignment horizontal="center" vertical="center"/>
    </xf>
    <xf numFmtId="0" fontId="18" fillId="9" borderId="5" xfId="0" applyFont="1" applyFill="1" applyBorder="1" applyAlignment="1">
      <alignment horizontal="right" vertical="top"/>
    </xf>
    <xf numFmtId="0" fontId="16" fillId="5" borderId="7" xfId="0" applyFont="1" applyFill="1" applyBorder="1" applyAlignment="1">
      <alignment horizontal="left" vertical="top"/>
    </xf>
    <xf numFmtId="0" fontId="19" fillId="9" borderId="7" xfId="0" applyFont="1" applyFill="1" applyBorder="1" applyAlignment="1">
      <alignment vertical="top"/>
    </xf>
    <xf numFmtId="0" fontId="19" fillId="7" borderId="7" xfId="0" applyFont="1" applyFill="1" applyBorder="1" applyAlignment="1">
      <alignment vertical="top"/>
    </xf>
    <xf numFmtId="0" fontId="5" fillId="2" borderId="3" xfId="0" applyFont="1" applyFill="1" applyBorder="1" applyAlignment="1">
      <alignment horizontal="left" vertical="top"/>
    </xf>
    <xf numFmtId="0" fontId="6" fillId="2" borderId="3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left"/>
    </xf>
    <xf numFmtId="164" fontId="5" fillId="2" borderId="3" xfId="0" applyNumberFormat="1" applyFont="1" applyFill="1" applyBorder="1" applyAlignment="1">
      <alignment horizontal="left" vertical="top"/>
    </xf>
    <xf numFmtId="0" fontId="8" fillId="9" borderId="3" xfId="0" applyFont="1" applyFill="1" applyBorder="1" applyAlignment="1">
      <alignment vertical="top"/>
    </xf>
    <xf numFmtId="0" fontId="5" fillId="2" borderId="7" xfId="0" applyFont="1" applyFill="1" applyBorder="1" applyAlignment="1">
      <alignment horizontal="right"/>
    </xf>
    <xf numFmtId="164" fontId="5" fillId="2" borderId="5" xfId="0" applyNumberFormat="1" applyFont="1" applyFill="1" applyBorder="1" applyAlignment="1">
      <alignment horizontal="left" vertical="top"/>
    </xf>
    <xf numFmtId="0" fontId="8" fillId="7" borderId="3" xfId="0" applyFont="1" applyFill="1" applyBorder="1" applyAlignment="1">
      <alignment vertical="top"/>
    </xf>
    <xf numFmtId="164" fontId="20" fillId="13" borderId="4" xfId="0" applyNumberFormat="1" applyFont="1" applyFill="1" applyBorder="1" applyAlignment="1">
      <alignment horizontal="center" vertical="top"/>
    </xf>
    <xf numFmtId="0" fontId="21" fillId="5" borderId="7" xfId="0" applyFont="1" applyFill="1" applyBorder="1" applyAlignment="1">
      <alignment horizontal="left"/>
    </xf>
    <xf numFmtId="0" fontId="21" fillId="2" borderId="5" xfId="0" applyFont="1" applyFill="1" applyBorder="1"/>
    <xf numFmtId="0" fontId="6" fillId="2" borderId="5" xfId="0" applyFont="1" applyFill="1" applyBorder="1"/>
    <xf numFmtId="0" fontId="21" fillId="2" borderId="5" xfId="0" applyFont="1" applyFill="1" applyBorder="1" applyAlignment="1">
      <alignment horizontal="left"/>
    </xf>
    <xf numFmtId="0" fontId="21" fillId="2" borderId="5" xfId="0" applyFont="1" applyFill="1" applyBorder="1" applyAlignment="1">
      <alignment horizontal="right"/>
    </xf>
    <xf numFmtId="164" fontId="21" fillId="2" borderId="5" xfId="0" applyNumberFormat="1" applyFont="1" applyFill="1" applyBorder="1" applyAlignment="1">
      <alignment horizontal="left" vertical="top"/>
    </xf>
    <xf numFmtId="164" fontId="22" fillId="0" borderId="5" xfId="0" applyNumberFormat="1" applyFont="1" applyBorder="1" applyAlignment="1">
      <alignment vertical="top"/>
    </xf>
    <xf numFmtId="0" fontId="22" fillId="9" borderId="5" xfId="0" applyFont="1" applyFill="1" applyBorder="1"/>
    <xf numFmtId="0" fontId="21" fillId="10" borderId="7" xfId="0" applyFont="1" applyFill="1" applyBorder="1" applyAlignment="1">
      <alignment horizontal="left"/>
    </xf>
    <xf numFmtId="0" fontId="21" fillId="2" borderId="5" xfId="0" applyFont="1" applyFill="1" applyBorder="1" applyAlignment="1">
      <alignment vertical="top"/>
    </xf>
    <xf numFmtId="0" fontId="21" fillId="2" borderId="5" xfId="0" applyFont="1" applyFill="1" applyBorder="1" applyAlignment="1">
      <alignment horizontal="left" vertical="top"/>
    </xf>
    <xf numFmtId="164" fontId="22" fillId="6" borderId="5" xfId="0" applyNumberFormat="1" applyFont="1" applyFill="1" applyBorder="1" applyAlignment="1">
      <alignment vertical="top"/>
    </xf>
    <xf numFmtId="0" fontId="22" fillId="7" borderId="5" xfId="0" applyFont="1" applyFill="1" applyBorder="1"/>
    <xf numFmtId="0" fontId="21" fillId="16" borderId="7" xfId="0" applyFont="1" applyFill="1" applyBorder="1" applyAlignment="1">
      <alignment horizontal="left"/>
    </xf>
    <xf numFmtId="164" fontId="21" fillId="2" borderId="5" xfId="0" applyNumberFormat="1" applyFont="1" applyFill="1" applyBorder="1" applyAlignment="1">
      <alignment horizontal="left"/>
    </xf>
    <xf numFmtId="164" fontId="6" fillId="0" borderId="4" xfId="0" applyNumberFormat="1" applyFont="1" applyBorder="1" applyAlignment="1">
      <alignment horizontal="center" vertical="center"/>
    </xf>
    <xf numFmtId="0" fontId="23" fillId="2" borderId="4" xfId="0" applyFont="1" applyFill="1" applyBorder="1"/>
    <xf numFmtId="0" fontId="6" fillId="2" borderId="4" xfId="0" applyFont="1" applyFill="1" applyBorder="1" applyAlignment="1">
      <alignment horizontal="left"/>
    </xf>
    <xf numFmtId="164" fontId="6" fillId="13" borderId="4" xfId="0" applyNumberFormat="1" applyFont="1" applyFill="1" applyBorder="1" applyAlignment="1">
      <alignment horizontal="center" vertical="top"/>
    </xf>
    <xf numFmtId="0" fontId="5" fillId="10" borderId="4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right" vertical="center"/>
    </xf>
    <xf numFmtId="164" fontId="5" fillId="18" borderId="6" xfId="0" applyNumberFormat="1" applyFont="1" applyFill="1" applyBorder="1" applyAlignment="1">
      <alignment horizontal="left" vertical="center"/>
    </xf>
    <xf numFmtId="0" fontId="24" fillId="9" borderId="7" xfId="0" applyFont="1" applyFill="1" applyBorder="1" applyAlignment="1">
      <alignment vertical="top"/>
    </xf>
    <xf numFmtId="0" fontId="25" fillId="7" borderId="7" xfId="0" applyFont="1" applyFill="1" applyBorder="1" applyAlignment="1">
      <alignment vertical="top"/>
    </xf>
    <xf numFmtId="0" fontId="25" fillId="9" borderId="7" xfId="0" applyFont="1" applyFill="1" applyBorder="1" applyAlignment="1">
      <alignment vertical="top"/>
    </xf>
    <xf numFmtId="0" fontId="8" fillId="9" borderId="7" xfId="0" applyFont="1" applyFill="1" applyBorder="1" applyAlignment="1">
      <alignment horizontal="right" vertical="top"/>
    </xf>
    <xf numFmtId="0" fontId="4" fillId="6" borderId="4" xfId="0" applyFont="1" applyFill="1" applyBorder="1" applyAlignment="1">
      <alignment horizontal="left"/>
    </xf>
    <xf numFmtId="0" fontId="4" fillId="7" borderId="4" xfId="0" applyFont="1" applyFill="1" applyBorder="1" applyAlignment="1">
      <alignment horizontal="left"/>
    </xf>
    <xf numFmtId="164" fontId="6" fillId="6" borderId="4" xfId="0" applyNumberFormat="1" applyFont="1" applyFill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164" fontId="20" fillId="13" borderId="4" xfId="0" applyNumberFormat="1" applyFont="1" applyFill="1" applyBorder="1" applyAlignment="1">
      <alignment horizontal="center"/>
    </xf>
    <xf numFmtId="0" fontId="20" fillId="9" borderId="7" xfId="0" applyFont="1" applyFill="1" applyBorder="1"/>
    <xf numFmtId="164" fontId="20" fillId="2" borderId="4" xfId="0" applyNumberFormat="1" applyFont="1" applyFill="1" applyBorder="1" applyAlignment="1">
      <alignment horizontal="center"/>
    </xf>
    <xf numFmtId="0" fontId="5" fillId="19" borderId="4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/>
    </xf>
    <xf numFmtId="0" fontId="26" fillId="0" borderId="4" xfId="0" applyFont="1" applyBorder="1"/>
    <xf numFmtId="0" fontId="5" fillId="19" borderId="4" xfId="0" applyFont="1" applyFill="1" applyBorder="1" applyAlignment="1">
      <alignment horizontal="left"/>
    </xf>
    <xf numFmtId="0" fontId="27" fillId="9" borderId="7" xfId="0" applyFont="1" applyFill="1" applyBorder="1" applyAlignment="1">
      <alignment vertical="top"/>
    </xf>
    <xf numFmtId="0" fontId="5" fillId="9" borderId="7" xfId="0" applyFont="1" applyFill="1" applyBorder="1" applyAlignment="1">
      <alignment vertical="top"/>
    </xf>
    <xf numFmtId="0" fontId="5" fillId="7" borderId="7" xfId="0" applyFont="1" applyFill="1" applyBorder="1" applyAlignment="1">
      <alignment vertical="top"/>
    </xf>
    <xf numFmtId="0" fontId="29" fillId="2" borderId="5" xfId="0" applyFont="1" applyFill="1" applyBorder="1" applyAlignment="1">
      <alignment horizontal="left"/>
    </xf>
    <xf numFmtId="0" fontId="30" fillId="7" borderId="7" xfId="0" applyFont="1" applyFill="1" applyBorder="1" applyAlignment="1">
      <alignment vertical="top"/>
    </xf>
    <xf numFmtId="0" fontId="30" fillId="9" borderId="7" xfId="0" applyFont="1" applyFill="1" applyBorder="1" applyAlignment="1">
      <alignment vertical="top"/>
    </xf>
    <xf numFmtId="164" fontId="7" fillId="0" borderId="4" xfId="0" applyNumberFormat="1" applyFont="1" applyBorder="1" applyAlignment="1">
      <alignment horizontal="center" vertical="top"/>
    </xf>
    <xf numFmtId="0" fontId="16" fillId="2" borderId="5" xfId="0" applyFont="1" applyFill="1" applyBorder="1" applyAlignment="1">
      <alignment horizontal="left"/>
    </xf>
    <xf numFmtId="164" fontId="16" fillId="2" borderId="5" xfId="0" applyNumberFormat="1" applyFont="1" applyFill="1" applyBorder="1" applyAlignment="1">
      <alignment horizontal="left"/>
    </xf>
    <xf numFmtId="0" fontId="20" fillId="9" borderId="7" xfId="0" applyFont="1" applyFill="1" applyBorder="1" applyAlignment="1">
      <alignment vertical="top"/>
    </xf>
    <xf numFmtId="0" fontId="21" fillId="5" borderId="4" xfId="0" applyFont="1" applyFill="1" applyBorder="1" applyAlignment="1">
      <alignment vertical="top"/>
    </xf>
    <xf numFmtId="164" fontId="21" fillId="2" borderId="6" xfId="0" applyNumberFormat="1" applyFont="1" applyFill="1" applyBorder="1" applyAlignment="1">
      <alignment horizontal="left" vertical="top"/>
    </xf>
    <xf numFmtId="164" fontId="22" fillId="6" borderId="4" xfId="0" applyNumberFormat="1" applyFont="1" applyFill="1" applyBorder="1" applyAlignment="1">
      <alignment vertical="top"/>
    </xf>
    <xf numFmtId="0" fontId="22" fillId="7" borderId="7" xfId="0" applyFont="1" applyFill="1" applyBorder="1" applyAlignment="1">
      <alignment vertical="top"/>
    </xf>
    <xf numFmtId="0" fontId="21" fillId="10" borderId="4" xfId="0" applyFont="1" applyFill="1" applyBorder="1" applyAlignment="1">
      <alignment vertical="top"/>
    </xf>
    <xf numFmtId="164" fontId="22" fillId="2" borderId="4" xfId="0" applyNumberFormat="1" applyFont="1" applyFill="1" applyBorder="1" applyAlignment="1">
      <alignment vertical="top"/>
    </xf>
    <xf numFmtId="0" fontId="22" fillId="9" borderId="7" xfId="0" applyFont="1" applyFill="1" applyBorder="1" applyAlignment="1">
      <alignment vertical="top"/>
    </xf>
    <xf numFmtId="0" fontId="16" fillId="17" borderId="7" xfId="0" applyFont="1" applyFill="1" applyBorder="1" applyAlignment="1">
      <alignment horizontal="left" vertical="top"/>
    </xf>
    <xf numFmtId="164" fontId="16" fillId="0" borderId="5" xfId="0" applyNumberFormat="1" applyFont="1" applyBorder="1" applyAlignment="1">
      <alignment horizontal="left"/>
    </xf>
    <xf numFmtId="0" fontId="16" fillId="10" borderId="7" xfId="0" applyFont="1" applyFill="1" applyBorder="1" applyAlignment="1">
      <alignment horizontal="left" vertical="top"/>
    </xf>
    <xf numFmtId="0" fontId="16" fillId="10" borderId="7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 vertical="top"/>
    </xf>
    <xf numFmtId="0" fontId="5" fillId="0" borderId="4" xfId="0" applyFont="1" applyBorder="1" applyAlignment="1">
      <alignment horizontal="center" vertical="top"/>
    </xf>
    <xf numFmtId="164" fontId="6" fillId="0" borderId="4" xfId="0" applyNumberFormat="1" applyFont="1" applyBorder="1" applyAlignment="1">
      <alignment horizontal="center" vertical="top"/>
    </xf>
    <xf numFmtId="0" fontId="6" fillId="12" borderId="5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16" fillId="5" borderId="7" xfId="0" applyFont="1" applyFill="1" applyBorder="1" applyAlignment="1">
      <alignment horizontal="left"/>
    </xf>
    <xf numFmtId="0" fontId="16" fillId="2" borderId="7" xfId="0" applyFont="1" applyFill="1" applyBorder="1"/>
    <xf numFmtId="0" fontId="17" fillId="2" borderId="7" xfId="0" applyFont="1" applyFill="1" applyBorder="1"/>
    <xf numFmtId="0" fontId="16" fillId="2" borderId="7" xfId="0" applyFont="1" applyFill="1" applyBorder="1" applyAlignment="1">
      <alignment horizontal="left"/>
    </xf>
    <xf numFmtId="0" fontId="16" fillId="2" borderId="7" xfId="0" applyFont="1" applyFill="1" applyBorder="1" applyAlignment="1">
      <alignment horizontal="right"/>
    </xf>
    <xf numFmtId="164" fontId="16" fillId="2" borderId="7" xfId="0" applyNumberFormat="1" applyFont="1" applyFill="1" applyBorder="1" applyAlignment="1">
      <alignment horizontal="left"/>
    </xf>
    <xf numFmtId="0" fontId="16" fillId="8" borderId="7" xfId="0" applyFont="1" applyFill="1" applyBorder="1" applyAlignment="1">
      <alignment horizontal="left"/>
    </xf>
    <xf numFmtId="0" fontId="16" fillId="17" borderId="7" xfId="0" applyFont="1" applyFill="1" applyBorder="1" applyAlignment="1">
      <alignment horizontal="left"/>
    </xf>
    <xf numFmtId="164" fontId="6" fillId="6" borderId="4" xfId="0" applyNumberFormat="1" applyFont="1" applyFill="1" applyBorder="1" applyAlignment="1">
      <alignment horizontal="center" vertical="top"/>
    </xf>
    <xf numFmtId="0" fontId="16" fillId="16" borderId="7" xfId="0" applyFont="1" applyFill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2" borderId="7" xfId="0" applyFont="1" applyFill="1" applyBorder="1" applyAlignment="1">
      <alignment horizontal="left"/>
    </xf>
    <xf numFmtId="0" fontId="14" fillId="2" borderId="3" xfId="0" applyFont="1" applyFill="1" applyBorder="1"/>
    <xf numFmtId="0" fontId="34" fillId="2" borderId="3" xfId="0" applyFont="1" applyFill="1" applyBorder="1"/>
    <xf numFmtId="0" fontId="14" fillId="2" borderId="3" xfId="0" applyFont="1" applyFill="1" applyBorder="1" applyAlignment="1">
      <alignment horizontal="right"/>
    </xf>
    <xf numFmtId="0" fontId="35" fillId="7" borderId="3" xfId="0" applyFont="1" applyFill="1" applyBorder="1" applyAlignment="1">
      <alignment horizontal="right" vertical="top"/>
    </xf>
    <xf numFmtId="164" fontId="6" fillId="13" borderId="4" xfId="0" applyNumberFormat="1" applyFont="1" applyFill="1" applyBorder="1" applyAlignment="1">
      <alignment horizontal="center"/>
    </xf>
    <xf numFmtId="164" fontId="37" fillId="2" borderId="5" xfId="0" applyNumberFormat="1" applyFont="1" applyFill="1" applyBorder="1"/>
    <xf numFmtId="164" fontId="14" fillId="5" borderId="4" xfId="0" applyNumberFormat="1" applyFont="1" applyFill="1" applyBorder="1" applyAlignment="1">
      <alignment horizontal="left"/>
    </xf>
    <xf numFmtId="164" fontId="37" fillId="6" borderId="4" xfId="0" applyNumberFormat="1" applyFont="1" applyFill="1" applyBorder="1"/>
    <xf numFmtId="0" fontId="18" fillId="7" borderId="5" xfId="0" applyFont="1" applyFill="1" applyBorder="1" applyAlignment="1">
      <alignment horizontal="right" vertical="top"/>
    </xf>
    <xf numFmtId="164" fontId="37" fillId="2" borderId="4" xfId="0" applyNumberFormat="1" applyFont="1" applyFill="1" applyBorder="1"/>
    <xf numFmtId="164" fontId="14" fillId="17" borderId="4" xfId="0" applyNumberFormat="1" applyFont="1" applyFill="1" applyBorder="1" applyAlignment="1">
      <alignment horizontal="left"/>
    </xf>
    <xf numFmtId="164" fontId="14" fillId="8" borderId="4" xfId="0" applyNumberFormat="1" applyFont="1" applyFill="1" applyBorder="1" applyAlignment="1">
      <alignment horizontal="left"/>
    </xf>
    <xf numFmtId="0" fontId="20" fillId="0" borderId="4" xfId="0" applyFont="1" applyBorder="1" applyAlignment="1">
      <alignment horizontal="center"/>
    </xf>
    <xf numFmtId="0" fontId="5" fillId="21" borderId="4" xfId="0" applyFont="1" applyFill="1" applyBorder="1" applyAlignment="1">
      <alignment horizontal="left"/>
    </xf>
    <xf numFmtId="0" fontId="5" fillId="18" borderId="5" xfId="0" applyFont="1" applyFill="1" applyBorder="1" applyAlignment="1">
      <alignment horizontal="left"/>
    </xf>
    <xf numFmtId="0" fontId="6" fillId="18" borderId="4" xfId="0" applyFont="1" applyFill="1" applyBorder="1" applyAlignment="1">
      <alignment horizontal="left"/>
    </xf>
    <xf numFmtId="0" fontId="5" fillId="18" borderId="4" xfId="0" applyFont="1" applyFill="1" applyBorder="1" applyAlignment="1">
      <alignment horizontal="left"/>
    </xf>
    <xf numFmtId="0" fontId="5" fillId="18" borderId="5" xfId="0" applyFont="1" applyFill="1" applyBorder="1" applyAlignment="1">
      <alignment horizontal="right"/>
    </xf>
    <xf numFmtId="0" fontId="6" fillId="2" borderId="9" xfId="0" applyFont="1" applyFill="1" applyBorder="1" applyAlignment="1">
      <alignment horizontal="left"/>
    </xf>
    <xf numFmtId="0" fontId="6" fillId="2" borderId="10" xfId="0" applyFont="1" applyFill="1" applyBorder="1" applyAlignment="1">
      <alignment horizontal="left"/>
    </xf>
    <xf numFmtId="0" fontId="5" fillId="22" borderId="4" xfId="0" applyFont="1" applyFill="1" applyBorder="1" applyAlignment="1">
      <alignment horizontal="left"/>
    </xf>
    <xf numFmtId="0" fontId="5" fillId="22" borderId="5" xfId="0" applyFont="1" applyFill="1" applyBorder="1" applyAlignment="1">
      <alignment horizontal="left"/>
    </xf>
    <xf numFmtId="0" fontId="6" fillId="22" borderId="5" xfId="0" applyFont="1" applyFill="1" applyBorder="1" applyAlignment="1">
      <alignment horizontal="left"/>
    </xf>
    <xf numFmtId="0" fontId="5" fillId="22" borderId="5" xfId="0" applyFont="1" applyFill="1" applyBorder="1" applyAlignment="1">
      <alignment horizontal="right"/>
    </xf>
    <xf numFmtId="164" fontId="5" fillId="22" borderId="6" xfId="0" applyNumberFormat="1" applyFont="1" applyFill="1" applyBorder="1" applyAlignment="1">
      <alignment horizontal="left"/>
    </xf>
    <xf numFmtId="164" fontId="7" fillId="22" borderId="4" xfId="0" applyNumberFormat="1" applyFont="1" applyFill="1" applyBorder="1" applyAlignment="1">
      <alignment horizontal="center"/>
    </xf>
    <xf numFmtId="0" fontId="17" fillId="13" borderId="4" xfId="0" applyFont="1" applyFill="1" applyBorder="1" applyAlignment="1">
      <alignment horizontal="center"/>
    </xf>
    <xf numFmtId="0" fontId="20" fillId="13" borderId="4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left"/>
    </xf>
    <xf numFmtId="0" fontId="5" fillId="2" borderId="10" xfId="0" applyFont="1" applyFill="1" applyBorder="1" applyAlignment="1">
      <alignment horizontal="left" vertical="top"/>
    </xf>
    <xf numFmtId="0" fontId="5" fillId="2" borderId="9" xfId="0" applyFont="1" applyFill="1" applyBorder="1" applyAlignment="1">
      <alignment horizontal="left" vertical="top"/>
    </xf>
    <xf numFmtId="0" fontId="5" fillId="2" borderId="4" xfId="0" applyFont="1" applyFill="1" applyBorder="1" applyAlignment="1">
      <alignment horizontal="left" vertical="top"/>
    </xf>
    <xf numFmtId="0" fontId="5" fillId="2" borderId="4" xfId="0" applyFont="1" applyFill="1" applyBorder="1" applyAlignment="1">
      <alignment horizontal="right"/>
    </xf>
    <xf numFmtId="164" fontId="22" fillId="6" borderId="4" xfId="0" applyNumberFormat="1" applyFont="1" applyFill="1" applyBorder="1"/>
    <xf numFmtId="0" fontId="5" fillId="17" borderId="4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40" fillId="0" borderId="5" xfId="0" applyFont="1" applyBorder="1" applyAlignment="1">
      <alignment horizontal="left" vertical="center" wrapText="1"/>
    </xf>
    <xf numFmtId="164" fontId="5" fillId="0" borderId="6" xfId="0" applyNumberFormat="1" applyFont="1" applyBorder="1" applyAlignment="1">
      <alignment horizontal="left" vertical="center"/>
    </xf>
    <xf numFmtId="0" fontId="21" fillId="2" borderId="4" xfId="0" applyFont="1" applyFill="1" applyBorder="1"/>
    <xf numFmtId="0" fontId="6" fillId="2" borderId="3" xfId="0" applyFont="1" applyFill="1" applyBorder="1"/>
    <xf numFmtId="0" fontId="21" fillId="2" borderId="3" xfId="0" applyFont="1" applyFill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2" borderId="9" xfId="0" applyFont="1" applyFill="1" applyBorder="1" applyAlignment="1">
      <alignment horizontal="right"/>
    </xf>
    <xf numFmtId="0" fontId="5" fillId="2" borderId="9" xfId="0" applyFont="1" applyFill="1" applyBorder="1" applyAlignment="1">
      <alignment horizontal="left"/>
    </xf>
    <xf numFmtId="164" fontId="5" fillId="0" borderId="0" xfId="0" applyNumberFormat="1" applyFont="1" applyAlignment="1">
      <alignment horizontal="left"/>
    </xf>
    <xf numFmtId="0" fontId="5" fillId="2" borderId="11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0" fontId="5" fillId="2" borderId="10" xfId="0" applyFont="1" applyFill="1" applyBorder="1" applyAlignment="1">
      <alignment horizontal="left"/>
    </xf>
    <xf numFmtId="164" fontId="5" fillId="2" borderId="2" xfId="0" applyNumberFormat="1" applyFont="1" applyFill="1" applyBorder="1" applyAlignment="1">
      <alignment horizontal="left"/>
    </xf>
    <xf numFmtId="0" fontId="5" fillId="2" borderId="7" xfId="0" applyFont="1" applyFill="1" applyBorder="1" applyAlignment="1">
      <alignment horizontal="left" vertical="center"/>
    </xf>
    <xf numFmtId="0" fontId="29" fillId="2" borderId="5" xfId="0" applyFont="1" applyFill="1" applyBorder="1" applyAlignment="1">
      <alignment horizontal="left" vertical="center" wrapText="1"/>
    </xf>
    <xf numFmtId="164" fontId="5" fillId="2" borderId="6" xfId="0" applyNumberFormat="1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/>
    </xf>
    <xf numFmtId="164" fontId="5" fillId="2" borderId="0" xfId="0" applyNumberFormat="1" applyFont="1" applyFill="1" applyAlignment="1">
      <alignment horizontal="left"/>
    </xf>
    <xf numFmtId="164" fontId="5" fillId="2" borderId="1" xfId="0" applyNumberFormat="1" applyFont="1" applyFill="1" applyBorder="1" applyAlignment="1">
      <alignment horizontal="left"/>
    </xf>
    <xf numFmtId="164" fontId="5" fillId="2" borderId="8" xfId="0" applyNumberFormat="1" applyFont="1" applyFill="1" applyBorder="1" applyAlignment="1">
      <alignment horizontal="left"/>
    </xf>
    <xf numFmtId="0" fontId="17" fillId="2" borderId="5" xfId="0" applyFont="1" applyFill="1" applyBorder="1" applyAlignment="1">
      <alignment horizontal="left"/>
    </xf>
    <xf numFmtId="164" fontId="21" fillId="2" borderId="6" xfId="0" applyNumberFormat="1" applyFont="1" applyFill="1" applyBorder="1" applyAlignment="1">
      <alignment horizontal="left"/>
    </xf>
    <xf numFmtId="164" fontId="29" fillId="13" borderId="4" xfId="0" applyNumberFormat="1" applyFont="1" applyFill="1" applyBorder="1" applyAlignment="1">
      <alignment horizontal="left"/>
    </xf>
    <xf numFmtId="0" fontId="12" fillId="23" borderId="7" xfId="0" applyFont="1" applyFill="1" applyBorder="1" applyAlignment="1">
      <alignment horizontal="right" vertical="top"/>
    </xf>
    <xf numFmtId="164" fontId="11" fillId="2" borderId="4" xfId="0" applyNumberFormat="1" applyFont="1" applyFill="1" applyBorder="1" applyAlignment="1">
      <alignment horizontal="center" vertical="top"/>
    </xf>
    <xf numFmtId="164" fontId="41" fillId="2" borderId="4" xfId="0" applyNumberFormat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5" fillId="8" borderId="5" xfId="0" applyFont="1" applyFill="1" applyBorder="1" applyAlignment="1">
      <alignment horizontal="left"/>
    </xf>
    <xf numFmtId="0" fontId="41" fillId="9" borderId="7" xfId="0" applyFont="1" applyFill="1" applyBorder="1" applyAlignment="1">
      <alignment horizontal="right" vertical="top"/>
    </xf>
    <xf numFmtId="0" fontId="41" fillId="7" borderId="7" xfId="0" applyFont="1" applyFill="1" applyBorder="1" applyAlignment="1">
      <alignment horizontal="right" vertical="top"/>
    </xf>
    <xf numFmtId="0" fontId="5" fillId="0" borderId="5" xfId="0" applyFont="1" applyBorder="1" applyAlignment="1">
      <alignment horizontal="left" vertical="top"/>
    </xf>
    <xf numFmtId="0" fontId="20" fillId="9" borderId="7" xfId="0" applyFont="1" applyFill="1" applyBorder="1" applyAlignment="1">
      <alignment vertical="center"/>
    </xf>
    <xf numFmtId="0" fontId="20" fillId="7" borderId="7" xfId="0" applyFont="1" applyFill="1" applyBorder="1"/>
    <xf numFmtId="0" fontId="21" fillId="10" borderId="4" xfId="0" applyFont="1" applyFill="1" applyBorder="1" applyAlignment="1">
      <alignment horizontal="left" vertical="top"/>
    </xf>
    <xf numFmtId="0" fontId="21" fillId="2" borderId="3" xfId="0" applyFont="1" applyFill="1" applyBorder="1" applyAlignment="1">
      <alignment vertical="top"/>
    </xf>
    <xf numFmtId="0" fontId="21" fillId="2" borderId="3" xfId="0" applyFont="1" applyFill="1" applyBorder="1" applyAlignment="1">
      <alignment horizontal="left" vertical="top"/>
    </xf>
    <xf numFmtId="0" fontId="21" fillId="2" borderId="3" xfId="0" applyFont="1" applyFill="1" applyBorder="1" applyAlignment="1">
      <alignment horizontal="right"/>
    </xf>
    <xf numFmtId="164" fontId="21" fillId="2" borderId="3" xfId="0" applyNumberFormat="1" applyFont="1" applyFill="1" applyBorder="1" applyAlignment="1">
      <alignment horizontal="left" vertical="top"/>
    </xf>
    <xf numFmtId="0" fontId="5" fillId="2" borderId="7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left" vertical="center"/>
    </xf>
    <xf numFmtId="164" fontId="5" fillId="2" borderId="4" xfId="0" applyNumberFormat="1" applyFont="1" applyFill="1" applyBorder="1" applyAlignment="1">
      <alignment horizontal="center" vertical="center"/>
    </xf>
    <xf numFmtId="0" fontId="8" fillId="9" borderId="7" xfId="0" applyFont="1" applyFill="1" applyBorder="1" applyAlignment="1">
      <alignment vertical="center"/>
    </xf>
    <xf numFmtId="0" fontId="5" fillId="5" borderId="4" xfId="0" applyFont="1" applyFill="1" applyBorder="1" applyAlignment="1">
      <alignment horizontal="left" vertical="center"/>
    </xf>
    <xf numFmtId="164" fontId="5" fillId="6" borderId="4" xfId="0" applyNumberFormat="1" applyFont="1" applyFill="1" applyBorder="1" applyAlignment="1">
      <alignment horizontal="center" vertical="center"/>
    </xf>
    <xf numFmtId="0" fontId="8" fillId="7" borderId="7" xfId="0" applyFont="1" applyFill="1" applyBorder="1" applyAlignment="1">
      <alignment vertical="center"/>
    </xf>
    <xf numFmtId="0" fontId="21" fillId="5" borderId="7" xfId="0" applyFont="1" applyFill="1" applyBorder="1" applyAlignment="1">
      <alignment horizontal="left" vertical="top"/>
    </xf>
    <xf numFmtId="164" fontId="22" fillId="2" borderId="5" xfId="0" applyNumberFormat="1" applyFont="1" applyFill="1" applyBorder="1" applyAlignment="1">
      <alignment vertical="top"/>
    </xf>
    <xf numFmtId="0" fontId="22" fillId="7" borderId="5" xfId="0" applyFont="1" applyFill="1" applyBorder="1" applyAlignment="1">
      <alignment vertical="top"/>
    </xf>
    <xf numFmtId="0" fontId="22" fillId="9" borderId="5" xfId="0" applyFont="1" applyFill="1" applyBorder="1" applyAlignment="1">
      <alignment vertical="top"/>
    </xf>
    <xf numFmtId="0" fontId="21" fillId="8" borderId="7" xfId="0" applyFont="1" applyFill="1" applyBorder="1" applyAlignment="1">
      <alignment horizontal="left" vertical="top"/>
    </xf>
    <xf numFmtId="0" fontId="21" fillId="17" borderId="7" xfId="0" applyFont="1" applyFill="1" applyBorder="1" applyAlignment="1">
      <alignment horizontal="left" vertical="top"/>
    </xf>
    <xf numFmtId="0" fontId="21" fillId="16" borderId="7" xfId="0" applyFont="1" applyFill="1" applyBorder="1" applyAlignment="1">
      <alignment horizontal="left" vertical="top"/>
    </xf>
    <xf numFmtId="0" fontId="21" fillId="19" borderId="7" xfId="0" applyFont="1" applyFill="1" applyBorder="1" applyAlignment="1">
      <alignment horizontal="left" vertical="top"/>
    </xf>
    <xf numFmtId="0" fontId="21" fillId="10" borderId="7" xfId="0" applyFont="1" applyFill="1" applyBorder="1" applyAlignment="1">
      <alignment horizontal="left" vertical="top"/>
    </xf>
    <xf numFmtId="164" fontId="21" fillId="0" borderId="5" xfId="0" applyNumberFormat="1" applyFont="1" applyBorder="1" applyAlignment="1">
      <alignment horizontal="left" vertical="top"/>
    </xf>
    <xf numFmtId="0" fontId="21" fillId="17" borderId="7" xfId="0" applyFont="1" applyFill="1" applyBorder="1" applyAlignment="1">
      <alignment horizontal="left"/>
    </xf>
    <xf numFmtId="164" fontId="43" fillId="24" borderId="0" xfId="0" applyNumberFormat="1" applyFont="1" applyFill="1" applyAlignment="1">
      <alignment horizontal="left"/>
    </xf>
    <xf numFmtId="0" fontId="43" fillId="24" borderId="0" xfId="0" applyFont="1" applyFill="1" applyAlignment="1">
      <alignment horizontal="left"/>
    </xf>
    <xf numFmtId="0" fontId="43" fillId="24" borderId="0" xfId="0" applyFont="1" applyFill="1" applyAlignment="1">
      <alignment horizontal="right"/>
    </xf>
    <xf numFmtId="164" fontId="44" fillId="25" borderId="0" xfId="0" applyNumberFormat="1" applyFont="1" applyFill="1" applyAlignment="1">
      <alignment horizontal="left"/>
    </xf>
    <xf numFmtId="164" fontId="45" fillId="0" borderId="0" xfId="0" applyNumberFormat="1" applyFont="1" applyAlignment="1">
      <alignment horizontal="left"/>
    </xf>
    <xf numFmtId="49" fontId="45" fillId="0" borderId="0" xfId="0" applyNumberFormat="1" applyFont="1" applyAlignment="1">
      <alignment horizontal="left"/>
    </xf>
    <xf numFmtId="0" fontId="45" fillId="0" borderId="0" xfId="0" applyFont="1" applyAlignment="1">
      <alignment horizontal="left"/>
    </xf>
    <xf numFmtId="0" fontId="45" fillId="0" borderId="0" xfId="0" applyFont="1" applyAlignment="1">
      <alignment horizontal="right"/>
    </xf>
    <xf numFmtId="164" fontId="22" fillId="24" borderId="0" xfId="0" applyNumberFormat="1" applyFont="1" applyFill="1" applyAlignment="1">
      <alignment horizontal="left"/>
    </xf>
    <xf numFmtId="49" fontId="22" fillId="24" borderId="0" xfId="0" applyNumberFormat="1" applyFont="1" applyFill="1" applyAlignment="1">
      <alignment horizontal="left"/>
    </xf>
    <xf numFmtId="0" fontId="22" fillId="24" borderId="0" xfId="0" applyFont="1" applyFill="1" applyAlignment="1">
      <alignment horizontal="left"/>
    </xf>
    <xf numFmtId="0" fontId="22" fillId="24" borderId="0" xfId="0" applyFont="1" applyFill="1" applyAlignment="1">
      <alignment horizontal="right"/>
    </xf>
    <xf numFmtId="164" fontId="44" fillId="21" borderId="0" xfId="0" applyNumberFormat="1" applyFont="1" applyFill="1" applyAlignment="1">
      <alignment horizontal="left"/>
    </xf>
    <xf numFmtId="164" fontId="44" fillId="11" borderId="0" xfId="0" applyNumberFormat="1" applyFont="1" applyFill="1" applyAlignment="1">
      <alignment horizontal="left"/>
    </xf>
    <xf numFmtId="164" fontId="44" fillId="26" borderId="0" xfId="0" applyNumberFormat="1" applyFont="1" applyFill="1" applyAlignment="1">
      <alignment horizontal="left"/>
    </xf>
    <xf numFmtId="164" fontId="44" fillId="6" borderId="0" xfId="0" applyNumberFormat="1" applyFont="1" applyFill="1" applyAlignment="1">
      <alignment horizontal="left"/>
    </xf>
    <xf numFmtId="164" fontId="44" fillId="17" borderId="0" xfId="0" applyNumberFormat="1" applyFont="1" applyFill="1" applyAlignment="1">
      <alignment horizontal="left"/>
    </xf>
    <xf numFmtId="164" fontId="44" fillId="5" borderId="0" xfId="0" applyNumberFormat="1" applyFont="1" applyFill="1" applyAlignment="1">
      <alignment horizontal="left"/>
    </xf>
    <xf numFmtId="164" fontId="44" fillId="20" borderId="0" xfId="0" applyNumberFormat="1" applyFont="1" applyFill="1" applyAlignment="1">
      <alignment horizontal="left"/>
    </xf>
    <xf numFmtId="164" fontId="44" fillId="27" borderId="0" xfId="0" applyNumberFormat="1" applyFont="1" applyFill="1" applyAlignment="1">
      <alignment horizontal="left"/>
    </xf>
    <xf numFmtId="164" fontId="44" fillId="15" borderId="0" xfId="0" applyNumberFormat="1" applyFont="1" applyFill="1" applyAlignment="1">
      <alignment horizontal="left"/>
    </xf>
    <xf numFmtId="164" fontId="45" fillId="24" borderId="0" xfId="0" applyNumberFormat="1" applyFont="1" applyFill="1" applyAlignment="1">
      <alignment horizontal="left"/>
    </xf>
    <xf numFmtId="49" fontId="45" fillId="24" borderId="0" xfId="0" applyNumberFormat="1" applyFont="1" applyFill="1" applyAlignment="1">
      <alignment horizontal="left"/>
    </xf>
    <xf numFmtId="0" fontId="45" fillId="24" borderId="0" xfId="0" applyFont="1" applyFill="1" applyAlignment="1">
      <alignment horizontal="left"/>
    </xf>
    <xf numFmtId="0" fontId="45" fillId="24" borderId="0" xfId="0" applyFont="1" applyFill="1" applyAlignment="1">
      <alignment horizontal="right"/>
    </xf>
    <xf numFmtId="164" fontId="43" fillId="22" borderId="0" xfId="0" applyNumberFormat="1" applyFont="1" applyFill="1" applyAlignment="1">
      <alignment horizontal="left"/>
    </xf>
    <xf numFmtId="0" fontId="43" fillId="22" borderId="0" xfId="0" applyFont="1" applyFill="1" applyAlignment="1">
      <alignment horizontal="left"/>
    </xf>
    <xf numFmtId="0" fontId="43" fillId="22" borderId="0" xfId="0" applyFont="1" applyFill="1" applyAlignment="1">
      <alignment horizontal="right"/>
    </xf>
    <xf numFmtId="164" fontId="46" fillId="22" borderId="0" xfId="0" applyNumberFormat="1" applyFont="1" applyFill="1" applyAlignment="1">
      <alignment horizontal="left"/>
    </xf>
    <xf numFmtId="164" fontId="22" fillId="0" borderId="0" xfId="0" applyNumberFormat="1" applyFont="1" applyAlignment="1">
      <alignment horizontal="left"/>
    </xf>
    <xf numFmtId="0" fontId="47" fillId="28" borderId="0" xfId="0" applyFont="1" applyFill="1" applyAlignment="1">
      <alignment horizontal="center"/>
    </xf>
    <xf numFmtId="0" fontId="48" fillId="28" borderId="0" xfId="0" applyFont="1" applyFill="1" applyAlignment="1">
      <alignment horizontal="center"/>
    </xf>
    <xf numFmtId="0" fontId="49" fillId="20" borderId="4" xfId="0" applyFont="1" applyFill="1" applyBorder="1" applyAlignment="1">
      <alignment horizontal="left"/>
    </xf>
    <xf numFmtId="0" fontId="49" fillId="20" borderId="0" xfId="0" applyFont="1" applyFill="1" applyAlignment="1">
      <alignment horizontal="left"/>
    </xf>
    <xf numFmtId="0" fontId="28" fillId="29" borderId="4" xfId="0" applyFont="1" applyFill="1" applyBorder="1"/>
    <xf numFmtId="0" fontId="28" fillId="29" borderId="0" xfId="0" applyFont="1" applyFill="1"/>
    <xf numFmtId="0" fontId="4" fillId="20" borderId="4" xfId="0" applyFont="1" applyFill="1" applyBorder="1"/>
    <xf numFmtId="0" fontId="4" fillId="20" borderId="0" xfId="0" applyFont="1" applyFill="1"/>
    <xf numFmtId="0" fontId="14" fillId="5" borderId="4" xfId="0" applyFont="1" applyFill="1" applyBorder="1"/>
    <xf numFmtId="0" fontId="14" fillId="0" borderId="4" xfId="0" applyFont="1" applyBorder="1" applyAlignment="1">
      <alignment horizontal="right"/>
    </xf>
    <xf numFmtId="164" fontId="14" fillId="0" borderId="4" xfId="0" applyNumberFormat="1" applyFont="1" applyBorder="1" applyAlignment="1">
      <alignment horizontal="right"/>
    </xf>
    <xf numFmtId="0" fontId="16" fillId="2" borderId="4" xfId="0" applyFont="1" applyFill="1" applyBorder="1" applyAlignment="1">
      <alignment horizontal="right"/>
    </xf>
    <xf numFmtId="164" fontId="16" fillId="2" borderId="4" xfId="0" applyNumberFormat="1" applyFont="1" applyFill="1" applyBorder="1" applyAlignment="1">
      <alignment horizontal="right"/>
    </xf>
    <xf numFmtId="0" fontId="16" fillId="2" borderId="4" xfId="0" applyFont="1" applyFill="1" applyBorder="1"/>
    <xf numFmtId="0" fontId="22" fillId="2" borderId="4" xfId="0" applyFont="1" applyFill="1" applyBorder="1"/>
    <xf numFmtId="0" fontId="22" fillId="2" borderId="0" xfId="0" applyFont="1" applyFill="1"/>
    <xf numFmtId="0" fontId="50" fillId="0" borderId="4" xfId="0" applyFont="1" applyBorder="1"/>
    <xf numFmtId="0" fontId="45" fillId="0" borderId="4" xfId="0" applyFont="1" applyBorder="1"/>
    <xf numFmtId="0" fontId="14" fillId="15" borderId="4" xfId="0" applyFont="1" applyFill="1" applyBorder="1"/>
    <xf numFmtId="0" fontId="45" fillId="0" borderId="4" xfId="0" applyFont="1" applyBorder="1" applyAlignment="1">
      <alignment horizontal="right"/>
    </xf>
    <xf numFmtId="0" fontId="16" fillId="15" borderId="4" xfId="0" applyFont="1" applyFill="1" applyBorder="1"/>
    <xf numFmtId="164" fontId="21" fillId="2" borderId="4" xfId="0" applyNumberFormat="1" applyFont="1" applyFill="1" applyBorder="1" applyAlignment="1">
      <alignment horizontal="right"/>
    </xf>
    <xf numFmtId="0" fontId="16" fillId="2" borderId="0" xfId="0" applyFont="1" applyFill="1" applyAlignment="1">
      <alignment horizontal="right"/>
    </xf>
    <xf numFmtId="0" fontId="17" fillId="2" borderId="4" xfId="0" applyFont="1" applyFill="1" applyBorder="1"/>
    <xf numFmtId="0" fontId="10" fillId="29" borderId="4" xfId="0" applyFont="1" applyFill="1" applyBorder="1" applyAlignment="1">
      <alignment horizontal="left"/>
    </xf>
    <xf numFmtId="0" fontId="10" fillId="29" borderId="0" xfId="0" applyFont="1" applyFill="1" applyAlignment="1">
      <alignment horizontal="left"/>
    </xf>
    <xf numFmtId="0" fontId="4" fillId="20" borderId="4" xfId="0" applyFont="1" applyFill="1" applyBorder="1" applyAlignment="1">
      <alignment horizontal="left"/>
    </xf>
    <xf numFmtId="0" fontId="4" fillId="20" borderId="0" xfId="0" applyFont="1" applyFill="1" applyAlignment="1">
      <alignment horizontal="left"/>
    </xf>
    <xf numFmtId="0" fontId="15" fillId="2" borderId="4" xfId="0" applyFont="1" applyFill="1" applyBorder="1"/>
    <xf numFmtId="0" fontId="15" fillId="2" borderId="0" xfId="0" applyFont="1" applyFill="1"/>
    <xf numFmtId="0" fontId="16" fillId="5" borderId="4" xfId="0" applyFont="1" applyFill="1" applyBorder="1"/>
    <xf numFmtId="164" fontId="22" fillId="2" borderId="4" xfId="0" applyNumberFormat="1" applyFont="1" applyFill="1" applyBorder="1"/>
    <xf numFmtId="0" fontId="17" fillId="0" borderId="4" xfId="0" applyFont="1" applyBorder="1"/>
    <xf numFmtId="164" fontId="16" fillId="2" borderId="4" xfId="0" applyNumberFormat="1" applyFont="1" applyFill="1" applyBorder="1"/>
    <xf numFmtId="0" fontId="16" fillId="21" borderId="4" xfId="0" applyFont="1" applyFill="1" applyBorder="1"/>
    <xf numFmtId="0" fontId="16" fillId="17" borderId="4" xfId="0" applyFont="1" applyFill="1" applyBorder="1"/>
    <xf numFmtId="0" fontId="16" fillId="2" borderId="0" xfId="0" applyFont="1" applyFill="1"/>
    <xf numFmtId="0" fontId="28" fillId="29" borderId="4" xfId="0" applyFont="1" applyFill="1" applyBorder="1" applyAlignment="1">
      <alignment horizontal="left"/>
    </xf>
    <xf numFmtId="0" fontId="28" fillId="29" borderId="0" xfId="0" applyFont="1" applyFill="1" applyAlignment="1">
      <alignment horizontal="left"/>
    </xf>
    <xf numFmtId="0" fontId="16" fillId="0" borderId="4" xfId="0" applyFont="1" applyBorder="1"/>
    <xf numFmtId="0" fontId="51" fillId="2" borderId="4" xfId="0" applyFont="1" applyFill="1" applyBorder="1" applyAlignment="1">
      <alignment horizontal="right"/>
    </xf>
    <xf numFmtId="0" fontId="51" fillId="2" borderId="0" xfId="0" applyFont="1" applyFill="1" applyAlignment="1">
      <alignment horizontal="right"/>
    </xf>
    <xf numFmtId="164" fontId="16" fillId="18" borderId="4" xfId="0" applyNumberFormat="1" applyFont="1" applyFill="1" applyBorder="1" applyAlignment="1">
      <alignment horizontal="right"/>
    </xf>
    <xf numFmtId="164" fontId="16" fillId="0" borderId="4" xfId="0" applyNumberFormat="1" applyFont="1" applyBorder="1" applyAlignment="1">
      <alignment horizontal="right"/>
    </xf>
    <xf numFmtId="0" fontId="15" fillId="20" borderId="4" xfId="0" applyFont="1" applyFill="1" applyBorder="1"/>
    <xf numFmtId="0" fontId="15" fillId="20" borderId="0" xfId="0" applyFont="1" applyFill="1"/>
    <xf numFmtId="0" fontId="37" fillId="0" borderId="4" xfId="0" applyFont="1" applyBorder="1" applyAlignment="1">
      <alignment horizontal="right"/>
    </xf>
    <xf numFmtId="164" fontId="45" fillId="0" borderId="4" xfId="0" applyNumberFormat="1" applyFont="1" applyBorder="1"/>
    <xf numFmtId="164" fontId="45" fillId="0" borderId="0" xfId="0" applyNumberFormat="1" applyFont="1"/>
    <xf numFmtId="164" fontId="14" fillId="0" borderId="0" xfId="0" applyNumberFormat="1" applyFont="1" applyAlignment="1">
      <alignment horizontal="right"/>
    </xf>
    <xf numFmtId="0" fontId="14" fillId="10" borderId="4" xfId="0" applyFont="1" applyFill="1" applyBorder="1"/>
    <xf numFmtId="0" fontId="21" fillId="5" borderId="4" xfId="0" applyFont="1" applyFill="1" applyBorder="1" applyAlignment="1">
      <alignment horizontal="left"/>
    </xf>
    <xf numFmtId="0" fontId="16" fillId="18" borderId="4" xfId="0" applyFont="1" applyFill="1" applyBorder="1"/>
    <xf numFmtId="0" fontId="28" fillId="2" borderId="4" xfId="0" applyFont="1" applyFill="1" applyBorder="1" applyAlignment="1">
      <alignment horizontal="center"/>
    </xf>
    <xf numFmtId="0" fontId="28" fillId="2" borderId="0" xfId="0" applyFont="1" applyFill="1" applyAlignment="1">
      <alignment horizontal="center"/>
    </xf>
    <xf numFmtId="0" fontId="21" fillId="2" borderId="4" xfId="0" applyFont="1" applyFill="1" applyBorder="1" applyAlignment="1">
      <alignment horizontal="left"/>
    </xf>
    <xf numFmtId="0" fontId="52" fillId="2" borderId="4" xfId="0" applyFont="1" applyFill="1" applyBorder="1" applyAlignment="1">
      <alignment horizontal="left"/>
    </xf>
    <xf numFmtId="0" fontId="31" fillId="2" borderId="4" xfId="0" applyFont="1" applyFill="1" applyBorder="1"/>
    <xf numFmtId="0" fontId="16" fillId="5" borderId="4" xfId="0" applyFont="1" applyFill="1" applyBorder="1" applyAlignment="1">
      <alignment horizontal="left"/>
    </xf>
    <xf numFmtId="0" fontId="16" fillId="5" borderId="0" xfId="0" applyFont="1" applyFill="1" applyAlignment="1">
      <alignment horizontal="left"/>
    </xf>
    <xf numFmtId="0" fontId="16" fillId="21" borderId="4" xfId="0" applyFont="1" applyFill="1" applyBorder="1" applyAlignment="1">
      <alignment horizontal="left"/>
    </xf>
    <xf numFmtId="0" fontId="16" fillId="21" borderId="0" xfId="0" applyFont="1" applyFill="1" applyAlignment="1">
      <alignment horizontal="left"/>
    </xf>
    <xf numFmtId="0" fontId="16" fillId="17" borderId="4" xfId="0" applyFont="1" applyFill="1" applyBorder="1" applyAlignment="1">
      <alignment horizontal="left"/>
    </xf>
    <xf numFmtId="0" fontId="16" fillId="17" borderId="0" xfId="0" applyFont="1" applyFill="1" applyAlignment="1">
      <alignment horizontal="left"/>
    </xf>
    <xf numFmtId="0" fontId="16" fillId="15" borderId="4" xfId="0" applyFont="1" applyFill="1" applyBorder="1" applyAlignment="1">
      <alignment horizontal="left"/>
    </xf>
    <xf numFmtId="0" fontId="16" fillId="15" borderId="0" xfId="0" applyFont="1" applyFill="1" applyAlignment="1">
      <alignment horizontal="left"/>
    </xf>
    <xf numFmtId="0" fontId="53" fillId="2" borderId="0" xfId="0" applyFont="1" applyFill="1" applyAlignment="1">
      <alignment horizontal="center"/>
    </xf>
    <xf numFmtId="0" fontId="54" fillId="2" borderId="0" xfId="0" applyFont="1" applyFill="1" applyAlignment="1">
      <alignment horizontal="center"/>
    </xf>
    <xf numFmtId="0" fontId="55" fillId="8" borderId="0" xfId="0" applyFont="1" applyFill="1" applyAlignment="1">
      <alignment horizontal="center"/>
    </xf>
    <xf numFmtId="0" fontId="56" fillId="0" borderId="0" xfId="0" applyFont="1"/>
    <xf numFmtId="0" fontId="57" fillId="0" borderId="0" xfId="0" applyFont="1"/>
    <xf numFmtId="165" fontId="56" fillId="0" borderId="0" xfId="0" applyNumberFormat="1" applyFont="1" applyAlignment="1">
      <alignment horizontal="center"/>
    </xf>
    <xf numFmtId="165" fontId="55" fillId="5" borderId="0" xfId="0" applyNumberFormat="1" applyFont="1" applyFill="1" applyAlignment="1">
      <alignment horizontal="center"/>
    </xf>
    <xf numFmtId="166" fontId="56" fillId="0" borderId="0" xfId="0" applyNumberFormat="1" applyFont="1" applyAlignment="1">
      <alignment horizontal="left"/>
    </xf>
    <xf numFmtId="0" fontId="57" fillId="2" borderId="0" xfId="0" applyFont="1" applyFill="1" applyAlignment="1">
      <alignment horizontal="left"/>
    </xf>
    <xf numFmtId="0" fontId="58" fillId="2" borderId="0" xfId="0" applyFont="1" applyFill="1"/>
    <xf numFmtId="0" fontId="57" fillId="0" borderId="0" xfId="0" applyFont="1" applyAlignment="1">
      <alignment horizontal="left"/>
    </xf>
    <xf numFmtId="0" fontId="59" fillId="0" borderId="0" xfId="0" applyFont="1"/>
    <xf numFmtId="0" fontId="43" fillId="30" borderId="0" xfId="0" applyFont="1" applyFill="1"/>
    <xf numFmtId="0" fontId="43" fillId="30" borderId="0" xfId="0" applyFont="1" applyFill="1" applyAlignment="1">
      <alignment horizontal="left"/>
    </xf>
    <xf numFmtId="49" fontId="43" fillId="30" borderId="0" xfId="0" applyNumberFormat="1" applyFont="1" applyFill="1"/>
    <xf numFmtId="164" fontId="16" fillId="12" borderId="0" xfId="0" applyNumberFormat="1" applyFont="1" applyFill="1"/>
    <xf numFmtId="0" fontId="16" fillId="12" borderId="0" xfId="0" applyFont="1" applyFill="1" applyAlignment="1">
      <alignment horizontal="left"/>
    </xf>
    <xf numFmtId="0" fontId="51" fillId="12" borderId="0" xfId="0" applyFont="1" applyFill="1"/>
    <xf numFmtId="0" fontId="16" fillId="12" borderId="0" xfId="0" applyFont="1" applyFill="1"/>
    <xf numFmtId="49" fontId="16" fillId="12" borderId="0" xfId="0" applyNumberFormat="1" applyFont="1" applyFill="1"/>
    <xf numFmtId="167" fontId="16" fillId="12" borderId="0" xfId="0" applyNumberFormat="1" applyFont="1" applyFill="1"/>
    <xf numFmtId="0" fontId="51" fillId="25" borderId="0" xfId="0" applyFont="1" applyFill="1"/>
    <xf numFmtId="0" fontId="16" fillId="0" borderId="0" xfId="0" applyFont="1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right"/>
    </xf>
    <xf numFmtId="49" fontId="16" fillId="0" borderId="0" xfId="0" applyNumberFormat="1" applyFont="1"/>
    <xf numFmtId="49" fontId="16" fillId="0" borderId="0" xfId="0" applyNumberFormat="1" applyFont="1" applyAlignment="1">
      <alignment horizontal="right"/>
    </xf>
    <xf numFmtId="164" fontId="16" fillId="0" borderId="0" xfId="0" applyNumberFormat="1" applyFont="1" applyAlignment="1">
      <alignment horizontal="right"/>
    </xf>
    <xf numFmtId="167" fontId="16" fillId="0" borderId="0" xfId="0" applyNumberFormat="1" applyFont="1" applyAlignment="1">
      <alignment horizontal="right"/>
    </xf>
    <xf numFmtId="168" fontId="16" fillId="0" borderId="0" xfId="0" applyNumberFormat="1" applyFont="1" applyAlignment="1">
      <alignment horizontal="right"/>
    </xf>
    <xf numFmtId="164" fontId="51" fillId="25" borderId="0" xfId="0" applyNumberFormat="1" applyFont="1" applyFill="1"/>
    <xf numFmtId="3" fontId="16" fillId="0" borderId="0" xfId="0" applyNumberFormat="1" applyFont="1" applyAlignment="1">
      <alignment horizontal="right"/>
    </xf>
    <xf numFmtId="164" fontId="16" fillId="12" borderId="0" xfId="0" applyNumberFormat="1" applyFont="1" applyFill="1" applyAlignment="1">
      <alignment horizontal="right"/>
    </xf>
    <xf numFmtId="167" fontId="16" fillId="0" borderId="0" xfId="0" applyNumberFormat="1" applyFont="1"/>
    <xf numFmtId="0" fontId="51" fillId="5" borderId="0" xfId="0" applyFont="1" applyFill="1"/>
    <xf numFmtId="164" fontId="51" fillId="5" borderId="0" xfId="0" applyNumberFormat="1" applyFont="1" applyFill="1"/>
    <xf numFmtId="0" fontId="51" fillId="20" borderId="0" xfId="0" applyFont="1" applyFill="1"/>
    <xf numFmtId="168" fontId="16" fillId="0" borderId="0" xfId="0" applyNumberFormat="1" applyFont="1"/>
    <xf numFmtId="164" fontId="51" fillId="27" borderId="0" xfId="0" applyNumberFormat="1" applyFont="1" applyFill="1"/>
    <xf numFmtId="0" fontId="51" fillId="27" borderId="0" xfId="0" applyFont="1" applyFill="1"/>
    <xf numFmtId="0" fontId="51" fillId="15" borderId="0" xfId="0" applyFont="1" applyFill="1"/>
    <xf numFmtId="164" fontId="51" fillId="15" borderId="0" xfId="0" applyNumberFormat="1" applyFont="1" applyFill="1"/>
    <xf numFmtId="0" fontId="51" fillId="21" borderId="0" xfId="0" applyFont="1" applyFill="1"/>
    <xf numFmtId="164" fontId="51" fillId="21" borderId="0" xfId="0" applyNumberFormat="1" applyFont="1" applyFill="1"/>
    <xf numFmtId="164" fontId="51" fillId="11" borderId="0" xfId="0" applyNumberFormat="1" applyFont="1" applyFill="1"/>
    <xf numFmtId="164" fontId="51" fillId="6" borderId="0" xfId="0" applyNumberFormat="1" applyFont="1" applyFill="1"/>
    <xf numFmtId="0" fontId="46" fillId="30" borderId="0" xfId="0" applyFont="1" applyFill="1"/>
    <xf numFmtId="0" fontId="46" fillId="30" borderId="0" xfId="0" applyFont="1" applyFill="1" applyAlignment="1">
      <alignment horizontal="left"/>
    </xf>
    <xf numFmtId="168" fontId="46" fillId="30" borderId="0" xfId="0" applyNumberFormat="1" applyFont="1" applyFill="1"/>
    <xf numFmtId="168" fontId="16" fillId="12" borderId="0" xfId="0" applyNumberFormat="1" applyFont="1" applyFill="1"/>
    <xf numFmtId="0" fontId="51" fillId="17" borderId="0" xfId="0" applyFont="1" applyFill="1" applyAlignment="1">
      <alignment horizontal="left"/>
    </xf>
    <xf numFmtId="0" fontId="51" fillId="5" borderId="0" xfId="0" applyFont="1" applyFill="1" applyAlignment="1">
      <alignment horizontal="left"/>
    </xf>
    <xf numFmtId="0" fontId="51" fillId="11" borderId="0" xfId="0" applyFont="1" applyFill="1" applyAlignment="1">
      <alignment horizontal="left"/>
    </xf>
    <xf numFmtId="0" fontId="51" fillId="26" borderId="0" xfId="0" applyFont="1" applyFill="1" applyAlignment="1">
      <alignment horizontal="left"/>
    </xf>
    <xf numFmtId="0" fontId="51" fillId="6" borderId="0" xfId="0" applyFont="1" applyFill="1" applyAlignment="1">
      <alignment horizontal="left"/>
    </xf>
    <xf numFmtId="168" fontId="13" fillId="13" borderId="0" xfId="0" applyNumberFormat="1" applyFont="1" applyFill="1" applyAlignment="1">
      <alignment horizontal="right"/>
    </xf>
    <xf numFmtId="164" fontId="51" fillId="17" borderId="0" xfId="0" applyNumberFormat="1" applyFont="1" applyFill="1"/>
    <xf numFmtId="164" fontId="16" fillId="0" borderId="0" xfId="0" applyNumberFormat="1" applyFont="1"/>
    <xf numFmtId="164" fontId="45" fillId="13" borderId="0" xfId="0" applyNumberFormat="1" applyFont="1" applyFill="1"/>
    <xf numFmtId="0" fontId="45" fillId="13" borderId="0" xfId="0" applyFont="1" applyFill="1" applyAlignment="1">
      <alignment horizontal="left"/>
    </xf>
    <xf numFmtId="0" fontId="44" fillId="13" borderId="0" xfId="0" applyFont="1" applyFill="1"/>
    <xf numFmtId="0" fontId="45" fillId="13" borderId="0" xfId="0" applyFont="1" applyFill="1"/>
    <xf numFmtId="168" fontId="45" fillId="13" borderId="0" xfId="0" applyNumberFormat="1" applyFont="1" applyFill="1"/>
    <xf numFmtId="164" fontId="61" fillId="11" borderId="0" xfId="0" applyNumberFormat="1" applyFont="1" applyFill="1"/>
    <xf numFmtId="0" fontId="62" fillId="0" borderId="0" xfId="0" applyFont="1" applyAlignment="1">
      <alignment horizontal="left"/>
    </xf>
    <xf numFmtId="0" fontId="63" fillId="0" borderId="0" xfId="0" applyFont="1"/>
    <xf numFmtId="0" fontId="63" fillId="0" borderId="0" xfId="0" applyFont="1" applyAlignment="1">
      <alignment horizontal="right"/>
    </xf>
    <xf numFmtId="164" fontId="63" fillId="0" borderId="0" xfId="0" applyNumberFormat="1" applyFont="1" applyAlignment="1">
      <alignment horizontal="right"/>
    </xf>
    <xf numFmtId="167" fontId="63" fillId="0" borderId="0" xfId="0" applyNumberFormat="1" applyFont="1" applyAlignment="1">
      <alignment horizontal="right"/>
    </xf>
    <xf numFmtId="0" fontId="63" fillId="0" borderId="0" xfId="0" applyFont="1" applyAlignment="1">
      <alignment horizontal="left"/>
    </xf>
    <xf numFmtId="167" fontId="45" fillId="13" borderId="0" xfId="0" applyNumberFormat="1" applyFont="1" applyFill="1"/>
    <xf numFmtId="0" fontId="62" fillId="2" borderId="0" xfId="0" applyFont="1" applyFill="1"/>
    <xf numFmtId="0" fontId="62" fillId="2" borderId="0" xfId="0" applyFont="1" applyFill="1" applyAlignment="1">
      <alignment horizontal="right"/>
    </xf>
    <xf numFmtId="164" fontId="62" fillId="2" borderId="0" xfId="0" applyNumberFormat="1" applyFont="1" applyFill="1" applyAlignment="1">
      <alignment horizontal="right"/>
    </xf>
    <xf numFmtId="167" fontId="62" fillId="2" borderId="0" xfId="0" applyNumberFormat="1" applyFont="1" applyFill="1" applyAlignment="1">
      <alignment horizontal="right"/>
    </xf>
    <xf numFmtId="168" fontId="63" fillId="0" borderId="0" xfId="0" applyNumberFormat="1" applyFont="1" applyAlignment="1">
      <alignment horizontal="right"/>
    </xf>
    <xf numFmtId="0" fontId="62" fillId="2" borderId="0" xfId="0" applyFont="1" applyFill="1" applyAlignment="1">
      <alignment horizontal="left"/>
    </xf>
    <xf numFmtId="164" fontId="61" fillId="17" borderId="0" xfId="0" applyNumberFormat="1" applyFont="1" applyFill="1"/>
    <xf numFmtId="0" fontId="26" fillId="0" borderId="0" xfId="0" applyFont="1" applyAlignment="1">
      <alignment horizontal="left"/>
    </xf>
    <xf numFmtId="49" fontId="64" fillId="0" borderId="0" xfId="0" applyNumberFormat="1" applyFont="1" applyAlignment="1">
      <alignment vertical="top" wrapText="1"/>
    </xf>
    <xf numFmtId="49" fontId="65" fillId="8" borderId="0" xfId="0" applyNumberFormat="1" applyFont="1" applyFill="1" applyAlignment="1">
      <alignment horizontal="left" vertical="top" wrapText="1"/>
    </xf>
    <xf numFmtId="49" fontId="65" fillId="31" borderId="0" xfId="0" applyNumberFormat="1" applyFont="1" applyFill="1" applyAlignment="1">
      <alignment horizontal="left" vertical="top" wrapText="1"/>
    </xf>
    <xf numFmtId="49" fontId="65" fillId="29" borderId="0" xfId="0" applyNumberFormat="1" applyFont="1" applyFill="1" applyAlignment="1">
      <alignment horizontal="left" vertical="top" wrapText="1"/>
    </xf>
    <xf numFmtId="49" fontId="65" fillId="16" borderId="0" xfId="0" applyNumberFormat="1" applyFont="1" applyFill="1" applyAlignment="1">
      <alignment horizontal="left" vertical="top" wrapText="1"/>
    </xf>
    <xf numFmtId="49" fontId="65" fillId="13" borderId="13" xfId="0" applyNumberFormat="1" applyFont="1" applyFill="1" applyBorder="1" applyAlignment="1">
      <alignment vertical="top" wrapText="1"/>
    </xf>
    <xf numFmtId="49" fontId="65" fillId="13" borderId="14" xfId="0" applyNumberFormat="1" applyFont="1" applyFill="1" applyBorder="1" applyAlignment="1">
      <alignment vertical="top" wrapText="1"/>
    </xf>
    <xf numFmtId="49" fontId="65" fillId="13" borderId="14" xfId="0" applyNumberFormat="1" applyFont="1" applyFill="1" applyBorder="1" applyAlignment="1">
      <alignment horizontal="right" vertical="top" wrapText="1"/>
    </xf>
    <xf numFmtId="49" fontId="65" fillId="13" borderId="0" xfId="0" applyNumberFormat="1" applyFont="1" applyFill="1" applyAlignment="1">
      <alignment horizontal="right" vertical="top" wrapText="1"/>
    </xf>
    <xf numFmtId="49" fontId="66" fillId="30" borderId="0" xfId="0" applyNumberFormat="1" applyFont="1" applyFill="1" applyAlignment="1">
      <alignment horizontal="center" vertical="top" wrapText="1"/>
    </xf>
    <xf numFmtId="0" fontId="69" fillId="16" borderId="0" xfId="0" applyFont="1" applyFill="1" applyAlignment="1">
      <alignment horizontal="right" vertical="center"/>
    </xf>
    <xf numFmtId="49" fontId="16" fillId="0" borderId="13" xfId="0" applyNumberFormat="1" applyFont="1" applyBorder="1" applyAlignment="1">
      <alignment vertical="top" wrapText="1"/>
    </xf>
    <xf numFmtId="49" fontId="16" fillId="0" borderId="14" xfId="0" applyNumberFormat="1" applyFont="1" applyBorder="1" applyAlignment="1">
      <alignment vertical="top" wrapText="1"/>
    </xf>
    <xf numFmtId="49" fontId="16" fillId="0" borderId="14" xfId="0" applyNumberFormat="1" applyFont="1" applyBorder="1" applyAlignment="1">
      <alignment horizontal="right" vertical="top" wrapText="1"/>
    </xf>
    <xf numFmtId="169" fontId="16" fillId="0" borderId="14" xfId="0" applyNumberFormat="1" applyFont="1" applyBorder="1" applyAlignment="1">
      <alignment horizontal="right" vertical="top" wrapText="1"/>
    </xf>
    <xf numFmtId="0" fontId="16" fillId="0" borderId="14" xfId="0" applyFont="1" applyBorder="1" applyAlignment="1">
      <alignment horizontal="right" vertical="top" wrapText="1"/>
    </xf>
    <xf numFmtId="0" fontId="16" fillId="0" borderId="13" xfId="0" applyFont="1" applyBorder="1" applyAlignment="1">
      <alignment vertical="top" wrapText="1"/>
    </xf>
    <xf numFmtId="0" fontId="16" fillId="0" borderId="14" xfId="0" applyFont="1" applyBorder="1" applyAlignment="1">
      <alignment vertical="top" wrapText="1"/>
    </xf>
    <xf numFmtId="165" fontId="16" fillId="0" borderId="14" xfId="0" applyNumberFormat="1" applyFont="1" applyBorder="1" applyAlignment="1">
      <alignment horizontal="right" vertical="top" wrapText="1"/>
    </xf>
    <xf numFmtId="0" fontId="70" fillId="12" borderId="0" xfId="0" applyFont="1" applyFill="1" applyAlignment="1">
      <alignment horizontal="center" vertical="top"/>
    </xf>
    <xf numFmtId="0" fontId="72" fillId="31" borderId="0" xfId="0" applyFont="1" applyFill="1" applyAlignment="1">
      <alignment vertical="top"/>
    </xf>
    <xf numFmtId="49" fontId="65" fillId="0" borderId="13" xfId="0" applyNumberFormat="1" applyFont="1" applyBorder="1" applyAlignment="1">
      <alignment vertical="top" wrapText="1"/>
    </xf>
    <xf numFmtId="49" fontId="65" fillId="0" borderId="14" xfId="0" applyNumberFormat="1" applyFont="1" applyBorder="1" applyAlignment="1">
      <alignment vertical="top" wrapText="1"/>
    </xf>
    <xf numFmtId="0" fontId="65" fillId="0" borderId="14" xfId="0" applyFont="1" applyBorder="1" applyAlignment="1">
      <alignment horizontal="right" vertical="top" wrapText="1"/>
    </xf>
    <xf numFmtId="169" fontId="65" fillId="0" borderId="14" xfId="0" applyNumberFormat="1" applyFont="1" applyBorder="1" applyAlignment="1">
      <alignment horizontal="right" vertical="top" wrapText="1"/>
    </xf>
    <xf numFmtId="169" fontId="65" fillId="0" borderId="0" xfId="0" applyNumberFormat="1" applyFont="1" applyAlignment="1">
      <alignment horizontal="right" vertical="top" wrapText="1"/>
    </xf>
    <xf numFmtId="0" fontId="74" fillId="8" borderId="0" xfId="0" applyFont="1" applyFill="1" applyAlignment="1">
      <alignment vertical="top"/>
    </xf>
    <xf numFmtId="0" fontId="75" fillId="29" borderId="0" xfId="0" applyFont="1" applyFill="1" applyAlignment="1">
      <alignment vertical="top"/>
    </xf>
    <xf numFmtId="0" fontId="77" fillId="8" borderId="0" xfId="0" applyFont="1" applyFill="1" applyAlignment="1">
      <alignment vertical="top"/>
    </xf>
    <xf numFmtId="49" fontId="70" fillId="12" borderId="0" xfId="0" applyNumberFormat="1" applyFont="1" applyFill="1" applyAlignment="1">
      <alignment horizontal="center" vertical="top"/>
    </xf>
    <xf numFmtId="0" fontId="67" fillId="8" borderId="0" xfId="0" applyFont="1" applyFill="1"/>
    <xf numFmtId="0" fontId="67" fillId="29" borderId="0" xfId="0" applyFont="1" applyFill="1"/>
    <xf numFmtId="0" fontId="79" fillId="16" borderId="0" xfId="0" applyFont="1" applyFill="1" applyAlignment="1">
      <alignment horizontal="right" vertical="top"/>
    </xf>
    <xf numFmtId="49" fontId="65" fillId="31" borderId="14" xfId="0" applyNumberFormat="1" applyFont="1" applyFill="1" applyBorder="1" applyAlignment="1">
      <alignment vertical="top" wrapText="1"/>
    </xf>
    <xf numFmtId="49" fontId="80" fillId="8" borderId="14" xfId="0" applyNumberFormat="1" applyFont="1" applyFill="1" applyBorder="1" applyAlignment="1">
      <alignment vertical="top" wrapText="1"/>
    </xf>
    <xf numFmtId="0" fontId="65" fillId="16" borderId="14" xfId="0" applyFont="1" applyFill="1" applyBorder="1" applyAlignment="1">
      <alignment horizontal="right" vertical="top" wrapText="1"/>
    </xf>
    <xf numFmtId="169" fontId="65" fillId="16" borderId="14" xfId="0" applyNumberFormat="1" applyFont="1" applyFill="1" applyBorder="1" applyAlignment="1">
      <alignment horizontal="right" vertical="top" wrapText="1"/>
    </xf>
    <xf numFmtId="169" fontId="65" fillId="16" borderId="0" xfId="0" applyNumberFormat="1" applyFont="1" applyFill="1" applyAlignment="1">
      <alignment horizontal="right" vertical="top" wrapText="1"/>
    </xf>
    <xf numFmtId="49" fontId="80" fillId="31" borderId="14" xfId="0" applyNumberFormat="1" applyFont="1" applyFill="1" applyBorder="1" applyAlignment="1">
      <alignment vertical="top" wrapText="1"/>
    </xf>
    <xf numFmtId="0" fontId="65" fillId="31" borderId="14" xfId="0" applyFont="1" applyFill="1" applyBorder="1" applyAlignment="1">
      <alignment horizontal="right" vertical="top" wrapText="1"/>
    </xf>
    <xf numFmtId="169" fontId="65" fillId="31" borderId="14" xfId="0" applyNumberFormat="1" applyFont="1" applyFill="1" applyBorder="1" applyAlignment="1">
      <alignment horizontal="right" vertical="top" wrapText="1"/>
    </xf>
    <xf numFmtId="169" fontId="65" fillId="31" borderId="0" xfId="0" applyNumberFormat="1" applyFont="1" applyFill="1" applyAlignment="1">
      <alignment horizontal="right" vertical="top" wrapText="1"/>
    </xf>
    <xf numFmtId="49" fontId="65" fillId="8" borderId="14" xfId="0" applyNumberFormat="1" applyFont="1" applyFill="1" applyBorder="1" applyAlignment="1">
      <alignment vertical="top" wrapText="1"/>
    </xf>
    <xf numFmtId="0" fontId="70" fillId="12" borderId="14" xfId="0" applyFont="1" applyFill="1" applyBorder="1" applyAlignment="1">
      <alignment horizontal="center" vertical="top"/>
    </xf>
    <xf numFmtId="0" fontId="65" fillId="29" borderId="14" xfId="0" applyFont="1" applyFill="1" applyBorder="1" applyAlignment="1">
      <alignment horizontal="right" vertical="top" wrapText="1"/>
    </xf>
    <xf numFmtId="169" fontId="65" fillId="29" borderId="14" xfId="0" applyNumberFormat="1" applyFont="1" applyFill="1" applyBorder="1" applyAlignment="1">
      <alignment horizontal="right" vertical="top" wrapText="1"/>
    </xf>
    <xf numFmtId="169" fontId="65" fillId="29" borderId="0" xfId="0" applyNumberFormat="1" applyFont="1" applyFill="1" applyAlignment="1">
      <alignment horizontal="right" vertical="top" wrapText="1"/>
    </xf>
    <xf numFmtId="49" fontId="65" fillId="12" borderId="0" xfId="0" applyNumberFormat="1" applyFont="1" applyFill="1" applyAlignment="1">
      <alignment horizontal="left" vertical="top" wrapText="1"/>
    </xf>
    <xf numFmtId="0" fontId="82" fillId="32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right" vertical="center"/>
    </xf>
    <xf numFmtId="164" fontId="5" fillId="2" borderId="4" xfId="0" applyNumberFormat="1" applyFont="1" applyFill="1" applyBorder="1" applyAlignment="1">
      <alignment horizontal="left" vertical="center"/>
    </xf>
    <xf numFmtId="0" fontId="8" fillId="6" borderId="4" xfId="0" applyFont="1" applyFill="1" applyBorder="1" applyAlignment="1">
      <alignment vertical="center"/>
    </xf>
    <xf numFmtId="0" fontId="12" fillId="7" borderId="4" xfId="0" applyFont="1" applyFill="1" applyBorder="1" applyAlignment="1">
      <alignment vertical="center"/>
    </xf>
    <xf numFmtId="0" fontId="8" fillId="2" borderId="4" xfId="0" applyFont="1" applyFill="1" applyBorder="1" applyAlignment="1">
      <alignment vertical="center"/>
    </xf>
    <xf numFmtId="0" fontId="8" fillId="9" borderId="4" xfId="0" applyFont="1" applyFill="1" applyBorder="1" applyAlignment="1">
      <alignment vertical="center"/>
    </xf>
    <xf numFmtId="0" fontId="12" fillId="2" borderId="4" xfId="0" applyFont="1" applyFill="1" applyBorder="1" applyAlignment="1">
      <alignment vertical="center"/>
    </xf>
    <xf numFmtId="0" fontId="6" fillId="2" borderId="0" xfId="0" applyFont="1" applyFill="1" applyAlignment="1">
      <alignment horizontal="left"/>
    </xf>
    <xf numFmtId="0" fontId="12" fillId="34" borderId="4" xfId="0" applyFont="1" applyFill="1" applyBorder="1" applyAlignment="1">
      <alignment vertical="center"/>
    </xf>
    <xf numFmtId="0" fontId="8" fillId="7" borderId="4" xfId="0" applyFont="1" applyFill="1" applyBorder="1" applyAlignment="1">
      <alignment vertical="center"/>
    </xf>
    <xf numFmtId="0" fontId="12" fillId="6" borderId="4" xfId="0" applyFont="1" applyFill="1" applyBorder="1" applyAlignment="1">
      <alignment vertical="center"/>
    </xf>
    <xf numFmtId="0" fontId="12" fillId="9" borderId="4" xfId="0" applyFont="1" applyFill="1" applyBorder="1" applyAlignment="1">
      <alignment vertical="center"/>
    </xf>
    <xf numFmtId="0" fontId="21" fillId="2" borderId="0" xfId="0" applyFont="1" applyFill="1" applyAlignment="1">
      <alignment horizontal="left"/>
    </xf>
    <xf numFmtId="0" fontId="16" fillId="2" borderId="7" xfId="0" applyFont="1" applyFill="1" applyBorder="1" applyAlignment="1">
      <alignment vertical="center"/>
    </xf>
    <xf numFmtId="0" fontId="16" fillId="2" borderId="5" xfId="0" applyFont="1" applyFill="1" applyBorder="1" applyAlignment="1">
      <alignment vertical="center"/>
    </xf>
    <xf numFmtId="0" fontId="17" fillId="2" borderId="5" xfId="0" applyFont="1" applyFill="1" applyBorder="1" applyAlignment="1">
      <alignment vertical="center"/>
    </xf>
    <xf numFmtId="0" fontId="16" fillId="2" borderId="5" xfId="0" applyFont="1" applyFill="1" applyBorder="1" applyAlignment="1">
      <alignment horizontal="right" vertical="center"/>
    </xf>
    <xf numFmtId="0" fontId="85" fillId="7" borderId="4" xfId="0" applyFont="1" applyFill="1" applyBorder="1" applyAlignment="1">
      <alignment vertical="center"/>
    </xf>
    <xf numFmtId="0" fontId="5" fillId="2" borderId="4" xfId="0" quotePrefix="1" applyFont="1" applyFill="1" applyBorder="1" applyAlignment="1">
      <alignment horizontal="left" vertical="center"/>
    </xf>
    <xf numFmtId="0" fontId="12" fillId="7" borderId="4" xfId="0" applyFont="1" applyFill="1" applyBorder="1" applyAlignment="1">
      <alignment horizontal="right" vertical="center"/>
    </xf>
    <xf numFmtId="0" fontId="16" fillId="10" borderId="4" xfId="0" applyFont="1" applyFill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16" fillId="0" borderId="4" xfId="0" applyFont="1" applyBorder="1" applyAlignment="1">
      <alignment horizontal="left" vertical="center"/>
    </xf>
    <xf numFmtId="0" fontId="16" fillId="0" borderId="4" xfId="0" applyFont="1" applyBorder="1" applyAlignment="1">
      <alignment horizontal="right" vertical="center"/>
    </xf>
    <xf numFmtId="164" fontId="5" fillId="18" borderId="4" xfId="0" applyNumberFormat="1" applyFont="1" applyFill="1" applyBorder="1" applyAlignment="1">
      <alignment horizontal="left" vertical="center"/>
    </xf>
    <xf numFmtId="164" fontId="20" fillId="13" borderId="4" xfId="0" applyNumberFormat="1" applyFont="1" applyFill="1" applyBorder="1" applyAlignment="1">
      <alignment horizontal="left" vertical="center"/>
    </xf>
    <xf numFmtId="164" fontId="16" fillId="10" borderId="4" xfId="0" applyNumberFormat="1" applyFont="1" applyFill="1" applyBorder="1" applyAlignment="1">
      <alignment vertical="center"/>
    </xf>
    <xf numFmtId="164" fontId="16" fillId="0" borderId="0" xfId="0" applyNumberFormat="1" applyFont="1" applyAlignment="1">
      <alignment vertical="center"/>
    </xf>
    <xf numFmtId="0" fontId="16" fillId="0" borderId="0" xfId="0" applyFont="1" applyAlignment="1">
      <alignment horizontal="left" vertical="center"/>
    </xf>
    <xf numFmtId="0" fontId="12" fillId="9" borderId="4" xfId="0" applyFont="1" applyFill="1" applyBorder="1" applyAlignment="1">
      <alignment horizontal="right" vertical="center"/>
    </xf>
    <xf numFmtId="0" fontId="14" fillId="0" borderId="0" xfId="0" applyFont="1"/>
    <xf numFmtId="164" fontId="6" fillId="35" borderId="4" xfId="0" applyNumberFormat="1" applyFont="1" applyFill="1" applyBorder="1" applyAlignment="1">
      <alignment horizontal="center" vertical="center"/>
    </xf>
    <xf numFmtId="0" fontId="20" fillId="37" borderId="4" xfId="0" applyFont="1" applyFill="1" applyBorder="1" applyAlignment="1">
      <alignment vertical="center"/>
    </xf>
    <xf numFmtId="0" fontId="21" fillId="5" borderId="4" xfId="0" applyFont="1" applyFill="1" applyBorder="1"/>
    <xf numFmtId="0" fontId="6" fillId="2" borderId="4" xfId="0" applyFont="1" applyFill="1" applyBorder="1"/>
    <xf numFmtId="0" fontId="21" fillId="2" borderId="4" xfId="0" applyFont="1" applyFill="1" applyBorder="1" applyAlignment="1">
      <alignment horizontal="right"/>
    </xf>
    <xf numFmtId="164" fontId="21" fillId="2" borderId="4" xfId="0" applyNumberFormat="1" applyFont="1" applyFill="1" applyBorder="1" applyAlignment="1">
      <alignment horizontal="left"/>
    </xf>
    <xf numFmtId="164" fontId="22" fillId="0" borderId="4" xfId="0" applyNumberFormat="1" applyFont="1" applyBorder="1"/>
    <xf numFmtId="0" fontId="22" fillId="7" borderId="4" xfId="0" applyFont="1" applyFill="1" applyBorder="1"/>
    <xf numFmtId="164" fontId="6" fillId="2" borderId="4" xfId="0" applyNumberFormat="1" applyFont="1" applyFill="1" applyBorder="1" applyAlignment="1">
      <alignment horizontal="center" vertical="center"/>
    </xf>
    <xf numFmtId="0" fontId="20" fillId="9" borderId="4" xfId="0" applyFont="1" applyFill="1" applyBorder="1" applyAlignment="1">
      <alignment vertical="center"/>
    </xf>
    <xf numFmtId="0" fontId="16" fillId="2" borderId="3" xfId="0" applyFont="1" applyFill="1" applyBorder="1" applyAlignment="1">
      <alignment vertical="center"/>
    </xf>
    <xf numFmtId="0" fontId="16" fillId="2" borderId="3" xfId="0" applyFont="1" applyFill="1" applyBorder="1" applyAlignment="1">
      <alignment horizontal="right" vertical="center"/>
    </xf>
    <xf numFmtId="0" fontId="5" fillId="16" borderId="4" xfId="0" applyFont="1" applyFill="1" applyBorder="1" applyAlignment="1">
      <alignment horizontal="left" vertical="center"/>
    </xf>
    <xf numFmtId="0" fontId="14" fillId="10" borderId="4" xfId="0" applyFont="1" applyFill="1" applyBorder="1" applyAlignment="1">
      <alignment vertical="top"/>
    </xf>
    <xf numFmtId="0" fontId="14" fillId="0" borderId="4" xfId="0" applyFont="1" applyBorder="1" applyAlignment="1">
      <alignment vertical="top"/>
    </xf>
    <xf numFmtId="164" fontId="14" fillId="0" borderId="4" xfId="0" applyNumberFormat="1" applyFont="1" applyBorder="1" applyAlignment="1">
      <alignment horizontal="left"/>
    </xf>
    <xf numFmtId="164" fontId="16" fillId="0" borderId="0" xfId="0" applyNumberFormat="1" applyFont="1" applyAlignment="1">
      <alignment horizontal="center"/>
    </xf>
    <xf numFmtId="164" fontId="91" fillId="22" borderId="0" xfId="0" applyNumberFormat="1" applyFont="1" applyFill="1" applyAlignment="1">
      <alignment horizontal="left"/>
    </xf>
    <xf numFmtId="0" fontId="91" fillId="22" borderId="0" xfId="0" applyFont="1" applyFill="1" applyAlignment="1">
      <alignment horizontal="left"/>
    </xf>
    <xf numFmtId="0" fontId="91" fillId="22" borderId="0" xfId="0" applyFont="1" applyFill="1" applyAlignment="1">
      <alignment horizontal="right"/>
    </xf>
    <xf numFmtId="4" fontId="91" fillId="22" borderId="0" xfId="0" applyNumberFormat="1" applyFont="1" applyFill="1" applyAlignment="1">
      <alignment horizontal="left"/>
    </xf>
    <xf numFmtId="4" fontId="45" fillId="0" borderId="0" xfId="0" applyNumberFormat="1" applyFont="1" applyAlignment="1">
      <alignment horizontal="left"/>
    </xf>
    <xf numFmtId="4" fontId="45" fillId="24" borderId="0" xfId="0" applyNumberFormat="1" applyFont="1" applyFill="1" applyAlignment="1">
      <alignment horizontal="left"/>
    </xf>
    <xf numFmtId="0" fontId="93" fillId="38" borderId="23" xfId="0" applyFont="1" applyFill="1" applyBorder="1"/>
    <xf numFmtId="0" fontId="95" fillId="31" borderId="0" xfId="0" applyFont="1" applyFill="1"/>
    <xf numFmtId="0" fontId="26" fillId="31" borderId="0" xfId="0" applyFont="1" applyFill="1"/>
    <xf numFmtId="0" fontId="96" fillId="0" borderId="0" xfId="0" applyFont="1"/>
    <xf numFmtId="0" fontId="97" fillId="38" borderId="23" xfId="0" applyFont="1" applyFill="1" applyBorder="1"/>
    <xf numFmtId="0" fontId="98" fillId="0" borderId="0" xfId="0" applyFont="1"/>
    <xf numFmtId="0" fontId="99" fillId="0" borderId="0" xfId="0" applyFont="1"/>
    <xf numFmtId="8" fontId="98" fillId="0" borderId="0" xfId="0" applyNumberFormat="1" applyFont="1"/>
    <xf numFmtId="0" fontId="100" fillId="0" borderId="0" xfId="0" applyFont="1"/>
    <xf numFmtId="0" fontId="101" fillId="35" borderId="23" xfId="0" applyFont="1" applyFill="1" applyBorder="1"/>
    <xf numFmtId="0" fontId="102" fillId="0" borderId="0" xfId="0" applyFont="1"/>
    <xf numFmtId="0" fontId="103" fillId="31" borderId="0" xfId="0" applyFont="1" applyFill="1"/>
    <xf numFmtId="0" fontId="104" fillId="0" borderId="0" xfId="0" applyFont="1"/>
    <xf numFmtId="0" fontId="105" fillId="38" borderId="23" xfId="0" applyFont="1" applyFill="1" applyBorder="1"/>
    <xf numFmtId="0" fontId="106" fillId="0" borderId="0" xfId="0" applyFont="1"/>
    <xf numFmtId="8" fontId="102" fillId="0" borderId="0" xfId="0" applyNumberFormat="1" applyFont="1"/>
    <xf numFmtId="0" fontId="107" fillId="39" borderId="23" xfId="0" applyFont="1" applyFill="1" applyBorder="1"/>
    <xf numFmtId="0" fontId="108" fillId="0" borderId="0" xfId="0" applyFont="1"/>
    <xf numFmtId="0" fontId="98" fillId="0" borderId="0" xfId="0" applyFont="1" applyAlignment="1">
      <alignment horizontal="left"/>
    </xf>
    <xf numFmtId="0" fontId="107" fillId="0" borderId="0" xfId="0" applyFont="1"/>
    <xf numFmtId="0" fontId="102" fillId="0" borderId="0" xfId="0" applyFont="1" applyAlignment="1">
      <alignment horizontal="left"/>
    </xf>
    <xf numFmtId="0" fontId="109" fillId="38" borderId="23" xfId="0" applyFont="1" applyFill="1" applyBorder="1"/>
    <xf numFmtId="0" fontId="98" fillId="0" borderId="0" xfId="0" applyFont="1" applyAlignment="1">
      <alignment horizontal="right"/>
    </xf>
    <xf numFmtId="0" fontId="102" fillId="38" borderId="23" xfId="0" applyFont="1" applyFill="1" applyBorder="1"/>
    <xf numFmtId="0" fontId="110" fillId="2" borderId="0" xfId="0" applyFont="1" applyFill="1" applyAlignment="1">
      <alignment horizontal="left"/>
    </xf>
    <xf numFmtId="0" fontId="102" fillId="0" borderId="0" xfId="0" applyFont="1" applyAlignment="1">
      <alignment horizontal="right"/>
    </xf>
    <xf numFmtId="0" fontId="111" fillId="2" borderId="23" xfId="0" applyFont="1" applyFill="1" applyBorder="1" applyAlignment="1">
      <alignment horizontal="left"/>
    </xf>
    <xf numFmtId="0" fontId="112" fillId="14" borderId="23" xfId="0" applyFont="1" applyFill="1" applyBorder="1" applyAlignment="1">
      <alignment horizontal="center" vertical="center"/>
    </xf>
    <xf numFmtId="0" fontId="113" fillId="14" borderId="23" xfId="0" applyFont="1" applyFill="1" applyBorder="1" applyAlignment="1">
      <alignment horizontal="left"/>
    </xf>
    <xf numFmtId="0" fontId="118" fillId="14" borderId="23" xfId="0" applyFont="1" applyFill="1" applyBorder="1" applyAlignment="1">
      <alignment horizontal="left" vertical="center" wrapText="1"/>
    </xf>
    <xf numFmtId="0" fontId="119" fillId="14" borderId="23" xfId="0" applyFont="1" applyFill="1" applyBorder="1" applyAlignment="1">
      <alignment horizontal="center" vertical="center" wrapText="1"/>
    </xf>
    <xf numFmtId="164" fontId="120" fillId="14" borderId="23" xfId="0" applyNumberFormat="1" applyFont="1" applyFill="1" applyBorder="1" applyAlignment="1">
      <alignment horizontal="center" vertical="center" wrapText="1"/>
    </xf>
    <xf numFmtId="0" fontId="112" fillId="14" borderId="23" xfId="0" applyFont="1" applyFill="1" applyBorder="1" applyAlignment="1">
      <alignment horizontal="center" vertical="center" textRotation="90" wrapText="1"/>
    </xf>
    <xf numFmtId="0" fontId="112" fillId="14" borderId="23" xfId="0" applyFont="1" applyFill="1" applyBorder="1" applyAlignment="1">
      <alignment horizontal="center" vertical="center" wrapText="1"/>
    </xf>
    <xf numFmtId="164" fontId="123" fillId="2" borderId="0" xfId="0" applyNumberFormat="1" applyFont="1" applyFill="1" applyAlignment="1">
      <alignment wrapText="1"/>
    </xf>
    <xf numFmtId="0" fontId="37" fillId="2" borderId="0" xfId="0" applyFont="1" applyFill="1"/>
    <xf numFmtId="164" fontId="37" fillId="2" borderId="0" xfId="0" applyNumberFormat="1" applyFont="1" applyFill="1"/>
    <xf numFmtId="0" fontId="124" fillId="11" borderId="0" xfId="0" applyFont="1" applyFill="1"/>
    <xf numFmtId="0" fontId="125" fillId="2" borderId="0" xfId="0" applyFont="1" applyFill="1" applyAlignment="1">
      <alignment horizontal="center" vertical="top"/>
    </xf>
    <xf numFmtId="164" fontId="37" fillId="2" borderId="0" xfId="0" applyNumberFormat="1" applyFont="1" applyFill="1" applyAlignment="1">
      <alignment vertical="top"/>
    </xf>
    <xf numFmtId="0" fontId="37" fillId="2" borderId="0" xfId="0" applyFont="1" applyFill="1" applyAlignment="1">
      <alignment vertical="top"/>
    </xf>
    <xf numFmtId="164" fontId="125" fillId="2" borderId="0" xfId="0" applyNumberFormat="1" applyFont="1" applyFill="1" applyAlignment="1">
      <alignment horizontal="center" vertical="top"/>
    </xf>
    <xf numFmtId="0" fontId="126" fillId="2" borderId="0" xfId="0" applyFont="1" applyFill="1"/>
    <xf numFmtId="164" fontId="125" fillId="2" borderId="0" xfId="0" applyNumberFormat="1" applyFont="1" applyFill="1" applyAlignment="1">
      <alignment horizontal="center"/>
    </xf>
    <xf numFmtId="164" fontId="127" fillId="2" borderId="0" xfId="0" applyNumberFormat="1" applyFont="1" applyFill="1" applyAlignment="1">
      <alignment wrapText="1"/>
    </xf>
    <xf numFmtId="164" fontId="124" fillId="16" borderId="0" xfId="0" applyNumberFormat="1" applyFont="1" applyFill="1"/>
    <xf numFmtId="0" fontId="125" fillId="2" borderId="0" xfId="0" applyFont="1" applyFill="1" applyAlignment="1">
      <alignment horizontal="center"/>
    </xf>
    <xf numFmtId="0" fontId="128" fillId="2" borderId="27" xfId="0" applyFont="1" applyFill="1" applyBorder="1"/>
    <xf numFmtId="0" fontId="37" fillId="2" borderId="27" xfId="0" applyFont="1" applyFill="1" applyBorder="1" applyAlignment="1">
      <alignment vertical="top"/>
    </xf>
    <xf numFmtId="164" fontId="125" fillId="2" borderId="27" xfId="0" applyNumberFormat="1" applyFont="1" applyFill="1" applyBorder="1" applyAlignment="1">
      <alignment horizontal="center" vertical="top"/>
    </xf>
    <xf numFmtId="164" fontId="37" fillId="2" borderId="27" xfId="0" applyNumberFormat="1" applyFont="1" applyFill="1" applyBorder="1" applyAlignment="1">
      <alignment vertical="top"/>
    </xf>
    <xf numFmtId="164" fontId="125" fillId="2" borderId="27" xfId="0" applyNumberFormat="1" applyFont="1" applyFill="1" applyBorder="1" applyAlignment="1">
      <alignment horizontal="center"/>
    </xf>
    <xf numFmtId="0" fontId="124" fillId="16" borderId="0" xfId="0" applyFont="1" applyFill="1"/>
    <xf numFmtId="164" fontId="130" fillId="5" borderId="0" xfId="0" applyNumberFormat="1" applyFont="1" applyFill="1"/>
    <xf numFmtId="164" fontId="125" fillId="2" borderId="0" xfId="0" applyNumberFormat="1" applyFont="1" applyFill="1" applyAlignment="1">
      <alignment vertical="top"/>
    </xf>
    <xf numFmtId="164" fontId="131" fillId="2" borderId="0" xfId="0" applyNumberFormat="1" applyFont="1" applyFill="1"/>
    <xf numFmtId="170" fontId="37" fillId="2" borderId="0" xfId="0" applyNumberFormat="1" applyFont="1" applyFill="1" applyAlignment="1">
      <alignment vertical="top"/>
    </xf>
    <xf numFmtId="4" fontId="37" fillId="2" borderId="0" xfId="0" applyNumberFormat="1" applyFont="1" applyFill="1" applyAlignment="1">
      <alignment vertical="top"/>
    </xf>
    <xf numFmtId="164" fontId="124" fillId="42" borderId="0" xfId="0" applyNumberFormat="1" applyFont="1" applyFill="1"/>
    <xf numFmtId="4" fontId="125" fillId="2" borderId="0" xfId="0" applyNumberFormat="1" applyFont="1" applyFill="1" applyAlignment="1">
      <alignment horizontal="center" vertical="top"/>
    </xf>
    <xf numFmtId="164" fontId="126" fillId="2" borderId="27" xfId="0" applyNumberFormat="1" applyFont="1" applyFill="1" applyBorder="1"/>
    <xf numFmtId="9" fontId="37" fillId="2" borderId="27" xfId="0" applyNumberFormat="1" applyFont="1" applyFill="1" applyBorder="1" applyAlignment="1">
      <alignment vertical="top"/>
    </xf>
    <xf numFmtId="164" fontId="132" fillId="2" borderId="27" xfId="0" applyNumberFormat="1" applyFont="1" applyFill="1" applyBorder="1"/>
    <xf numFmtId="164" fontId="126" fillId="2" borderId="0" xfId="0" applyNumberFormat="1" applyFont="1" applyFill="1"/>
    <xf numFmtId="9" fontId="37" fillId="2" borderId="0" xfId="0" applyNumberFormat="1" applyFont="1" applyFill="1" applyAlignment="1">
      <alignment vertical="top"/>
    </xf>
    <xf numFmtId="164" fontId="133" fillId="2" borderId="0" xfId="0" applyNumberFormat="1" applyFont="1" applyFill="1" applyAlignment="1">
      <alignment wrapText="1"/>
    </xf>
    <xf numFmtId="4" fontId="37" fillId="2" borderId="0" xfId="0" applyNumberFormat="1" applyFont="1" applyFill="1"/>
    <xf numFmtId="164" fontId="124" fillId="11" borderId="0" xfId="0" applyNumberFormat="1" applyFont="1" applyFill="1"/>
    <xf numFmtId="170" fontId="125" fillId="2" borderId="27" xfId="0" applyNumberFormat="1" applyFont="1" applyFill="1" applyBorder="1" applyAlignment="1">
      <alignment horizontal="center" vertical="top"/>
    </xf>
    <xf numFmtId="164" fontId="124" fillId="27" borderId="0" xfId="0" applyNumberFormat="1" applyFont="1" applyFill="1"/>
    <xf numFmtId="4" fontId="125" fillId="0" borderId="0" xfId="0" applyNumberFormat="1" applyFont="1" applyAlignment="1">
      <alignment horizontal="center" vertical="top"/>
    </xf>
    <xf numFmtId="9" fontId="125" fillId="2" borderId="27" xfId="0" applyNumberFormat="1" applyFont="1" applyFill="1" applyBorder="1" applyAlignment="1">
      <alignment horizontal="center" vertical="top"/>
    </xf>
    <xf numFmtId="164" fontId="124" fillId="17" borderId="0" xfId="0" applyNumberFormat="1" applyFont="1" applyFill="1"/>
    <xf numFmtId="9" fontId="125" fillId="2" borderId="0" xfId="0" applyNumberFormat="1" applyFont="1" applyFill="1" applyAlignment="1">
      <alignment horizontal="center" vertical="top"/>
    </xf>
    <xf numFmtId="164" fontId="134" fillId="2" borderId="0" xfId="0" applyNumberFormat="1" applyFont="1" applyFill="1"/>
    <xf numFmtId="164" fontId="135" fillId="2" borderId="0" xfId="0" applyNumberFormat="1" applyFont="1" applyFill="1"/>
    <xf numFmtId="164" fontId="136" fillId="2" borderId="0" xfId="0" applyNumberFormat="1" applyFont="1" applyFill="1"/>
    <xf numFmtId="164" fontId="137" fillId="25" borderId="0" xfId="0" applyNumberFormat="1" applyFont="1" applyFill="1"/>
    <xf numFmtId="164" fontId="138" fillId="17" borderId="0" xfId="0" applyNumberFormat="1" applyFont="1" applyFill="1"/>
    <xf numFmtId="164" fontId="124" fillId="2" borderId="0" xfId="0" applyNumberFormat="1" applyFont="1" applyFill="1" applyAlignment="1">
      <alignment wrapText="1"/>
    </xf>
    <xf numFmtId="164" fontId="139" fillId="5" borderId="0" xfId="0" applyNumberFormat="1" applyFont="1" applyFill="1"/>
    <xf numFmtId="0" fontId="125" fillId="5" borderId="0" xfId="0" applyFont="1" applyFill="1" applyAlignment="1">
      <alignment horizontal="center" vertical="top"/>
    </xf>
    <xf numFmtId="4" fontId="37" fillId="2" borderId="27" xfId="0" applyNumberFormat="1" applyFont="1" applyFill="1" applyBorder="1" applyAlignment="1">
      <alignment vertical="top"/>
    </xf>
    <xf numFmtId="164" fontId="140" fillId="2" borderId="27" xfId="0" applyNumberFormat="1" applyFont="1" applyFill="1" applyBorder="1"/>
    <xf numFmtId="164" fontId="124" fillId="5" borderId="0" xfId="0" applyNumberFormat="1" applyFont="1" applyFill="1"/>
    <xf numFmtId="164" fontId="141" fillId="16" borderId="0" xfId="0" applyNumberFormat="1" applyFont="1" applyFill="1"/>
    <xf numFmtId="164" fontId="37" fillId="2" borderId="27" xfId="0" applyNumberFormat="1" applyFont="1" applyFill="1" applyBorder="1"/>
    <xf numFmtId="164" fontId="124" fillId="8" borderId="0" xfId="0" applyNumberFormat="1" applyFont="1" applyFill="1"/>
    <xf numFmtId="0" fontId="142" fillId="2" borderId="0" xfId="0" applyFont="1" applyFill="1"/>
    <xf numFmtId="164" fontId="145" fillId="2" borderId="0" xfId="0" applyNumberFormat="1" applyFont="1" applyFill="1" applyAlignment="1">
      <alignment wrapText="1"/>
    </xf>
    <xf numFmtId="164" fontId="146" fillId="17" borderId="0" xfId="0" applyNumberFormat="1" applyFont="1" applyFill="1"/>
    <xf numFmtId="164" fontId="147" fillId="2" borderId="27" xfId="0" applyNumberFormat="1" applyFont="1" applyFill="1" applyBorder="1" applyAlignment="1">
      <alignment horizontal="center"/>
    </xf>
    <xf numFmtId="164" fontId="146" fillId="8" borderId="0" xfId="0" applyNumberFormat="1" applyFont="1" applyFill="1"/>
    <xf numFmtId="164" fontId="146" fillId="16" borderId="0" xfId="0" applyNumberFormat="1" applyFont="1" applyFill="1"/>
    <xf numFmtId="164" fontId="146" fillId="43" borderId="0" xfId="0" applyNumberFormat="1" applyFont="1" applyFill="1"/>
    <xf numFmtId="164" fontId="147" fillId="2" borderId="0" xfId="0" applyNumberFormat="1" applyFont="1" applyFill="1" applyAlignment="1">
      <alignment horizontal="center"/>
    </xf>
    <xf numFmtId="164" fontId="124" fillId="2" borderId="0" xfId="0" applyNumberFormat="1" applyFont="1" applyFill="1"/>
    <xf numFmtId="164" fontId="148" fillId="5" borderId="0" xfId="0" applyNumberFormat="1" applyFont="1" applyFill="1"/>
    <xf numFmtId="0" fontId="146" fillId="42" borderId="0" xfId="0" applyFont="1" applyFill="1"/>
    <xf numFmtId="0" fontId="145" fillId="2" borderId="0" xfId="0" applyFont="1" applyFill="1" applyAlignment="1">
      <alignment wrapText="1"/>
    </xf>
    <xf numFmtId="164" fontId="146" fillId="5" borderId="0" xfId="0" applyNumberFormat="1" applyFont="1" applyFill="1"/>
    <xf numFmtId="164" fontId="114" fillId="2" borderId="0" xfId="0" applyNumberFormat="1" applyFont="1" applyFill="1" applyAlignment="1">
      <alignment horizontal="center"/>
    </xf>
    <xf numFmtId="0" fontId="149" fillId="2" borderId="0" xfId="0" applyFont="1" applyFill="1" applyAlignment="1">
      <alignment wrapText="1"/>
    </xf>
    <xf numFmtId="164" fontId="146" fillId="44" borderId="0" xfId="0" applyNumberFormat="1" applyFont="1" applyFill="1"/>
    <xf numFmtId="0" fontId="150" fillId="2" borderId="27" xfId="0" applyFont="1" applyFill="1" applyBorder="1"/>
    <xf numFmtId="4" fontId="37" fillId="2" borderId="27" xfId="0" applyNumberFormat="1" applyFont="1" applyFill="1" applyBorder="1"/>
    <xf numFmtId="0" fontId="151" fillId="42" borderId="0" xfId="0" applyFont="1" applyFill="1"/>
    <xf numFmtId="0" fontId="126" fillId="2" borderId="27" xfId="0" applyFont="1" applyFill="1" applyBorder="1"/>
    <xf numFmtId="0" fontId="146" fillId="16" borderId="0" xfId="0" applyFont="1" applyFill="1"/>
    <xf numFmtId="0" fontId="37" fillId="2" borderId="27" xfId="0" applyFont="1" applyFill="1" applyBorder="1"/>
    <xf numFmtId="0" fontId="146" fillId="45" borderId="0" xfId="0" applyFont="1" applyFill="1"/>
    <xf numFmtId="0" fontId="152" fillId="45" borderId="0" xfId="0" applyFont="1" applyFill="1"/>
    <xf numFmtId="170" fontId="125" fillId="2" borderId="0" xfId="0" applyNumberFormat="1" applyFont="1" applyFill="1" applyAlignment="1">
      <alignment horizontal="center" vertical="top"/>
    </xf>
    <xf numFmtId="0" fontId="124" fillId="5" borderId="0" xfId="0" applyFont="1" applyFill="1"/>
    <xf numFmtId="0" fontId="124" fillId="45" borderId="0" xfId="0" applyFont="1" applyFill="1"/>
    <xf numFmtId="0" fontId="124" fillId="42" borderId="0" xfId="0" applyFont="1" applyFill="1"/>
    <xf numFmtId="0" fontId="154" fillId="21" borderId="0" xfId="0" applyFont="1" applyFill="1"/>
    <xf numFmtId="3" fontId="154" fillId="21" borderId="0" xfId="0" applyNumberFormat="1" applyFont="1" applyFill="1"/>
    <xf numFmtId="164" fontId="154" fillId="21" borderId="0" xfId="0" applyNumberFormat="1" applyFont="1" applyFill="1"/>
    <xf numFmtId="3" fontId="102" fillId="0" borderId="0" xfId="0" applyNumberFormat="1" applyFont="1" applyAlignment="1">
      <alignment horizontal="right"/>
    </xf>
    <xf numFmtId="165" fontId="102" fillId="0" borderId="0" xfId="0" applyNumberFormat="1" applyFont="1" applyAlignment="1">
      <alignment horizontal="right"/>
    </xf>
    <xf numFmtId="0" fontId="102" fillId="2" borderId="0" xfId="0" applyFont="1" applyFill="1"/>
    <xf numFmtId="0" fontId="102" fillId="2" borderId="0" xfId="0" applyFont="1" applyFill="1" applyAlignment="1">
      <alignment horizontal="right"/>
    </xf>
    <xf numFmtId="3" fontId="102" fillId="2" borderId="0" xfId="0" applyNumberFormat="1" applyFont="1" applyFill="1"/>
    <xf numFmtId="3" fontId="102" fillId="2" borderId="0" xfId="0" applyNumberFormat="1" applyFont="1" applyFill="1" applyAlignment="1">
      <alignment horizontal="right"/>
    </xf>
    <xf numFmtId="3" fontId="102" fillId="0" borderId="0" xfId="0" applyNumberFormat="1" applyFont="1"/>
    <xf numFmtId="0" fontId="102" fillId="2" borderId="28" xfId="0" applyFont="1" applyFill="1" applyBorder="1"/>
    <xf numFmtId="0" fontId="102" fillId="2" borderId="28" xfId="0" applyFont="1" applyFill="1" applyBorder="1" applyAlignment="1">
      <alignment horizontal="right"/>
    </xf>
    <xf numFmtId="0" fontId="102" fillId="0" borderId="29" xfId="0" applyFont="1" applyBorder="1"/>
    <xf numFmtId="0" fontId="102" fillId="0" borderId="30" xfId="0" applyFont="1" applyBorder="1"/>
    <xf numFmtId="0" fontId="102" fillId="0" borderId="30" xfId="0" applyFont="1" applyBorder="1" applyAlignment="1">
      <alignment horizontal="right"/>
    </xf>
    <xf numFmtId="0" fontId="161" fillId="0" borderId="3" xfId="0" applyFont="1" applyBorder="1" applyAlignment="1">
      <alignment horizontal="left" vertical="top"/>
    </xf>
    <xf numFmtId="0" fontId="161" fillId="0" borderId="5" xfId="0" applyFont="1" applyBorder="1" applyAlignment="1">
      <alignment horizontal="left" vertical="top"/>
    </xf>
    <xf numFmtId="0" fontId="162" fillId="2" borderId="5" xfId="0" applyFont="1" applyFill="1" applyBorder="1" applyAlignment="1">
      <alignment horizontal="left"/>
    </xf>
    <xf numFmtId="0" fontId="161" fillId="2" borderId="5" xfId="0" applyFont="1" applyFill="1" applyBorder="1" applyAlignment="1">
      <alignment horizontal="left" vertical="top"/>
    </xf>
    <xf numFmtId="0" fontId="161" fillId="2" borderId="5" xfId="0" applyFont="1" applyFill="1" applyBorder="1" applyAlignment="1">
      <alignment horizontal="left"/>
    </xf>
    <xf numFmtId="164" fontId="161" fillId="0" borderId="6" xfId="0" applyNumberFormat="1" applyFont="1" applyBorder="1" applyAlignment="1">
      <alignment horizontal="left" vertical="top"/>
    </xf>
    <xf numFmtId="164" fontId="161" fillId="2" borderId="4" xfId="0" applyNumberFormat="1" applyFont="1" applyFill="1" applyBorder="1" applyAlignment="1">
      <alignment horizontal="center"/>
    </xf>
    <xf numFmtId="0" fontId="101" fillId="7" borderId="7" xfId="0" applyFont="1" applyFill="1" applyBorder="1" applyAlignment="1">
      <alignment horizontal="right" vertical="top"/>
    </xf>
    <xf numFmtId="0" fontId="161" fillId="2" borderId="3" xfId="0" applyFont="1" applyFill="1" applyBorder="1" applyAlignment="1">
      <alignment horizontal="left"/>
    </xf>
    <xf numFmtId="0" fontId="161" fillId="0" borderId="5" xfId="0" applyFont="1" applyBorder="1" applyAlignment="1">
      <alignment horizontal="left"/>
    </xf>
    <xf numFmtId="164" fontId="161" fillId="2" borderId="6" xfId="0" applyNumberFormat="1" applyFont="1" applyFill="1" applyBorder="1" applyAlignment="1">
      <alignment horizontal="left"/>
    </xf>
    <xf numFmtId="0" fontId="161" fillId="17" borderId="3" xfId="0" applyFont="1" applyFill="1" applyBorder="1" applyAlignment="1">
      <alignment horizontal="left" vertical="top"/>
    </xf>
    <xf numFmtId="0" fontId="161" fillId="17" borderId="5" xfId="0" applyFont="1" applyFill="1" applyBorder="1" applyAlignment="1">
      <alignment horizontal="left"/>
    </xf>
    <xf numFmtId="0" fontId="162" fillId="2" borderId="5" xfId="0" applyFont="1" applyFill="1" applyBorder="1"/>
    <xf numFmtId="0" fontId="161" fillId="17" borderId="5" xfId="0" applyFont="1" applyFill="1" applyBorder="1" applyAlignment="1">
      <alignment horizontal="left" vertical="top"/>
    </xf>
    <xf numFmtId="0" fontId="161" fillId="8" borderId="5" xfId="0" applyFont="1" applyFill="1" applyBorder="1" applyAlignment="1">
      <alignment horizontal="left" vertical="top"/>
    </xf>
    <xf numFmtId="0" fontId="163" fillId="9" borderId="7" xfId="0" applyFont="1" applyFill="1" applyBorder="1"/>
    <xf numFmtId="0" fontId="161" fillId="0" borderId="3" xfId="0" applyFont="1" applyBorder="1" applyAlignment="1">
      <alignment horizontal="left"/>
    </xf>
    <xf numFmtId="164" fontId="161" fillId="0" borderId="6" xfId="0" applyNumberFormat="1" applyFont="1" applyBorder="1" applyAlignment="1">
      <alignment horizontal="left"/>
    </xf>
    <xf numFmtId="164" fontId="161" fillId="0" borderId="4" xfId="0" applyNumberFormat="1" applyFont="1" applyBorder="1" applyAlignment="1">
      <alignment horizontal="left" vertical="top"/>
    </xf>
    <xf numFmtId="0" fontId="65" fillId="0" borderId="4" xfId="0" applyFont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10" fillId="11" borderId="1" xfId="0" applyFont="1" applyFill="1" applyBorder="1" applyAlignment="1">
      <alignment horizontal="left" vertical="top"/>
    </xf>
    <xf numFmtId="0" fontId="4" fillId="12" borderId="1" xfId="0" applyFont="1" applyFill="1" applyBorder="1" applyAlignment="1">
      <alignment horizontal="left" vertical="top"/>
    </xf>
    <xf numFmtId="0" fontId="4" fillId="13" borderId="1" xfId="0" applyFont="1" applyFill="1" applyBorder="1" applyAlignment="1">
      <alignment horizontal="left" vertical="top"/>
    </xf>
    <xf numFmtId="0" fontId="4" fillId="1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 vertical="top"/>
    </xf>
    <xf numFmtId="0" fontId="15" fillId="12" borderId="1" xfId="0" applyFont="1" applyFill="1" applyBorder="1" applyAlignment="1">
      <alignment horizontal="left" vertical="top"/>
    </xf>
    <xf numFmtId="0" fontId="4" fillId="13" borderId="1" xfId="0" applyFont="1" applyFill="1" applyBorder="1" applyAlignment="1">
      <alignment horizontal="left"/>
    </xf>
    <xf numFmtId="0" fontId="15" fillId="12" borderId="1" xfId="0" applyFont="1" applyFill="1" applyBorder="1" applyAlignment="1">
      <alignment horizontal="left"/>
    </xf>
    <xf numFmtId="0" fontId="20" fillId="2" borderId="1" xfId="0" applyFont="1" applyFill="1" applyBorder="1" applyAlignment="1">
      <alignment horizontal="left"/>
    </xf>
    <xf numFmtId="0" fontId="31" fillId="2" borderId="8" xfId="0" applyFont="1" applyFill="1" applyBorder="1" applyAlignment="1">
      <alignment horizontal="left"/>
    </xf>
    <xf numFmtId="0" fontId="2" fillId="0" borderId="6" xfId="0" applyFont="1" applyBorder="1"/>
    <xf numFmtId="0" fontId="2" fillId="0" borderId="5" xfId="0" applyFont="1" applyBorder="1"/>
    <xf numFmtId="0" fontId="4" fillId="4" borderId="1" xfId="0" applyFont="1" applyFill="1" applyBorder="1" applyAlignment="1">
      <alignment vertical="top"/>
    </xf>
    <xf numFmtId="0" fontId="32" fillId="3" borderId="1" xfId="0" applyFont="1" applyFill="1" applyBorder="1" applyAlignment="1">
      <alignment horizontal="left" vertical="top"/>
    </xf>
    <xf numFmtId="0" fontId="10" fillId="5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/>
    </xf>
    <xf numFmtId="0" fontId="33" fillId="3" borderId="1" xfId="0" applyFont="1" applyFill="1" applyBorder="1" applyAlignment="1">
      <alignment horizontal="left" vertical="top"/>
    </xf>
    <xf numFmtId="0" fontId="10" fillId="6" borderId="1" xfId="0" applyFont="1" applyFill="1" applyBorder="1" applyAlignment="1">
      <alignment horizontal="left" vertical="top"/>
    </xf>
    <xf numFmtId="0" fontId="28" fillId="11" borderId="1" xfId="0" applyFont="1" applyFill="1" applyBorder="1" applyAlignment="1">
      <alignment horizontal="left" vertical="top"/>
    </xf>
    <xf numFmtId="0" fontId="15" fillId="4" borderId="1" xfId="0" applyFont="1" applyFill="1" applyBorder="1" applyAlignment="1">
      <alignment horizontal="left" vertical="top"/>
    </xf>
    <xf numFmtId="0" fontId="4" fillId="12" borderId="1" xfId="0" applyFont="1" applyFill="1" applyBorder="1" applyAlignment="1">
      <alignment vertical="top"/>
    </xf>
    <xf numFmtId="0" fontId="36" fillId="3" borderId="1" xfId="0" applyFont="1" applyFill="1" applyBorder="1" applyAlignment="1">
      <alignment horizontal="left" vertical="top"/>
    </xf>
    <xf numFmtId="0" fontId="10" fillId="20" borderId="1" xfId="0" applyFont="1" applyFill="1" applyBorder="1" applyAlignment="1">
      <alignment horizontal="left" vertical="top"/>
    </xf>
    <xf numFmtId="0" fontId="38" fillId="3" borderId="1" xfId="0" applyFont="1" applyFill="1" applyBorder="1" applyAlignment="1">
      <alignment horizontal="left" vertical="top"/>
    </xf>
    <xf numFmtId="0" fontId="10" fillId="17" borderId="1" xfId="0" applyFont="1" applyFill="1" applyBorder="1" applyAlignment="1">
      <alignment horizontal="left" vertical="top"/>
    </xf>
    <xf numFmtId="0" fontId="28" fillId="17" borderId="1" xfId="0" applyFont="1" applyFill="1" applyBorder="1" applyAlignment="1">
      <alignment horizontal="left" vertical="top"/>
    </xf>
    <xf numFmtId="0" fontId="39" fillId="3" borderId="1" xfId="0" applyFont="1" applyFill="1" applyBorder="1" applyAlignment="1">
      <alignment horizontal="left" vertical="top"/>
    </xf>
    <xf numFmtId="0" fontId="10" fillId="21" borderId="1" xfId="0" applyFont="1" applyFill="1" applyBorder="1" applyAlignment="1">
      <alignment horizontal="left" vertical="top"/>
    </xf>
    <xf numFmtId="0" fontId="10" fillId="11" borderId="8" xfId="0" applyFont="1" applyFill="1" applyBorder="1" applyAlignment="1">
      <alignment horizontal="left" vertical="top"/>
    </xf>
    <xf numFmtId="0" fontId="4" fillId="12" borderId="8" xfId="0" applyFont="1" applyFill="1" applyBorder="1" applyAlignment="1">
      <alignment horizontal="left" vertical="top"/>
    </xf>
    <xf numFmtId="0" fontId="4" fillId="12" borderId="8" xfId="0" applyFont="1" applyFill="1" applyBorder="1" applyAlignment="1">
      <alignment horizontal="left"/>
    </xf>
    <xf numFmtId="0" fontId="14" fillId="8" borderId="0" xfId="0" applyFont="1" applyFill="1" applyAlignment="1">
      <alignment horizontal="left"/>
    </xf>
    <xf numFmtId="0" fontId="0" fillId="0" borderId="0" xfId="0"/>
    <xf numFmtId="0" fontId="14" fillId="19" borderId="0" xfId="0" applyFont="1" applyFill="1" applyAlignment="1">
      <alignment horizontal="left"/>
    </xf>
    <xf numFmtId="0" fontId="14" fillId="17" borderId="0" xfId="0" applyFont="1" applyFill="1" applyAlignment="1">
      <alignment horizontal="left"/>
    </xf>
    <xf numFmtId="0" fontId="14" fillId="16" borderId="0" xfId="0" applyFont="1" applyFill="1" applyAlignment="1">
      <alignment horizontal="left"/>
    </xf>
    <xf numFmtId="0" fontId="14" fillId="10" borderId="0" xfId="0" applyFont="1" applyFill="1" applyAlignment="1">
      <alignment horizontal="left"/>
    </xf>
    <xf numFmtId="0" fontId="14" fillId="6" borderId="0" xfId="0" applyFont="1" applyFill="1" applyAlignment="1">
      <alignment horizontal="left" vertical="top"/>
    </xf>
    <xf numFmtId="0" fontId="14" fillId="7" borderId="0" xfId="0" applyFont="1" applyFill="1" applyAlignment="1">
      <alignment horizontal="left" vertical="top"/>
    </xf>
    <xf numFmtId="0" fontId="14" fillId="9" borderId="0" xfId="0" applyFont="1" applyFill="1" applyAlignment="1">
      <alignment horizontal="left" vertical="top"/>
    </xf>
    <xf numFmtId="0" fontId="38" fillId="3" borderId="8" xfId="0" applyFont="1" applyFill="1" applyBorder="1" applyAlignment="1">
      <alignment horizontal="left" vertical="top"/>
    </xf>
    <xf numFmtId="0" fontId="10" fillId="17" borderId="8" xfId="0" applyFont="1" applyFill="1" applyBorder="1" applyAlignment="1">
      <alignment horizontal="left" vertical="top"/>
    </xf>
    <xf numFmtId="0" fontId="14" fillId="4" borderId="0" xfId="0" applyFont="1" applyFill="1" applyAlignment="1">
      <alignment horizontal="left"/>
    </xf>
    <xf numFmtId="0" fontId="14" fillId="2" borderId="0" xfId="0" applyFont="1" applyFill="1" applyAlignment="1">
      <alignment horizontal="left"/>
    </xf>
    <xf numFmtId="0" fontId="14" fillId="5" borderId="0" xfId="0" applyFont="1" applyFill="1" applyAlignment="1">
      <alignment horizontal="left"/>
    </xf>
    <xf numFmtId="164" fontId="42" fillId="12" borderId="0" xfId="0" applyNumberFormat="1" applyFont="1" applyFill="1" applyAlignment="1">
      <alignment horizontal="left"/>
    </xf>
    <xf numFmtId="0" fontId="49" fillId="20" borderId="1" xfId="0" applyFont="1" applyFill="1" applyBorder="1" applyAlignment="1">
      <alignment horizontal="left"/>
    </xf>
    <xf numFmtId="0" fontId="28" fillId="29" borderId="1" xfId="0" applyFont="1" applyFill="1" applyBorder="1"/>
    <xf numFmtId="0" fontId="4" fillId="20" borderId="1" xfId="0" applyFont="1" applyFill="1" applyBorder="1"/>
    <xf numFmtId="0" fontId="10" fillId="29" borderId="1" xfId="0" applyFont="1" applyFill="1" applyBorder="1" applyAlignment="1">
      <alignment horizontal="left"/>
    </xf>
    <xf numFmtId="0" fontId="4" fillId="20" borderId="1" xfId="0" applyFont="1" applyFill="1" applyBorder="1" applyAlignment="1">
      <alignment horizontal="left"/>
    </xf>
    <xf numFmtId="0" fontId="28" fillId="29" borderId="1" xfId="0" applyFont="1" applyFill="1" applyBorder="1" applyAlignment="1">
      <alignment horizontal="left"/>
    </xf>
    <xf numFmtId="0" fontId="15" fillId="20" borderId="1" xfId="0" applyFont="1" applyFill="1" applyBorder="1"/>
    <xf numFmtId="0" fontId="16" fillId="5" borderId="1" xfId="0" applyFont="1" applyFill="1" applyBorder="1" applyAlignment="1">
      <alignment horizontal="left"/>
    </xf>
    <xf numFmtId="0" fontId="16" fillId="21" borderId="1" xfId="0" applyFont="1" applyFill="1" applyBorder="1" applyAlignment="1">
      <alignment horizontal="left"/>
    </xf>
    <xf numFmtId="0" fontId="16" fillId="17" borderId="1" xfId="0" applyFont="1" applyFill="1" applyBorder="1" applyAlignment="1">
      <alignment horizontal="left"/>
    </xf>
    <xf numFmtId="0" fontId="16" fillId="15" borderId="1" xfId="0" applyFont="1" applyFill="1" applyBorder="1" applyAlignment="1">
      <alignment horizontal="left"/>
    </xf>
    <xf numFmtId="0" fontId="15" fillId="2" borderId="1" xfId="0" applyFont="1" applyFill="1" applyBorder="1"/>
    <xf numFmtId="0" fontId="53" fillId="11" borderId="0" xfId="0" applyFont="1" applyFill="1" applyAlignment="1">
      <alignment horizontal="center"/>
    </xf>
    <xf numFmtId="164" fontId="42" fillId="13" borderId="0" xfId="0" applyNumberFormat="1" applyFont="1" applyFill="1"/>
    <xf numFmtId="164" fontId="60" fillId="13" borderId="0" xfId="0" applyNumberFormat="1" applyFont="1" applyFill="1"/>
    <xf numFmtId="0" fontId="60" fillId="13" borderId="0" xfId="0" applyFont="1" applyFill="1"/>
    <xf numFmtId="49" fontId="64" fillId="0" borderId="0" xfId="0" applyNumberFormat="1" applyFont="1" applyAlignment="1">
      <alignment vertical="top" wrapText="1"/>
    </xf>
    <xf numFmtId="49" fontId="65" fillId="8" borderId="0" xfId="0" applyNumberFormat="1" applyFont="1" applyFill="1" applyAlignment="1">
      <alignment horizontal="left" vertical="top" wrapText="1"/>
    </xf>
    <xf numFmtId="49" fontId="65" fillId="31" borderId="0" xfId="0" applyNumberFormat="1" applyFont="1" applyFill="1" applyAlignment="1">
      <alignment horizontal="left" vertical="top" wrapText="1"/>
    </xf>
    <xf numFmtId="49" fontId="65" fillId="29" borderId="0" xfId="0" applyNumberFormat="1" applyFont="1" applyFill="1" applyAlignment="1">
      <alignment horizontal="left" vertical="top" wrapText="1"/>
    </xf>
    <xf numFmtId="49" fontId="65" fillId="16" borderId="0" xfId="0" applyNumberFormat="1" applyFont="1" applyFill="1" applyAlignment="1">
      <alignment horizontal="left" vertical="top" wrapText="1"/>
    </xf>
    <xf numFmtId="49" fontId="66" fillId="30" borderId="15" xfId="0" applyNumberFormat="1" applyFont="1" applyFill="1" applyBorder="1" applyAlignment="1">
      <alignment horizontal="center" vertical="top" wrapText="1"/>
    </xf>
    <xf numFmtId="0" fontId="2" fillId="0" borderId="15" xfId="0" applyFont="1" applyBorder="1"/>
    <xf numFmtId="0" fontId="2" fillId="0" borderId="14" xfId="0" applyFont="1" applyBorder="1"/>
    <xf numFmtId="0" fontId="67" fillId="8" borderId="16" xfId="0" applyFont="1" applyFill="1" applyBorder="1" applyAlignment="1">
      <alignment vertical="top"/>
    </xf>
    <xf numFmtId="0" fontId="68" fillId="16" borderId="15" xfId="0" applyFont="1" applyFill="1" applyBorder="1" applyAlignment="1">
      <alignment horizontal="right" vertical="center"/>
    </xf>
    <xf numFmtId="0" fontId="70" fillId="12" borderId="16" xfId="0" applyFont="1" applyFill="1" applyBorder="1" applyAlignment="1">
      <alignment horizontal="center" vertical="top"/>
    </xf>
    <xf numFmtId="0" fontId="71" fillId="31" borderId="16" xfId="0" applyFont="1" applyFill="1" applyBorder="1" applyAlignment="1">
      <alignment vertical="top"/>
    </xf>
    <xf numFmtId="0" fontId="73" fillId="8" borderId="16" xfId="0" applyFont="1" applyFill="1" applyBorder="1" applyAlignment="1">
      <alignment vertical="top"/>
    </xf>
    <xf numFmtId="0" fontId="75" fillId="29" borderId="15" xfId="0" applyFont="1" applyFill="1" applyBorder="1" applyAlignment="1">
      <alignment vertical="top"/>
    </xf>
    <xf numFmtId="0" fontId="70" fillId="12" borderId="17" xfId="0" applyFont="1" applyFill="1" applyBorder="1" applyAlignment="1">
      <alignment horizontal="center" vertical="top"/>
    </xf>
    <xf numFmtId="0" fontId="2" fillId="0" borderId="18" xfId="0" applyFont="1" applyBorder="1"/>
    <xf numFmtId="0" fontId="2" fillId="0" borderId="19" xfId="0" applyFont="1" applyBorder="1"/>
    <xf numFmtId="0" fontId="76" fillId="8" borderId="16" xfId="0" applyFont="1" applyFill="1" applyBorder="1" applyAlignment="1">
      <alignment vertical="top"/>
    </xf>
    <xf numFmtId="49" fontId="70" fillId="12" borderId="17" xfId="0" applyNumberFormat="1" applyFont="1" applyFill="1" applyBorder="1" applyAlignment="1">
      <alignment horizontal="center" vertical="top"/>
    </xf>
    <xf numFmtId="0" fontId="78" fillId="16" borderId="15" xfId="0" applyFont="1" applyFill="1" applyBorder="1" applyAlignment="1">
      <alignment horizontal="right" vertical="top"/>
    </xf>
    <xf numFmtId="0" fontId="67" fillId="31" borderId="16" xfId="0" applyFont="1" applyFill="1" applyBorder="1" applyAlignment="1">
      <alignment vertical="top"/>
    </xf>
    <xf numFmtId="0" fontId="82" fillId="32" borderId="12" xfId="0" applyFont="1" applyFill="1" applyBorder="1" applyAlignment="1">
      <alignment horizontal="center" vertical="center"/>
    </xf>
    <xf numFmtId="0" fontId="2" fillId="0" borderId="7" xfId="0" applyFont="1" applyBorder="1"/>
    <xf numFmtId="0" fontId="81" fillId="3" borderId="1" xfId="0" applyFont="1" applyFill="1" applyBorder="1" applyAlignment="1">
      <alignment horizontal="center" vertical="center"/>
    </xf>
    <xf numFmtId="0" fontId="82" fillId="2" borderId="20" xfId="0" applyFont="1" applyFill="1" applyBorder="1" applyAlignment="1">
      <alignment horizontal="center" vertical="center"/>
    </xf>
    <xf numFmtId="0" fontId="2" fillId="0" borderId="21" xfId="0" applyFont="1" applyBorder="1"/>
    <xf numFmtId="0" fontId="2" fillId="0" borderId="10" xfId="0" applyFont="1" applyBorder="1"/>
    <xf numFmtId="0" fontId="2" fillId="0" borderId="22" xfId="0" applyFont="1" applyBorder="1"/>
    <xf numFmtId="0" fontId="2" fillId="0" borderId="9" xfId="0" applyFont="1" applyBorder="1"/>
    <xf numFmtId="0" fontId="2" fillId="0" borderId="8" xfId="0" applyFont="1" applyBorder="1"/>
    <xf numFmtId="0" fontId="83" fillId="33" borderId="1" xfId="0" applyFont="1" applyFill="1" applyBorder="1" applyAlignment="1">
      <alignment horizontal="center" vertical="center"/>
    </xf>
    <xf numFmtId="0" fontId="84" fillId="3" borderId="6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/>
    </xf>
    <xf numFmtId="0" fontId="84" fillId="3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vertical="center"/>
    </xf>
    <xf numFmtId="0" fontId="86" fillId="3" borderId="1" xfId="0" applyFont="1" applyFill="1" applyBorder="1" applyAlignment="1">
      <alignment horizontal="center" vertical="center"/>
    </xf>
    <xf numFmtId="0" fontId="87" fillId="13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7" fillId="13" borderId="0" xfId="0" applyFont="1" applyFill="1" applyAlignment="1">
      <alignment vertical="center"/>
    </xf>
    <xf numFmtId="0" fontId="5" fillId="35" borderId="0" xfId="0" applyFont="1" applyFill="1" applyAlignment="1">
      <alignment horizontal="right" vertical="center"/>
    </xf>
    <xf numFmtId="0" fontId="5" fillId="36" borderId="0" xfId="0" applyFont="1" applyFill="1" applyAlignment="1">
      <alignment horizontal="right" vertical="center"/>
    </xf>
    <xf numFmtId="0" fontId="5" fillId="7" borderId="0" xfId="0" applyFont="1" applyFill="1" applyAlignment="1">
      <alignment horizontal="right" vertical="center"/>
    </xf>
    <xf numFmtId="0" fontId="5" fillId="9" borderId="0" xfId="0" applyFont="1" applyFill="1" applyAlignment="1">
      <alignment horizontal="right" vertical="center"/>
    </xf>
    <xf numFmtId="0" fontId="5" fillId="22" borderId="0" xfId="0" applyFont="1" applyFill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0" fontId="39" fillId="3" borderId="1" xfId="0" applyFont="1" applyFill="1" applyBorder="1" applyAlignment="1">
      <alignment horizontal="center" vertical="center"/>
    </xf>
    <xf numFmtId="0" fontId="10" fillId="21" borderId="1" xfId="0" applyFont="1" applyFill="1" applyBorder="1" applyAlignment="1">
      <alignment horizontal="center" vertical="center"/>
    </xf>
    <xf numFmtId="0" fontId="88" fillId="3" borderId="1" xfId="0" applyFont="1" applyFill="1" applyBorder="1" applyAlignment="1">
      <alignment horizontal="center" vertical="center"/>
    </xf>
    <xf numFmtId="0" fontId="10" fillId="20" borderId="1" xfId="0" applyFont="1" applyFill="1" applyBorder="1" applyAlignment="1">
      <alignment horizontal="center" vertical="center"/>
    </xf>
    <xf numFmtId="0" fontId="16" fillId="10" borderId="0" xfId="0" applyFont="1" applyFill="1" applyAlignment="1">
      <alignment horizontal="right" vertical="center"/>
    </xf>
    <xf numFmtId="0" fontId="89" fillId="3" borderId="1" xfId="0" applyFont="1" applyFill="1" applyBorder="1" applyAlignment="1">
      <alignment horizontal="center" vertical="center"/>
    </xf>
    <xf numFmtId="0" fontId="16" fillId="4" borderId="0" xfId="0" applyFont="1" applyFill="1" applyAlignment="1">
      <alignment horizontal="right" vertical="center"/>
    </xf>
    <xf numFmtId="0" fontId="16" fillId="5" borderId="0" xfId="0" applyFont="1" applyFill="1" applyAlignment="1">
      <alignment horizontal="right" vertical="center"/>
    </xf>
    <xf numFmtId="0" fontId="16" fillId="8" borderId="0" xfId="0" applyFont="1" applyFill="1" applyAlignment="1">
      <alignment horizontal="right" vertical="center"/>
    </xf>
    <xf numFmtId="0" fontId="16" fillId="17" borderId="0" xfId="0" applyFont="1" applyFill="1" applyAlignment="1">
      <alignment horizontal="right" vertical="center"/>
    </xf>
    <xf numFmtId="0" fontId="16" fillId="16" borderId="0" xfId="0" applyFont="1" applyFill="1" applyAlignment="1">
      <alignment horizontal="right" vertical="center"/>
    </xf>
    <xf numFmtId="0" fontId="5" fillId="32" borderId="12" xfId="0" applyFont="1" applyFill="1" applyBorder="1" applyAlignment="1">
      <alignment horizontal="center"/>
    </xf>
    <xf numFmtId="0" fontId="5" fillId="32" borderId="20" xfId="0" applyFont="1" applyFill="1" applyBorder="1" applyAlignment="1">
      <alignment horizontal="center"/>
    </xf>
    <xf numFmtId="0" fontId="5" fillId="32" borderId="11" xfId="0" applyFont="1" applyFill="1" applyBorder="1" applyAlignment="1">
      <alignment horizontal="center"/>
    </xf>
    <xf numFmtId="0" fontId="5" fillId="32" borderId="10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10" fillId="11" borderId="6" xfId="0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center" vertical="center"/>
    </xf>
    <xf numFmtId="0" fontId="4" fillId="12" borderId="1" xfId="0" applyFont="1" applyFill="1" applyBorder="1"/>
    <xf numFmtId="164" fontId="90" fillId="12" borderId="0" xfId="0" applyNumberFormat="1" applyFont="1" applyFill="1" applyAlignment="1">
      <alignment horizontal="left"/>
    </xf>
    <xf numFmtId="0" fontId="92" fillId="3" borderId="1" xfId="0" applyFont="1" applyFill="1" applyBorder="1" applyAlignment="1">
      <alignment horizontal="center"/>
    </xf>
    <xf numFmtId="0" fontId="93" fillId="0" borderId="0" xfId="0" applyFont="1" applyAlignment="1">
      <alignment horizontal="center"/>
    </xf>
    <xf numFmtId="164" fontId="94" fillId="12" borderId="0" xfId="0" applyNumberFormat="1" applyFont="1" applyFill="1" applyAlignment="1">
      <alignment horizontal="left"/>
    </xf>
    <xf numFmtId="0" fontId="114" fillId="2" borderId="0" xfId="0" applyFont="1" applyFill="1" applyAlignment="1">
      <alignment horizontal="center"/>
    </xf>
    <xf numFmtId="0" fontId="115" fillId="14" borderId="24" xfId="0" applyFont="1" applyFill="1" applyBorder="1" applyAlignment="1">
      <alignment horizontal="center" vertical="center"/>
    </xf>
    <xf numFmtId="0" fontId="2" fillId="0" borderId="25" xfId="0" applyFont="1" applyBorder="1"/>
    <xf numFmtId="0" fontId="2" fillId="0" borderId="26" xfId="0" applyFont="1" applyBorder="1"/>
    <xf numFmtId="0" fontId="116" fillId="14" borderId="24" xfId="0" applyFont="1" applyFill="1" applyBorder="1" applyAlignment="1">
      <alignment horizontal="center" vertical="center"/>
    </xf>
    <xf numFmtId="0" fontId="117" fillId="14" borderId="24" xfId="0" applyFont="1" applyFill="1" applyBorder="1" applyAlignment="1">
      <alignment horizontal="center" vertical="center"/>
    </xf>
    <xf numFmtId="164" fontId="121" fillId="2" borderId="0" xfId="0" applyNumberFormat="1" applyFont="1" applyFill="1" applyAlignment="1">
      <alignment horizontal="center"/>
    </xf>
    <xf numFmtId="164" fontId="122" fillId="40" borderId="0" xfId="0" applyNumberFormat="1" applyFont="1" applyFill="1" applyAlignment="1">
      <alignment horizontal="center"/>
    </xf>
    <xf numFmtId="164" fontId="129" fillId="41" borderId="27" xfId="0" applyNumberFormat="1" applyFont="1" applyFill="1" applyBorder="1" applyAlignment="1">
      <alignment horizontal="center"/>
    </xf>
    <xf numFmtId="0" fontId="2" fillId="0" borderId="27" xfId="0" applyFont="1" applyBorder="1"/>
    <xf numFmtId="164" fontId="129" fillId="41" borderId="0" xfId="0" applyNumberFormat="1" applyFont="1" applyFill="1" applyAlignment="1">
      <alignment horizontal="center"/>
    </xf>
    <xf numFmtId="0" fontId="122" fillId="40" borderId="0" xfId="0" applyFont="1" applyFill="1" applyAlignment="1">
      <alignment horizontal="center"/>
    </xf>
    <xf numFmtId="0" fontId="121" fillId="2" borderId="0" xfId="0" applyFont="1" applyFill="1" applyAlignment="1">
      <alignment horizontal="center"/>
    </xf>
    <xf numFmtId="0" fontId="143" fillId="40" borderId="0" xfId="0" applyFont="1" applyFill="1" applyAlignment="1">
      <alignment horizontal="center"/>
    </xf>
    <xf numFmtId="164" fontId="144" fillId="40" borderId="0" xfId="0" applyNumberFormat="1" applyFont="1" applyFill="1" applyAlignment="1">
      <alignment horizontal="center"/>
    </xf>
    <xf numFmtId="164" fontId="114" fillId="2" borderId="0" xfId="0" applyNumberFormat="1" applyFont="1" applyFill="1" applyAlignment="1">
      <alignment horizontal="center"/>
    </xf>
    <xf numFmtId="0" fontId="102" fillId="12" borderId="0" xfId="0" applyFont="1" applyFill="1"/>
    <xf numFmtId="0" fontId="155" fillId="12" borderId="0" xfId="0" applyFont="1" applyFill="1" applyAlignment="1">
      <alignment horizontal="center"/>
    </xf>
    <xf numFmtId="0" fontId="153" fillId="0" borderId="0" xfId="0" applyFont="1" applyAlignment="1">
      <alignment horizontal="center"/>
    </xf>
    <xf numFmtId="0" fontId="157" fillId="32" borderId="12" xfId="0" applyFont="1" applyFill="1" applyBorder="1" applyAlignment="1">
      <alignment horizontal="center"/>
    </xf>
    <xf numFmtId="0" fontId="157" fillId="32" borderId="20" xfId="0" applyFont="1" applyFill="1" applyBorder="1" applyAlignment="1">
      <alignment horizontal="center"/>
    </xf>
    <xf numFmtId="0" fontId="157" fillId="32" borderId="11" xfId="0" applyFont="1" applyFill="1" applyBorder="1" applyAlignment="1">
      <alignment horizontal="center"/>
    </xf>
    <xf numFmtId="0" fontId="156" fillId="3" borderId="1" xfId="0" applyFont="1" applyFill="1" applyBorder="1" applyAlignment="1">
      <alignment horizontal="center"/>
    </xf>
    <xf numFmtId="0" fontId="157" fillId="2" borderId="20" xfId="0" applyFont="1" applyFill="1" applyBorder="1" applyAlignment="1">
      <alignment horizontal="center"/>
    </xf>
    <xf numFmtId="0" fontId="157" fillId="32" borderId="10" xfId="0" applyFont="1" applyFill="1" applyBorder="1" applyAlignment="1">
      <alignment horizontal="center"/>
    </xf>
    <xf numFmtId="0" fontId="158" fillId="31" borderId="1" xfId="0" applyFont="1" applyFill="1" applyBorder="1" applyAlignment="1">
      <alignment horizontal="left" vertical="top"/>
    </xf>
    <xf numFmtId="0" fontId="159" fillId="46" borderId="6" xfId="0" applyFont="1" applyFill="1" applyBorder="1" applyAlignment="1">
      <alignment horizontal="left"/>
    </xf>
    <xf numFmtId="0" fontId="160" fillId="12" borderId="6" xfId="0" applyFont="1" applyFill="1" applyBorder="1" applyAlignment="1">
      <alignment horizontal="left"/>
    </xf>
    <xf numFmtId="0" fontId="103" fillId="31" borderId="1" xfId="0" applyFont="1" applyFill="1" applyBorder="1" applyAlignment="1">
      <alignment vertical="top"/>
    </xf>
    <xf numFmtId="0" fontId="164" fillId="3" borderId="1" xfId="0" applyFont="1" applyFill="1" applyBorder="1" applyAlignment="1">
      <alignment horizontal="center"/>
    </xf>
    <xf numFmtId="0" fontId="165" fillId="16" borderId="0" xfId="0" applyFont="1" applyFill="1" applyAlignment="1">
      <alignment horizontal="right"/>
    </xf>
    <xf numFmtId="0" fontId="165" fillId="10" borderId="0" xfId="0" applyFont="1" applyFill="1" applyAlignment="1">
      <alignment horizontal="right"/>
    </xf>
    <xf numFmtId="0" fontId="161" fillId="35" borderId="0" xfId="0" applyFont="1" applyFill="1" applyAlignment="1">
      <alignment horizontal="right"/>
    </xf>
    <xf numFmtId="0" fontId="161" fillId="36" borderId="0" xfId="0" applyFont="1" applyFill="1" applyAlignment="1">
      <alignment horizontal="right" vertical="top"/>
    </xf>
    <xf numFmtId="0" fontId="161" fillId="7" borderId="0" xfId="0" applyFont="1" applyFill="1" applyAlignment="1">
      <alignment horizontal="right" vertical="top"/>
    </xf>
    <xf numFmtId="0" fontId="161" fillId="9" borderId="0" xfId="0" applyFont="1" applyFill="1" applyAlignment="1">
      <alignment horizontal="right" vertical="top"/>
    </xf>
    <xf numFmtId="0" fontId="161" fillId="47" borderId="0" xfId="0" applyFont="1" applyFill="1" applyAlignment="1">
      <alignment horizontal="right" vertical="top"/>
    </xf>
    <xf numFmtId="0" fontId="161" fillId="37" borderId="0" xfId="0" applyFont="1" applyFill="1" applyAlignment="1">
      <alignment horizontal="right" vertical="top"/>
    </xf>
    <xf numFmtId="0" fontId="165" fillId="31" borderId="0" xfId="0" applyFont="1" applyFill="1" applyAlignment="1">
      <alignment horizontal="right"/>
    </xf>
    <xf numFmtId="0" fontId="165" fillId="22" borderId="0" xfId="0" applyFont="1" applyFill="1" applyAlignment="1">
      <alignment horizontal="right"/>
    </xf>
    <xf numFmtId="0" fontId="165" fillId="12" borderId="0" xfId="0" applyFont="1" applyFill="1" applyAlignment="1">
      <alignment horizontal="right"/>
    </xf>
    <xf numFmtId="0" fontId="165" fillId="5" borderId="0" xfId="0" applyFont="1" applyFill="1" applyAlignment="1">
      <alignment horizontal="right"/>
    </xf>
    <xf numFmtId="0" fontId="165" fillId="8" borderId="0" xfId="0" applyFont="1" applyFill="1" applyAlignment="1">
      <alignment horizontal="right"/>
    </xf>
    <xf numFmtId="0" fontId="165" fillId="19" borderId="0" xfId="0" applyFont="1" applyFill="1" applyAlignment="1">
      <alignment horizontal="right"/>
    </xf>
    <xf numFmtId="0" fontId="165" fillId="17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33475" cy="4667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0</xdr:row>
      <xdr:rowOff>152400</xdr:rowOff>
    </xdr:from>
    <xdr:ext cx="2819400" cy="1657350"/>
    <xdr:pic>
      <xdr:nvPicPr>
        <xdr:cNvPr id="2" name="image2.jp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38275" cy="590550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676275" cy="2000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52400" cy="2000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1A3438"/>
      </a:dk1>
      <a:lt1>
        <a:srgbClr val="FFFFFF"/>
      </a:lt1>
      <a:dk2>
        <a:srgbClr val="1A3438"/>
      </a:dk2>
      <a:lt2>
        <a:srgbClr val="FFFFFF"/>
      </a:lt2>
      <a:accent1>
        <a:srgbClr val="D77659"/>
      </a:accent1>
      <a:accent2>
        <a:srgbClr val="AB4028"/>
      </a:accent2>
      <a:accent3>
        <a:srgbClr val="004552"/>
      </a:accent3>
      <a:accent4>
        <a:srgbClr val="457D7C"/>
      </a:accent4>
      <a:accent5>
        <a:srgbClr val="50A6A6"/>
      </a:accent5>
      <a:accent6>
        <a:srgbClr val="9BCCC6"/>
      </a:accent6>
      <a:hlink>
        <a:srgbClr val="34A870"/>
      </a:hlink>
      <a:folHlink>
        <a:srgbClr val="34A870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stripedlionrum.com/" TargetMode="External"/><Relationship Id="rId3" Type="http://schemas.openxmlformats.org/officeDocument/2006/relationships/hyperlink" Target="https://www.atelier-du-bouilleur.fr/en/?lang=en" TargetMode="External"/><Relationship Id="rId7" Type="http://schemas.openxmlformats.org/officeDocument/2006/relationships/hyperlink" Target="https://latheriaque.com/" TargetMode="External"/><Relationship Id="rId2" Type="http://schemas.openxmlformats.org/officeDocument/2006/relationships/hyperlink" Target="https://www.singleapple.fr/" TargetMode="External"/><Relationship Id="rId1" Type="http://schemas.openxmlformats.org/officeDocument/2006/relationships/hyperlink" Target="https://fernethunter.com/" TargetMode="External"/><Relationship Id="rId6" Type="http://schemas.openxmlformats.org/officeDocument/2006/relationships/hyperlink" Target="https://www.coeurdecuivre.fr/" TargetMode="External"/><Relationship Id="rId5" Type="http://schemas.openxmlformats.org/officeDocument/2006/relationships/hyperlink" Target="https://www.avallenspirits.com/" TargetMode="External"/><Relationship Id="rId10" Type="http://schemas.openxmlformats.org/officeDocument/2006/relationships/hyperlink" Target="https://raswines.com/" TargetMode="External"/><Relationship Id="rId4" Type="http://schemas.openxmlformats.org/officeDocument/2006/relationships/hyperlink" Target="https://www.groupeudm.com/" TargetMode="External"/><Relationship Id="rId9" Type="http://schemas.openxmlformats.org/officeDocument/2006/relationships/hyperlink" Target="https://www.ccassis.com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zrswines.com/sake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://nattywine.us/matervi" TargetMode="External"/><Relationship Id="rId18" Type="http://schemas.openxmlformats.org/officeDocument/2006/relationships/hyperlink" Target="https://www.nattywine.us/braccia-rese" TargetMode="External"/><Relationship Id="rId26" Type="http://schemas.openxmlformats.org/officeDocument/2006/relationships/hyperlink" Target="http://nattywine.us/manlio-manganaro" TargetMode="External"/><Relationship Id="rId39" Type="http://schemas.openxmlformats.org/officeDocument/2006/relationships/hyperlink" Target="https://www.nattywine.us/les-chemins" TargetMode="External"/><Relationship Id="rId21" Type="http://schemas.openxmlformats.org/officeDocument/2006/relationships/hyperlink" Target="https://www.nattywine.us/sa-defenza" TargetMode="External"/><Relationship Id="rId34" Type="http://schemas.openxmlformats.org/officeDocument/2006/relationships/hyperlink" Target="https://www.nattywine.us/tenuta-larmonia" TargetMode="External"/><Relationship Id="rId42" Type="http://schemas.openxmlformats.org/officeDocument/2006/relationships/hyperlink" Target="https://www.nattywine.us/anforaje" TargetMode="External"/><Relationship Id="rId47" Type="http://schemas.openxmlformats.org/officeDocument/2006/relationships/hyperlink" Target="https://www.nattywine.us/les-chemins" TargetMode="External"/><Relationship Id="rId50" Type="http://schemas.openxmlformats.org/officeDocument/2006/relationships/hyperlink" Target="https://www.nattywine.us/frank-testa" TargetMode="External"/><Relationship Id="rId7" Type="http://schemas.openxmlformats.org/officeDocument/2006/relationships/hyperlink" Target="http://nattywine.us/magula" TargetMode="External"/><Relationship Id="rId2" Type="http://schemas.openxmlformats.org/officeDocument/2006/relationships/hyperlink" Target="http://www.nattywine.us/" TargetMode="External"/><Relationship Id="rId16" Type="http://schemas.openxmlformats.org/officeDocument/2006/relationships/hyperlink" Target="https://www.nattywine.us/tenuta-larmonia" TargetMode="External"/><Relationship Id="rId29" Type="http://schemas.openxmlformats.org/officeDocument/2006/relationships/hyperlink" Target="https://www.nattywine.us/tenuta-larmonia" TargetMode="External"/><Relationship Id="rId11" Type="http://schemas.openxmlformats.org/officeDocument/2006/relationships/hyperlink" Target="https://www.nattywine.us/sa-defenza" TargetMode="External"/><Relationship Id="rId24" Type="http://schemas.openxmlformats.org/officeDocument/2006/relationships/hyperlink" Target="http://nattywine.us/matervi" TargetMode="External"/><Relationship Id="rId32" Type="http://schemas.openxmlformats.org/officeDocument/2006/relationships/hyperlink" Target="http://www.nattywine.us/bertolino" TargetMode="External"/><Relationship Id="rId37" Type="http://schemas.openxmlformats.org/officeDocument/2006/relationships/hyperlink" Target="https://www.nattywine.us/muller-koeberle" TargetMode="External"/><Relationship Id="rId40" Type="http://schemas.openxmlformats.org/officeDocument/2006/relationships/hyperlink" Target="http://www.nattywine.us/bertolino" TargetMode="External"/><Relationship Id="rId45" Type="http://schemas.openxmlformats.org/officeDocument/2006/relationships/hyperlink" Target="https://www.nattywine.us/muller-koeberle" TargetMode="External"/><Relationship Id="rId5" Type="http://schemas.openxmlformats.org/officeDocument/2006/relationships/hyperlink" Target="http://nattywine.us/magula" TargetMode="External"/><Relationship Id="rId15" Type="http://schemas.openxmlformats.org/officeDocument/2006/relationships/hyperlink" Target="http://nattywine.us/indomiti" TargetMode="External"/><Relationship Id="rId23" Type="http://schemas.openxmlformats.org/officeDocument/2006/relationships/hyperlink" Target="https://www.nattywine.us/sa-defenza" TargetMode="External"/><Relationship Id="rId28" Type="http://schemas.openxmlformats.org/officeDocument/2006/relationships/hyperlink" Target="https://www.nattywine.us/tenuta-larmonia" TargetMode="External"/><Relationship Id="rId36" Type="http://schemas.openxmlformats.org/officeDocument/2006/relationships/hyperlink" Target="http://www.nattywine.us/shun-minowa" TargetMode="External"/><Relationship Id="rId49" Type="http://schemas.openxmlformats.org/officeDocument/2006/relationships/hyperlink" Target="https://www.nattywine.us/terre-di-confine" TargetMode="External"/><Relationship Id="rId10" Type="http://schemas.openxmlformats.org/officeDocument/2006/relationships/hyperlink" Target="https://www.nattywine.us/braccia-rese" TargetMode="External"/><Relationship Id="rId19" Type="http://schemas.openxmlformats.org/officeDocument/2006/relationships/hyperlink" Target="https://www.nattywine.us/tenuta-larmonia" TargetMode="External"/><Relationship Id="rId31" Type="http://schemas.openxmlformats.org/officeDocument/2006/relationships/hyperlink" Target="https://www.nattywine.us/tenuta-larmonia" TargetMode="External"/><Relationship Id="rId44" Type="http://schemas.openxmlformats.org/officeDocument/2006/relationships/hyperlink" Target="https://www.nattywine.us/floribunda" TargetMode="External"/><Relationship Id="rId4" Type="http://schemas.openxmlformats.org/officeDocument/2006/relationships/hyperlink" Target="http://nattywine.us/magula" TargetMode="External"/><Relationship Id="rId9" Type="http://schemas.openxmlformats.org/officeDocument/2006/relationships/hyperlink" Target="https://www.nattywine.us/sa-defenza" TargetMode="External"/><Relationship Id="rId14" Type="http://schemas.openxmlformats.org/officeDocument/2006/relationships/hyperlink" Target="http://nattywine.us/matervi" TargetMode="External"/><Relationship Id="rId22" Type="http://schemas.openxmlformats.org/officeDocument/2006/relationships/hyperlink" Target="https://www.nattywine.us/terre-di-confine" TargetMode="External"/><Relationship Id="rId27" Type="http://schemas.openxmlformats.org/officeDocument/2006/relationships/hyperlink" Target="https://www.nattywine.us/terre-di-confine" TargetMode="External"/><Relationship Id="rId30" Type="http://schemas.openxmlformats.org/officeDocument/2006/relationships/hyperlink" Target="http://www.nattywine.us/val-di-buri" TargetMode="External"/><Relationship Id="rId35" Type="http://schemas.openxmlformats.org/officeDocument/2006/relationships/hyperlink" Target="https://www.nattywine.us/les-chemins" TargetMode="External"/><Relationship Id="rId43" Type="http://schemas.openxmlformats.org/officeDocument/2006/relationships/hyperlink" Target="http://www.nattywine.us/ananda" TargetMode="External"/><Relationship Id="rId48" Type="http://schemas.openxmlformats.org/officeDocument/2006/relationships/hyperlink" Target="http://www.nattywine.us/floribunda" TargetMode="External"/><Relationship Id="rId8" Type="http://schemas.openxmlformats.org/officeDocument/2006/relationships/hyperlink" Target="http://www.nattywine.us/gallino" TargetMode="External"/><Relationship Id="rId3" Type="http://schemas.openxmlformats.org/officeDocument/2006/relationships/hyperlink" Target="http://nattywine.us/kmetija-stekar" TargetMode="External"/><Relationship Id="rId12" Type="http://schemas.openxmlformats.org/officeDocument/2006/relationships/hyperlink" Target="https://www.nattywine.us/tenuta-larmonia" TargetMode="External"/><Relationship Id="rId17" Type="http://schemas.openxmlformats.org/officeDocument/2006/relationships/hyperlink" Target="https://www.nattywine.us/tenuta-larmonia" TargetMode="External"/><Relationship Id="rId25" Type="http://schemas.openxmlformats.org/officeDocument/2006/relationships/hyperlink" Target="http://nattywine.us/indomiti" TargetMode="External"/><Relationship Id="rId33" Type="http://schemas.openxmlformats.org/officeDocument/2006/relationships/hyperlink" Target="https://www.nattywine.us/tenuta-larmonia" TargetMode="External"/><Relationship Id="rId38" Type="http://schemas.openxmlformats.org/officeDocument/2006/relationships/hyperlink" Target="http://www.nattywine.us/shun-minowa" TargetMode="External"/><Relationship Id="rId46" Type="http://schemas.openxmlformats.org/officeDocument/2006/relationships/hyperlink" Target="https://www.nattywine.us/muller-koeberle" TargetMode="External"/><Relationship Id="rId20" Type="http://schemas.openxmlformats.org/officeDocument/2006/relationships/hyperlink" Target="https://www.nattywine.us/tenuta-larmonia" TargetMode="External"/><Relationship Id="rId41" Type="http://schemas.openxmlformats.org/officeDocument/2006/relationships/hyperlink" Target="http://www.nattywine.us/bertolino" TargetMode="External"/><Relationship Id="rId1" Type="http://schemas.openxmlformats.org/officeDocument/2006/relationships/hyperlink" Target="mailto:victor@nattywine.us" TargetMode="External"/><Relationship Id="rId6" Type="http://schemas.openxmlformats.org/officeDocument/2006/relationships/hyperlink" Target="https://enotecanaturale.it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://roniselect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I1793"/>
  <sheetViews>
    <sheetView tabSelected="1" workbookViewId="0">
      <selection sqref="A1:I1"/>
    </sheetView>
  </sheetViews>
  <sheetFormatPr baseColWidth="10" defaultColWidth="12.6640625" defaultRowHeight="15.75" customHeight="1"/>
  <cols>
    <col min="1" max="1" width="14.83203125" customWidth="1"/>
    <col min="2" max="2" width="55.1640625" customWidth="1"/>
    <col min="3" max="3" width="59.1640625" customWidth="1"/>
    <col min="4" max="4" width="8.6640625" customWidth="1"/>
    <col min="5" max="5" width="8" customWidth="1"/>
    <col min="6" max="6" width="8.1640625" customWidth="1"/>
    <col min="7" max="7" width="8.83203125" customWidth="1"/>
    <col min="8" max="8" width="9.1640625" customWidth="1"/>
    <col min="9" max="9" width="8.6640625" customWidth="1"/>
  </cols>
  <sheetData>
    <row r="1" spans="1:9" ht="81.75" customHeight="1">
      <c r="A1" s="688"/>
      <c r="B1" s="689"/>
      <c r="C1" s="689"/>
      <c r="D1" s="689"/>
      <c r="E1" s="689"/>
      <c r="F1" s="689"/>
      <c r="G1" s="689"/>
      <c r="H1" s="689"/>
      <c r="I1" s="690"/>
    </row>
    <row r="2" spans="1:9" ht="33">
      <c r="A2" s="691" t="s">
        <v>0</v>
      </c>
      <c r="B2" s="689"/>
      <c r="C2" s="689"/>
      <c r="D2" s="689"/>
      <c r="E2" s="689"/>
      <c r="F2" s="689"/>
      <c r="G2" s="689"/>
      <c r="H2" s="689"/>
      <c r="I2" s="690"/>
    </row>
    <row r="3" spans="1:9" ht="18">
      <c r="A3" s="692" t="s">
        <v>1</v>
      </c>
      <c r="B3" s="689"/>
      <c r="C3" s="689"/>
      <c r="D3" s="689"/>
      <c r="E3" s="689"/>
      <c r="F3" s="689"/>
      <c r="G3" s="689"/>
      <c r="H3" s="689"/>
      <c r="I3" s="690"/>
    </row>
    <row r="4" spans="1:9" ht="13">
      <c r="A4" s="1" t="s">
        <v>2</v>
      </c>
      <c r="B4" s="2" t="s">
        <v>3</v>
      </c>
      <c r="C4" s="3" t="s">
        <v>4</v>
      </c>
      <c r="D4" s="2" t="s">
        <v>5</v>
      </c>
      <c r="E4" s="4">
        <v>48</v>
      </c>
      <c r="F4" s="5" t="s">
        <v>6</v>
      </c>
      <c r="G4" s="6">
        <v>192</v>
      </c>
      <c r="H4" s="7"/>
      <c r="I4" s="8"/>
    </row>
    <row r="5" spans="1:9" ht="13">
      <c r="A5" s="1" t="s">
        <v>7</v>
      </c>
      <c r="B5" s="2" t="s">
        <v>8</v>
      </c>
      <c r="C5" s="3" t="s">
        <v>9</v>
      </c>
      <c r="D5" s="2" t="s">
        <v>5</v>
      </c>
      <c r="E5" s="4">
        <v>48</v>
      </c>
      <c r="F5" s="5" t="s">
        <v>6</v>
      </c>
      <c r="G5" s="6">
        <v>180</v>
      </c>
      <c r="H5" s="7"/>
      <c r="I5" s="8"/>
    </row>
    <row r="6" spans="1:9" ht="13">
      <c r="A6" s="1" t="s">
        <v>10</v>
      </c>
      <c r="B6" s="9" t="s">
        <v>11</v>
      </c>
      <c r="C6" s="3" t="s">
        <v>9</v>
      </c>
      <c r="D6" s="2" t="s">
        <v>5</v>
      </c>
      <c r="E6" s="4">
        <v>48</v>
      </c>
      <c r="F6" s="5" t="s">
        <v>6</v>
      </c>
      <c r="G6" s="6">
        <v>180</v>
      </c>
      <c r="H6" s="7"/>
      <c r="I6" s="8"/>
    </row>
    <row r="7" spans="1:9" ht="13">
      <c r="A7" s="10" t="s">
        <v>12</v>
      </c>
      <c r="B7" s="9" t="s">
        <v>13</v>
      </c>
      <c r="C7" s="11" t="s">
        <v>14</v>
      </c>
      <c r="D7" s="2" t="s">
        <v>5</v>
      </c>
      <c r="E7" s="4">
        <v>48</v>
      </c>
      <c r="F7" s="5" t="s">
        <v>6</v>
      </c>
      <c r="G7" s="6">
        <v>156</v>
      </c>
      <c r="H7" s="7"/>
      <c r="I7" s="8"/>
    </row>
    <row r="8" spans="1:9" ht="13">
      <c r="A8" s="10" t="s">
        <v>15</v>
      </c>
      <c r="B8" s="9" t="s">
        <v>16</v>
      </c>
      <c r="C8" s="3" t="s">
        <v>17</v>
      </c>
      <c r="D8" s="2" t="s">
        <v>5</v>
      </c>
      <c r="E8" s="4">
        <v>48</v>
      </c>
      <c r="F8" s="5" t="s">
        <v>6</v>
      </c>
      <c r="G8" s="6">
        <v>156</v>
      </c>
      <c r="H8" s="12"/>
      <c r="I8" s="13"/>
    </row>
    <row r="9" spans="1:9" ht="13">
      <c r="A9" s="14" t="s">
        <v>18</v>
      </c>
      <c r="B9" s="2" t="s">
        <v>19</v>
      </c>
      <c r="C9" s="3" t="s">
        <v>20</v>
      </c>
      <c r="D9" s="2" t="s">
        <v>5</v>
      </c>
      <c r="E9" s="4">
        <v>48</v>
      </c>
      <c r="F9" s="5" t="s">
        <v>6</v>
      </c>
      <c r="G9" s="6">
        <v>156</v>
      </c>
      <c r="H9" s="7"/>
      <c r="I9" s="8"/>
    </row>
    <row r="10" spans="1:9" ht="13">
      <c r="A10" s="14" t="s">
        <v>21</v>
      </c>
      <c r="B10" s="2" t="s">
        <v>22</v>
      </c>
      <c r="C10" s="3" t="s">
        <v>23</v>
      </c>
      <c r="D10" s="2" t="s">
        <v>5</v>
      </c>
      <c r="E10" s="4">
        <v>48</v>
      </c>
      <c r="F10" s="5" t="s">
        <v>6</v>
      </c>
      <c r="G10" s="6">
        <v>192</v>
      </c>
      <c r="H10" s="7"/>
      <c r="I10" s="8"/>
    </row>
    <row r="11" spans="1:9" ht="13">
      <c r="A11" s="14" t="s">
        <v>24</v>
      </c>
      <c r="B11" s="2" t="s">
        <v>25</v>
      </c>
      <c r="C11" s="3" t="s">
        <v>26</v>
      </c>
      <c r="D11" s="2" t="s">
        <v>5</v>
      </c>
      <c r="E11" s="4">
        <v>48</v>
      </c>
      <c r="F11" s="5" t="s">
        <v>6</v>
      </c>
      <c r="G11" s="6">
        <v>156</v>
      </c>
      <c r="H11" s="12"/>
      <c r="I11" s="13"/>
    </row>
    <row r="12" spans="1:9" ht="23">
      <c r="A12" s="693" t="s">
        <v>27</v>
      </c>
      <c r="B12" s="689"/>
      <c r="C12" s="689"/>
      <c r="D12" s="689"/>
      <c r="E12" s="689"/>
      <c r="F12" s="689"/>
      <c r="G12" s="689"/>
      <c r="H12" s="689"/>
      <c r="I12" s="690"/>
    </row>
    <row r="13" spans="1:9" ht="18">
      <c r="A13" s="694" t="s">
        <v>28</v>
      </c>
      <c r="B13" s="689"/>
      <c r="C13" s="689"/>
      <c r="D13" s="689"/>
      <c r="E13" s="689"/>
      <c r="F13" s="689"/>
      <c r="G13" s="689"/>
      <c r="H13" s="689"/>
      <c r="I13" s="690"/>
    </row>
    <row r="14" spans="1:9" ht="13">
      <c r="A14" s="1" t="s">
        <v>29</v>
      </c>
      <c r="B14" s="2" t="s">
        <v>30</v>
      </c>
      <c r="C14" s="3" t="s">
        <v>31</v>
      </c>
      <c r="D14" s="2">
        <v>2023</v>
      </c>
      <c r="E14" s="4">
        <v>12</v>
      </c>
      <c r="F14" s="5" t="s">
        <v>32</v>
      </c>
      <c r="G14" s="6">
        <v>168</v>
      </c>
      <c r="H14" s="12"/>
      <c r="I14" s="13"/>
    </row>
    <row r="15" spans="1:9" ht="13">
      <c r="A15" s="14" t="s">
        <v>33</v>
      </c>
      <c r="B15" s="2" t="s">
        <v>34</v>
      </c>
      <c r="C15" s="3" t="s">
        <v>35</v>
      </c>
      <c r="D15" s="2">
        <v>2022</v>
      </c>
      <c r="E15" s="4">
        <v>12</v>
      </c>
      <c r="F15" s="5" t="s">
        <v>32</v>
      </c>
      <c r="G15" s="6">
        <v>168</v>
      </c>
      <c r="H15" s="12"/>
      <c r="I15" s="13"/>
    </row>
    <row r="16" spans="1:9" ht="23">
      <c r="A16" s="693" t="s">
        <v>36</v>
      </c>
      <c r="B16" s="689"/>
      <c r="C16" s="689"/>
      <c r="D16" s="689"/>
      <c r="E16" s="689"/>
      <c r="F16" s="689"/>
      <c r="G16" s="689"/>
      <c r="H16" s="689"/>
      <c r="I16" s="690"/>
    </row>
    <row r="17" spans="1:9" ht="18">
      <c r="A17" s="695" t="s">
        <v>37</v>
      </c>
      <c r="B17" s="689"/>
      <c r="C17" s="689"/>
      <c r="D17" s="689"/>
      <c r="E17" s="689"/>
      <c r="F17" s="689"/>
      <c r="G17" s="689"/>
      <c r="H17" s="689"/>
      <c r="I17" s="690"/>
    </row>
    <row r="18" spans="1:9" ht="13">
      <c r="A18" s="15" t="s">
        <v>38</v>
      </c>
      <c r="B18" s="16" t="s">
        <v>39</v>
      </c>
      <c r="C18" s="3" t="s">
        <v>40</v>
      </c>
      <c r="D18" s="2">
        <v>2022</v>
      </c>
      <c r="E18" s="4">
        <v>6</v>
      </c>
      <c r="F18" s="5" t="s">
        <v>32</v>
      </c>
      <c r="G18" s="6">
        <v>72</v>
      </c>
      <c r="H18" s="17"/>
      <c r="I18" s="18">
        <v>1</v>
      </c>
    </row>
    <row r="19" spans="1:9" ht="13">
      <c r="A19" s="15" t="s">
        <v>41</v>
      </c>
      <c r="B19" s="16" t="s">
        <v>42</v>
      </c>
      <c r="C19" s="3" t="s">
        <v>43</v>
      </c>
      <c r="D19" s="2">
        <v>2022</v>
      </c>
      <c r="E19" s="4">
        <v>6</v>
      </c>
      <c r="F19" s="5" t="s">
        <v>32</v>
      </c>
      <c r="G19" s="6">
        <v>99</v>
      </c>
      <c r="H19" s="17"/>
      <c r="I19" s="18">
        <v>1</v>
      </c>
    </row>
    <row r="20" spans="1:9" ht="13">
      <c r="A20" s="10" t="s">
        <v>44</v>
      </c>
      <c r="B20" s="16" t="s">
        <v>45</v>
      </c>
      <c r="C20" s="3" t="s">
        <v>46</v>
      </c>
      <c r="D20" s="2">
        <v>2022</v>
      </c>
      <c r="E20" s="4">
        <v>6</v>
      </c>
      <c r="F20" s="5" t="s">
        <v>32</v>
      </c>
      <c r="G20" s="6">
        <v>99</v>
      </c>
      <c r="H20" s="17"/>
      <c r="I20" s="19"/>
    </row>
    <row r="21" spans="1:9" ht="13">
      <c r="A21" s="20" t="s">
        <v>47</v>
      </c>
      <c r="B21" s="16" t="s">
        <v>48</v>
      </c>
      <c r="C21" s="3" t="s">
        <v>49</v>
      </c>
      <c r="D21" s="2">
        <v>2022</v>
      </c>
      <c r="E21" s="4">
        <v>6</v>
      </c>
      <c r="F21" s="5" t="s">
        <v>32</v>
      </c>
      <c r="G21" s="6">
        <v>105</v>
      </c>
      <c r="H21" s="17"/>
      <c r="I21" s="19"/>
    </row>
    <row r="22" spans="1:9" ht="13">
      <c r="A22" s="20" t="s">
        <v>50</v>
      </c>
      <c r="B22" s="16" t="s">
        <v>51</v>
      </c>
      <c r="C22" s="3" t="s">
        <v>52</v>
      </c>
      <c r="D22" s="2">
        <v>2021</v>
      </c>
      <c r="E22" s="4">
        <v>6</v>
      </c>
      <c r="F22" s="5" t="s">
        <v>32</v>
      </c>
      <c r="G22" s="6">
        <v>138</v>
      </c>
      <c r="H22" s="17"/>
      <c r="I22" s="18">
        <v>1</v>
      </c>
    </row>
    <row r="23" spans="1:9" ht="13">
      <c r="A23" s="20" t="s">
        <v>53</v>
      </c>
      <c r="B23" s="16" t="s">
        <v>54</v>
      </c>
      <c r="C23" s="3" t="s">
        <v>55</v>
      </c>
      <c r="D23" s="2">
        <v>2020</v>
      </c>
      <c r="E23" s="4">
        <v>6</v>
      </c>
      <c r="F23" s="5" t="s">
        <v>32</v>
      </c>
      <c r="G23" s="6">
        <v>138</v>
      </c>
      <c r="H23" s="17"/>
      <c r="I23" s="18">
        <v>1</v>
      </c>
    </row>
    <row r="24" spans="1:9" ht="26">
      <c r="A24" s="20" t="s">
        <v>56</v>
      </c>
      <c r="B24" s="16" t="s">
        <v>57</v>
      </c>
      <c r="C24" s="21" t="s">
        <v>58</v>
      </c>
      <c r="D24" s="2" t="s">
        <v>5</v>
      </c>
      <c r="E24" s="4">
        <v>6</v>
      </c>
      <c r="F24" s="5" t="s">
        <v>32</v>
      </c>
      <c r="G24" s="6">
        <v>96</v>
      </c>
      <c r="H24" s="17"/>
      <c r="I24" s="19"/>
    </row>
    <row r="25" spans="1:9" ht="13">
      <c r="A25" s="20" t="s">
        <v>59</v>
      </c>
      <c r="B25" s="22" t="s">
        <v>60</v>
      </c>
      <c r="C25" s="3" t="s">
        <v>61</v>
      </c>
      <c r="D25" s="2">
        <v>2020</v>
      </c>
      <c r="E25" s="4">
        <v>6</v>
      </c>
      <c r="F25" s="5" t="s">
        <v>32</v>
      </c>
      <c r="G25" s="6">
        <v>138</v>
      </c>
      <c r="H25" s="17"/>
      <c r="I25" s="18">
        <v>1</v>
      </c>
    </row>
    <row r="26" spans="1:9" ht="18">
      <c r="A26" s="694" t="s">
        <v>62</v>
      </c>
      <c r="B26" s="689"/>
      <c r="C26" s="689"/>
      <c r="D26" s="689"/>
      <c r="E26" s="689"/>
      <c r="F26" s="689"/>
      <c r="G26" s="689"/>
      <c r="H26" s="689"/>
      <c r="I26" s="690"/>
    </row>
    <row r="27" spans="1:9" ht="13">
      <c r="A27" s="15" t="s">
        <v>63</v>
      </c>
      <c r="B27" s="16" t="s">
        <v>64</v>
      </c>
      <c r="C27" s="3" t="s">
        <v>23</v>
      </c>
      <c r="D27" s="2">
        <v>2023</v>
      </c>
      <c r="E27" s="4">
        <v>6</v>
      </c>
      <c r="F27" s="5" t="s">
        <v>32</v>
      </c>
      <c r="G27" s="6">
        <v>114</v>
      </c>
      <c r="H27" s="12"/>
      <c r="I27" s="19"/>
    </row>
    <row r="28" spans="1:9" ht="13">
      <c r="A28" s="15" t="s">
        <v>65</v>
      </c>
      <c r="B28" s="16" t="s">
        <v>66</v>
      </c>
      <c r="C28" s="3" t="s">
        <v>67</v>
      </c>
      <c r="D28" s="2">
        <v>2023</v>
      </c>
      <c r="E28" s="4">
        <v>6</v>
      </c>
      <c r="F28" s="5" t="s">
        <v>32</v>
      </c>
      <c r="G28" s="6">
        <v>129</v>
      </c>
      <c r="H28" s="12"/>
      <c r="I28" s="19"/>
    </row>
    <row r="29" spans="1:9" ht="13">
      <c r="A29" s="10" t="s">
        <v>68</v>
      </c>
      <c r="B29" s="16" t="s">
        <v>69</v>
      </c>
      <c r="C29" s="3" t="s">
        <v>67</v>
      </c>
      <c r="D29" s="2">
        <v>2023</v>
      </c>
      <c r="E29" s="4">
        <v>6</v>
      </c>
      <c r="F29" s="5" t="s">
        <v>32</v>
      </c>
      <c r="G29" s="6">
        <v>147</v>
      </c>
      <c r="H29" s="23"/>
      <c r="I29" s="18">
        <v>1</v>
      </c>
    </row>
    <row r="30" spans="1:9" ht="13">
      <c r="A30" s="10" t="s">
        <v>70</v>
      </c>
      <c r="B30" s="16" t="s">
        <v>71</v>
      </c>
      <c r="C30" s="3" t="s">
        <v>61</v>
      </c>
      <c r="D30" s="2">
        <v>2023</v>
      </c>
      <c r="E30" s="4">
        <v>6</v>
      </c>
      <c r="F30" s="5" t="s">
        <v>32</v>
      </c>
      <c r="G30" s="6">
        <v>147</v>
      </c>
      <c r="H30" s="12"/>
      <c r="I30" s="19"/>
    </row>
    <row r="31" spans="1:9" ht="18">
      <c r="A31" s="694" t="s">
        <v>72</v>
      </c>
      <c r="B31" s="689"/>
      <c r="C31" s="689"/>
      <c r="D31" s="689"/>
      <c r="E31" s="689"/>
      <c r="F31" s="689"/>
      <c r="G31" s="689"/>
      <c r="H31" s="689"/>
      <c r="I31" s="690"/>
    </row>
    <row r="32" spans="1:9" ht="13">
      <c r="A32" s="20" t="s">
        <v>73</v>
      </c>
      <c r="B32" s="16" t="s">
        <v>74</v>
      </c>
      <c r="C32" s="24" t="s">
        <v>75</v>
      </c>
      <c r="D32" s="2">
        <v>2020</v>
      </c>
      <c r="E32" s="4">
        <v>6</v>
      </c>
      <c r="F32" s="5" t="s">
        <v>32</v>
      </c>
      <c r="G32" s="6">
        <v>102</v>
      </c>
      <c r="H32" s="17"/>
      <c r="I32" s="18">
        <v>1</v>
      </c>
    </row>
    <row r="33" spans="1:9" ht="13">
      <c r="A33" s="20" t="s">
        <v>76</v>
      </c>
      <c r="B33" s="16" t="s">
        <v>77</v>
      </c>
      <c r="C33" s="3" t="s">
        <v>78</v>
      </c>
      <c r="D33" s="2" t="s">
        <v>79</v>
      </c>
      <c r="E33" s="4">
        <v>6</v>
      </c>
      <c r="F33" s="5" t="s">
        <v>32</v>
      </c>
      <c r="G33" s="6">
        <v>120</v>
      </c>
      <c r="H33" s="17"/>
      <c r="I33" s="18">
        <v>1</v>
      </c>
    </row>
    <row r="34" spans="1:9" ht="13">
      <c r="A34" s="20" t="s">
        <v>80</v>
      </c>
      <c r="B34" s="16" t="s">
        <v>81</v>
      </c>
      <c r="C34" s="3" t="s">
        <v>78</v>
      </c>
      <c r="D34" s="2">
        <v>2020</v>
      </c>
      <c r="E34" s="4">
        <v>6</v>
      </c>
      <c r="F34" s="5" t="s">
        <v>32</v>
      </c>
      <c r="G34" s="6">
        <v>144</v>
      </c>
      <c r="H34" s="17"/>
      <c r="I34" s="18">
        <v>1</v>
      </c>
    </row>
    <row r="35" spans="1:9" ht="18">
      <c r="A35" s="692" t="s">
        <v>82</v>
      </c>
      <c r="B35" s="689"/>
      <c r="C35" s="689"/>
      <c r="D35" s="689"/>
      <c r="E35" s="689"/>
      <c r="F35" s="689"/>
      <c r="G35" s="689"/>
      <c r="H35" s="689"/>
      <c r="I35" s="690"/>
    </row>
    <row r="36" spans="1:9" ht="13">
      <c r="A36" s="15" t="s">
        <v>83</v>
      </c>
      <c r="B36" s="16" t="s">
        <v>84</v>
      </c>
      <c r="C36" s="3" t="s">
        <v>85</v>
      </c>
      <c r="D36" s="2">
        <v>2024</v>
      </c>
      <c r="E36" s="4">
        <v>6</v>
      </c>
      <c r="F36" s="5" t="s">
        <v>32</v>
      </c>
      <c r="G36" s="6">
        <v>168</v>
      </c>
      <c r="H36" s="17"/>
      <c r="I36" s="19"/>
    </row>
    <row r="37" spans="1:9" ht="13">
      <c r="A37" s="25" t="s">
        <v>86</v>
      </c>
      <c r="B37" s="16" t="s">
        <v>87</v>
      </c>
      <c r="C37" s="3" t="s">
        <v>88</v>
      </c>
      <c r="D37" s="2">
        <v>2024</v>
      </c>
      <c r="E37" s="4">
        <v>6</v>
      </c>
      <c r="F37" s="5" t="s">
        <v>32</v>
      </c>
      <c r="G37" s="6">
        <v>159</v>
      </c>
      <c r="H37" s="17"/>
      <c r="I37" s="19"/>
    </row>
    <row r="38" spans="1:9" ht="13">
      <c r="A38" s="25" t="s">
        <v>89</v>
      </c>
      <c r="B38" s="16" t="s">
        <v>90</v>
      </c>
      <c r="C38" s="3" t="s">
        <v>91</v>
      </c>
      <c r="D38" s="2">
        <v>2024</v>
      </c>
      <c r="E38" s="4">
        <v>6</v>
      </c>
      <c r="F38" s="5" t="s">
        <v>32</v>
      </c>
      <c r="G38" s="6">
        <v>168</v>
      </c>
      <c r="H38" s="17"/>
      <c r="I38" s="19"/>
    </row>
    <row r="39" spans="1:9" ht="13">
      <c r="A39" s="25" t="s">
        <v>92</v>
      </c>
      <c r="B39" s="16" t="s">
        <v>93</v>
      </c>
      <c r="C39" s="3" t="s">
        <v>67</v>
      </c>
      <c r="D39" s="2">
        <v>2024</v>
      </c>
      <c r="E39" s="4">
        <v>6</v>
      </c>
      <c r="F39" s="5" t="s">
        <v>32</v>
      </c>
      <c r="G39" s="6">
        <v>171</v>
      </c>
      <c r="H39" s="17"/>
      <c r="I39" s="19"/>
    </row>
    <row r="40" spans="1:9" ht="13">
      <c r="A40" s="14" t="s">
        <v>94</v>
      </c>
      <c r="B40" s="16" t="s">
        <v>95</v>
      </c>
      <c r="C40" s="3" t="s">
        <v>96</v>
      </c>
      <c r="D40" s="2">
        <v>2024</v>
      </c>
      <c r="E40" s="4">
        <v>6</v>
      </c>
      <c r="F40" s="5" t="s">
        <v>32</v>
      </c>
      <c r="G40" s="6">
        <v>171</v>
      </c>
      <c r="H40" s="17"/>
      <c r="I40" s="19"/>
    </row>
    <row r="41" spans="1:9" ht="13">
      <c r="A41" s="20" t="s">
        <v>97</v>
      </c>
      <c r="B41" s="16" t="s">
        <v>98</v>
      </c>
      <c r="C41" s="3"/>
      <c r="D41" s="2">
        <v>2024</v>
      </c>
      <c r="E41" s="4">
        <v>6</v>
      </c>
      <c r="F41" s="5" t="s">
        <v>32</v>
      </c>
      <c r="G41" s="6">
        <v>195</v>
      </c>
      <c r="H41" s="17"/>
      <c r="I41" s="19"/>
    </row>
    <row r="42" spans="1:9" ht="23">
      <c r="A42" s="693" t="s">
        <v>99</v>
      </c>
      <c r="B42" s="689"/>
      <c r="C42" s="689"/>
      <c r="D42" s="689"/>
      <c r="E42" s="689"/>
      <c r="F42" s="689"/>
      <c r="G42" s="689"/>
      <c r="H42" s="689"/>
      <c r="I42" s="690"/>
    </row>
    <row r="43" spans="1:9" ht="18">
      <c r="A43" s="692" t="s">
        <v>100</v>
      </c>
      <c r="B43" s="689"/>
      <c r="C43" s="689"/>
      <c r="D43" s="689"/>
      <c r="E43" s="689"/>
      <c r="F43" s="689"/>
      <c r="G43" s="689"/>
      <c r="H43" s="689"/>
      <c r="I43" s="690"/>
    </row>
    <row r="44" spans="1:9" ht="13">
      <c r="A44" s="15" t="s">
        <v>101</v>
      </c>
      <c r="B44" s="16" t="s">
        <v>102</v>
      </c>
      <c r="C44" s="3" t="s">
        <v>103</v>
      </c>
      <c r="D44" s="2">
        <v>2024</v>
      </c>
      <c r="E44" s="4">
        <v>12</v>
      </c>
      <c r="F44" s="5" t="s">
        <v>32</v>
      </c>
      <c r="G44" s="6">
        <v>174</v>
      </c>
      <c r="H44" s="26"/>
      <c r="I44" s="18">
        <v>1</v>
      </c>
    </row>
    <row r="45" spans="1:9" ht="13">
      <c r="A45" s="27" t="s">
        <v>104</v>
      </c>
      <c r="B45" s="16" t="s">
        <v>105</v>
      </c>
      <c r="C45" s="3" t="s">
        <v>106</v>
      </c>
      <c r="D45" s="2">
        <v>2024</v>
      </c>
      <c r="E45" s="4">
        <v>12</v>
      </c>
      <c r="F45" s="5" t="s">
        <v>32</v>
      </c>
      <c r="G45" s="6">
        <v>174</v>
      </c>
      <c r="H45" s="26"/>
      <c r="I45" s="18">
        <v>1</v>
      </c>
    </row>
    <row r="46" spans="1:9" ht="13">
      <c r="A46" s="14" t="s">
        <v>107</v>
      </c>
      <c r="B46" s="16" t="s">
        <v>108</v>
      </c>
      <c r="C46" s="3" t="s">
        <v>88</v>
      </c>
      <c r="D46" s="2">
        <v>2024</v>
      </c>
      <c r="E46" s="4">
        <v>12</v>
      </c>
      <c r="F46" s="5" t="s">
        <v>32</v>
      </c>
      <c r="G46" s="6">
        <v>204</v>
      </c>
      <c r="H46" s="26"/>
      <c r="I46" s="18">
        <v>1</v>
      </c>
    </row>
    <row r="47" spans="1:9" ht="13">
      <c r="A47" s="20" t="s">
        <v>109</v>
      </c>
      <c r="B47" s="16" t="s">
        <v>110</v>
      </c>
      <c r="C47" s="3" t="s">
        <v>111</v>
      </c>
      <c r="D47" s="2">
        <v>2024</v>
      </c>
      <c r="E47" s="4">
        <v>12</v>
      </c>
      <c r="F47" s="5" t="s">
        <v>32</v>
      </c>
      <c r="G47" s="6">
        <v>168</v>
      </c>
      <c r="H47" s="26"/>
      <c r="I47" s="18">
        <v>1</v>
      </c>
    </row>
    <row r="48" spans="1:9" ht="13">
      <c r="A48" s="20" t="s">
        <v>112</v>
      </c>
      <c r="B48" s="16" t="s">
        <v>113</v>
      </c>
      <c r="C48" s="3" t="s">
        <v>114</v>
      </c>
      <c r="D48" s="2">
        <v>2024</v>
      </c>
      <c r="E48" s="4">
        <v>12</v>
      </c>
      <c r="F48" s="5" t="s">
        <v>32</v>
      </c>
      <c r="G48" s="6">
        <v>138</v>
      </c>
      <c r="H48" s="26"/>
      <c r="I48" s="18">
        <v>1</v>
      </c>
    </row>
    <row r="49" spans="1:9" ht="18">
      <c r="A49" s="696" t="s">
        <v>115</v>
      </c>
      <c r="B49" s="689"/>
      <c r="C49" s="689"/>
      <c r="D49" s="689"/>
      <c r="E49" s="689"/>
      <c r="F49" s="689"/>
      <c r="G49" s="689"/>
      <c r="H49" s="689"/>
      <c r="I49" s="690"/>
    </row>
    <row r="50" spans="1:9" ht="13">
      <c r="A50" s="15" t="s">
        <v>116</v>
      </c>
      <c r="B50" s="5" t="s">
        <v>117</v>
      </c>
      <c r="C50" s="28" t="s">
        <v>118</v>
      </c>
      <c r="D50" s="5">
        <v>2023</v>
      </c>
      <c r="E50" s="4">
        <v>12</v>
      </c>
      <c r="F50" s="5" t="s">
        <v>32</v>
      </c>
      <c r="G50" s="29">
        <v>186</v>
      </c>
      <c r="H50" s="23"/>
      <c r="I50" s="30"/>
    </row>
    <row r="51" spans="1:9" ht="13">
      <c r="A51" s="14" t="s">
        <v>119</v>
      </c>
      <c r="B51" s="2" t="s">
        <v>120</v>
      </c>
      <c r="C51" s="28" t="s">
        <v>96</v>
      </c>
      <c r="D51" s="5">
        <v>2022</v>
      </c>
      <c r="E51" s="4">
        <v>12</v>
      </c>
      <c r="F51" s="5" t="s">
        <v>32</v>
      </c>
      <c r="G51" s="6">
        <v>156</v>
      </c>
      <c r="H51" s="23"/>
      <c r="I51" s="18"/>
    </row>
    <row r="52" spans="1:9" ht="13">
      <c r="A52" s="14" t="s">
        <v>121</v>
      </c>
      <c r="B52" s="2" t="s">
        <v>122</v>
      </c>
      <c r="C52" s="28" t="s">
        <v>123</v>
      </c>
      <c r="D52" s="2">
        <v>2023</v>
      </c>
      <c r="E52" s="4">
        <v>12</v>
      </c>
      <c r="F52" s="5" t="s">
        <v>32</v>
      </c>
      <c r="G52" s="6">
        <v>168</v>
      </c>
      <c r="H52" s="26"/>
      <c r="I52" s="18">
        <v>1</v>
      </c>
    </row>
    <row r="53" spans="1:9" ht="13">
      <c r="A53" s="14" t="s">
        <v>124</v>
      </c>
      <c r="B53" s="2" t="s">
        <v>122</v>
      </c>
      <c r="C53" s="28" t="s">
        <v>123</v>
      </c>
      <c r="D53" s="2">
        <v>2022</v>
      </c>
      <c r="E53" s="4">
        <v>12</v>
      </c>
      <c r="F53" s="5" t="s">
        <v>32</v>
      </c>
      <c r="G53" s="6">
        <v>168</v>
      </c>
      <c r="H53" s="31"/>
      <c r="I53" s="18">
        <v>1</v>
      </c>
    </row>
    <row r="54" spans="1:9" ht="13">
      <c r="A54" s="14" t="s">
        <v>125</v>
      </c>
      <c r="B54" s="2" t="s">
        <v>126</v>
      </c>
      <c r="C54" s="28" t="s">
        <v>127</v>
      </c>
      <c r="D54" s="2">
        <v>2023</v>
      </c>
      <c r="E54" s="4">
        <v>12</v>
      </c>
      <c r="F54" s="5" t="s">
        <v>32</v>
      </c>
      <c r="G54" s="6">
        <v>156</v>
      </c>
      <c r="H54" s="26"/>
      <c r="I54" s="32"/>
    </row>
    <row r="55" spans="1:9" ht="13">
      <c r="A55" s="14" t="s">
        <v>128</v>
      </c>
      <c r="B55" s="2" t="s">
        <v>129</v>
      </c>
      <c r="C55" s="28" t="s">
        <v>61</v>
      </c>
      <c r="D55" s="2">
        <v>2015</v>
      </c>
      <c r="E55" s="4">
        <v>12</v>
      </c>
      <c r="F55" s="5" t="s">
        <v>32</v>
      </c>
      <c r="G55" s="6">
        <v>192</v>
      </c>
      <c r="H55" s="33"/>
      <c r="I55" s="30"/>
    </row>
    <row r="56" spans="1:9" ht="18">
      <c r="A56" s="694" t="s">
        <v>130</v>
      </c>
      <c r="B56" s="689"/>
      <c r="C56" s="689"/>
      <c r="D56" s="689"/>
      <c r="E56" s="689"/>
      <c r="F56" s="689"/>
      <c r="G56" s="689"/>
      <c r="H56" s="689"/>
      <c r="I56" s="690"/>
    </row>
    <row r="57" spans="1:9" ht="13">
      <c r="A57" s="1" t="s">
        <v>131</v>
      </c>
      <c r="B57" s="2" t="s">
        <v>132</v>
      </c>
      <c r="C57" s="28" t="s">
        <v>133</v>
      </c>
      <c r="D57" s="2">
        <v>2023</v>
      </c>
      <c r="E57" s="4">
        <v>12</v>
      </c>
      <c r="F57" s="5" t="s">
        <v>32</v>
      </c>
      <c r="G57" s="34">
        <v>180</v>
      </c>
      <c r="H57" s="26"/>
      <c r="I57" s="32"/>
    </row>
    <row r="58" spans="1:9" ht="13">
      <c r="A58" s="35" t="s">
        <v>134</v>
      </c>
      <c r="B58" s="2" t="s">
        <v>135</v>
      </c>
      <c r="C58" s="28" t="s">
        <v>136</v>
      </c>
      <c r="D58" s="2">
        <v>2023</v>
      </c>
      <c r="E58" s="4">
        <v>12</v>
      </c>
      <c r="F58" s="5" t="s">
        <v>32</v>
      </c>
      <c r="G58" s="34">
        <v>168</v>
      </c>
      <c r="H58" s="26"/>
      <c r="I58" s="32"/>
    </row>
    <row r="59" spans="1:9" ht="13">
      <c r="A59" s="14" t="s">
        <v>137</v>
      </c>
      <c r="B59" s="2" t="s">
        <v>138</v>
      </c>
      <c r="C59" s="28" t="s">
        <v>61</v>
      </c>
      <c r="D59" s="2">
        <v>2023</v>
      </c>
      <c r="E59" s="4">
        <v>12</v>
      </c>
      <c r="F59" s="5" t="s">
        <v>32</v>
      </c>
      <c r="G59" s="34">
        <v>156</v>
      </c>
      <c r="H59" s="36"/>
      <c r="I59" s="18"/>
    </row>
    <row r="60" spans="1:9" ht="13">
      <c r="A60" s="14" t="s">
        <v>139</v>
      </c>
      <c r="B60" s="2" t="s">
        <v>140</v>
      </c>
      <c r="C60" s="28" t="s">
        <v>52</v>
      </c>
      <c r="D60" s="2">
        <v>2023</v>
      </c>
      <c r="E60" s="4">
        <v>12</v>
      </c>
      <c r="F60" s="5" t="s">
        <v>32</v>
      </c>
      <c r="G60" s="34">
        <v>168</v>
      </c>
      <c r="H60" s="26"/>
      <c r="I60" s="32"/>
    </row>
    <row r="61" spans="1:9" ht="23">
      <c r="A61" s="693" t="s">
        <v>141</v>
      </c>
      <c r="B61" s="689"/>
      <c r="C61" s="689"/>
      <c r="D61" s="689"/>
      <c r="E61" s="689"/>
      <c r="F61" s="689"/>
      <c r="G61" s="689"/>
      <c r="H61" s="689"/>
      <c r="I61" s="690"/>
    </row>
    <row r="62" spans="1:9" ht="18">
      <c r="A62" s="697" t="s">
        <v>142</v>
      </c>
      <c r="B62" s="689"/>
      <c r="C62" s="689"/>
      <c r="D62" s="689"/>
      <c r="E62" s="689"/>
      <c r="F62" s="689"/>
      <c r="G62" s="689"/>
      <c r="H62" s="689"/>
      <c r="I62" s="690"/>
    </row>
    <row r="63" spans="1:9" ht="13">
      <c r="A63" s="37" t="s">
        <v>143</v>
      </c>
      <c r="B63" s="5" t="s">
        <v>144</v>
      </c>
      <c r="C63" s="28" t="s">
        <v>52</v>
      </c>
      <c r="D63" s="2">
        <v>2023</v>
      </c>
      <c r="E63" s="4">
        <v>6</v>
      </c>
      <c r="F63" s="5" t="s">
        <v>32</v>
      </c>
      <c r="G63" s="6">
        <v>63</v>
      </c>
      <c r="H63" s="33"/>
      <c r="I63" s="30"/>
    </row>
    <row r="64" spans="1:9" ht="13">
      <c r="A64" s="14" t="s">
        <v>145</v>
      </c>
      <c r="B64" s="5" t="s">
        <v>146</v>
      </c>
      <c r="C64" s="28" t="s">
        <v>23</v>
      </c>
      <c r="D64" s="2">
        <v>2023</v>
      </c>
      <c r="E64" s="4">
        <v>6</v>
      </c>
      <c r="F64" s="5" t="s">
        <v>32</v>
      </c>
      <c r="G64" s="6">
        <v>72</v>
      </c>
      <c r="H64" s="33"/>
      <c r="I64" s="32"/>
    </row>
    <row r="65" spans="1:9" ht="13">
      <c r="A65" s="14" t="s">
        <v>147</v>
      </c>
      <c r="B65" s="5" t="s">
        <v>148</v>
      </c>
      <c r="C65" s="28" t="s">
        <v>149</v>
      </c>
      <c r="D65" s="2">
        <v>2023</v>
      </c>
      <c r="E65" s="4">
        <v>6</v>
      </c>
      <c r="F65" s="5" t="s">
        <v>32</v>
      </c>
      <c r="G65" s="6">
        <v>75</v>
      </c>
      <c r="H65" s="33"/>
      <c r="I65" s="32"/>
    </row>
    <row r="66" spans="1:9" ht="13">
      <c r="A66" s="25" t="s">
        <v>150</v>
      </c>
      <c r="B66" s="5" t="s">
        <v>151</v>
      </c>
      <c r="C66" s="28" t="s">
        <v>152</v>
      </c>
      <c r="D66" s="2">
        <v>2023</v>
      </c>
      <c r="E66" s="4">
        <v>6</v>
      </c>
      <c r="F66" s="5" t="s">
        <v>32</v>
      </c>
      <c r="G66" s="29">
        <v>72</v>
      </c>
      <c r="H66" s="33"/>
      <c r="I66" s="30"/>
    </row>
    <row r="67" spans="1:9" ht="13">
      <c r="A67" s="14" t="s">
        <v>153</v>
      </c>
      <c r="B67" s="5" t="s">
        <v>154</v>
      </c>
      <c r="C67" s="28" t="s">
        <v>155</v>
      </c>
      <c r="D67" s="2">
        <v>2022</v>
      </c>
      <c r="E67" s="4">
        <v>6</v>
      </c>
      <c r="F67" s="5" t="s">
        <v>32</v>
      </c>
      <c r="G67" s="6">
        <v>93</v>
      </c>
      <c r="H67" s="33"/>
      <c r="I67" s="32"/>
    </row>
    <row r="68" spans="1:9" ht="18">
      <c r="A68" s="694" t="s">
        <v>156</v>
      </c>
      <c r="B68" s="689"/>
      <c r="C68" s="689"/>
      <c r="D68" s="689"/>
      <c r="E68" s="689"/>
      <c r="F68" s="689"/>
      <c r="G68" s="689"/>
      <c r="H68" s="689"/>
      <c r="I68" s="690"/>
    </row>
    <row r="69" spans="1:9" ht="13">
      <c r="A69" s="1" t="s">
        <v>157</v>
      </c>
      <c r="B69" s="5" t="s">
        <v>158</v>
      </c>
      <c r="C69" s="28" t="s">
        <v>159</v>
      </c>
      <c r="D69" s="2">
        <v>2023</v>
      </c>
      <c r="E69" s="4">
        <v>12</v>
      </c>
      <c r="F69" s="5" t="s">
        <v>32</v>
      </c>
      <c r="G69" s="6">
        <v>222</v>
      </c>
      <c r="H69" s="26"/>
      <c r="I69" s="32"/>
    </row>
    <row r="70" spans="1:9" ht="13">
      <c r="A70" s="1" t="s">
        <v>160</v>
      </c>
      <c r="B70" s="5" t="s">
        <v>161</v>
      </c>
      <c r="C70" s="28" t="s">
        <v>162</v>
      </c>
      <c r="D70" s="2">
        <v>2023</v>
      </c>
      <c r="E70" s="4">
        <v>12</v>
      </c>
      <c r="F70" s="5" t="s">
        <v>32</v>
      </c>
      <c r="G70" s="6">
        <v>186</v>
      </c>
      <c r="H70" s="26"/>
      <c r="I70" s="30"/>
    </row>
    <row r="71" spans="1:9" ht="13">
      <c r="A71" s="1" t="s">
        <v>163</v>
      </c>
      <c r="B71" s="5" t="s">
        <v>164</v>
      </c>
      <c r="C71" s="28" t="s">
        <v>165</v>
      </c>
      <c r="D71" s="2">
        <v>2023</v>
      </c>
      <c r="E71" s="4">
        <v>12</v>
      </c>
      <c r="F71" s="5" t="s">
        <v>32</v>
      </c>
      <c r="G71" s="6">
        <v>210</v>
      </c>
      <c r="H71" s="26"/>
      <c r="I71" s="30"/>
    </row>
    <row r="72" spans="1:9" ht="13">
      <c r="A72" s="1" t="s">
        <v>166</v>
      </c>
      <c r="B72" s="5" t="s">
        <v>164</v>
      </c>
      <c r="C72" s="28" t="s">
        <v>167</v>
      </c>
      <c r="D72" s="2">
        <v>2022</v>
      </c>
      <c r="E72" s="4">
        <v>12</v>
      </c>
      <c r="F72" s="5" t="s">
        <v>32</v>
      </c>
      <c r="G72" s="6">
        <v>210</v>
      </c>
      <c r="H72" s="38"/>
      <c r="I72" s="32"/>
    </row>
    <row r="73" spans="1:9" ht="13">
      <c r="A73" s="1" t="s">
        <v>168</v>
      </c>
      <c r="B73" s="5" t="s">
        <v>169</v>
      </c>
      <c r="C73" s="28" t="s">
        <v>170</v>
      </c>
      <c r="D73" s="2">
        <v>2023</v>
      </c>
      <c r="E73" s="4">
        <v>12</v>
      </c>
      <c r="F73" s="5" t="s">
        <v>32</v>
      </c>
      <c r="G73" s="6">
        <v>156</v>
      </c>
      <c r="H73" s="26"/>
      <c r="I73" s="30"/>
    </row>
    <row r="74" spans="1:9" ht="13">
      <c r="A74" s="39" t="s">
        <v>171</v>
      </c>
      <c r="B74" s="5" t="s">
        <v>172</v>
      </c>
      <c r="C74" s="28" t="s">
        <v>173</v>
      </c>
      <c r="D74" s="2">
        <v>2023</v>
      </c>
      <c r="E74" s="4">
        <v>12</v>
      </c>
      <c r="F74" s="5" t="s">
        <v>32</v>
      </c>
      <c r="G74" s="29">
        <v>144</v>
      </c>
      <c r="H74" s="26"/>
      <c r="I74" s="30"/>
    </row>
    <row r="75" spans="1:9" ht="13">
      <c r="A75" s="14" t="s">
        <v>174</v>
      </c>
      <c r="B75" s="5" t="s">
        <v>175</v>
      </c>
      <c r="C75" s="28" t="s">
        <v>176</v>
      </c>
      <c r="D75" s="2">
        <v>2023</v>
      </c>
      <c r="E75" s="4">
        <v>12</v>
      </c>
      <c r="F75" s="5" t="s">
        <v>32</v>
      </c>
      <c r="G75" s="6">
        <v>144</v>
      </c>
      <c r="H75" s="26"/>
      <c r="I75" s="30"/>
    </row>
    <row r="76" spans="1:9" ht="13">
      <c r="A76" s="14" t="s">
        <v>177</v>
      </c>
      <c r="B76" s="5" t="s">
        <v>178</v>
      </c>
      <c r="C76" s="28" t="s">
        <v>179</v>
      </c>
      <c r="D76" s="2">
        <v>2023</v>
      </c>
      <c r="E76" s="4">
        <v>12</v>
      </c>
      <c r="F76" s="5" t="s">
        <v>32</v>
      </c>
      <c r="G76" s="6">
        <v>156</v>
      </c>
      <c r="H76" s="26"/>
      <c r="I76" s="32"/>
    </row>
    <row r="77" spans="1:9" ht="13">
      <c r="A77" s="14" t="s">
        <v>180</v>
      </c>
      <c r="B77" s="5" t="s">
        <v>181</v>
      </c>
      <c r="C77" s="28" t="s">
        <v>179</v>
      </c>
      <c r="D77" s="2">
        <v>2022</v>
      </c>
      <c r="E77" s="4">
        <v>12</v>
      </c>
      <c r="F77" s="5" t="s">
        <v>32</v>
      </c>
      <c r="G77" s="6">
        <v>186</v>
      </c>
      <c r="H77" s="26"/>
      <c r="I77" s="18"/>
    </row>
    <row r="78" spans="1:9" ht="13">
      <c r="A78" s="14" t="s">
        <v>182</v>
      </c>
      <c r="B78" s="5" t="s">
        <v>183</v>
      </c>
      <c r="C78" s="28" t="s">
        <v>61</v>
      </c>
      <c r="D78" s="2">
        <v>2023</v>
      </c>
      <c r="E78" s="4">
        <v>12</v>
      </c>
      <c r="F78" s="5" t="s">
        <v>32</v>
      </c>
      <c r="G78" s="6">
        <v>228</v>
      </c>
      <c r="H78" s="26"/>
      <c r="I78" s="30"/>
    </row>
    <row r="79" spans="1:9" ht="18">
      <c r="A79" s="694" t="s">
        <v>184</v>
      </c>
      <c r="B79" s="689"/>
      <c r="C79" s="689"/>
      <c r="D79" s="689"/>
      <c r="E79" s="689"/>
      <c r="F79" s="689"/>
      <c r="G79" s="689"/>
      <c r="H79" s="689"/>
      <c r="I79" s="690"/>
    </row>
    <row r="80" spans="1:9" ht="13">
      <c r="A80" s="1" t="s">
        <v>185</v>
      </c>
      <c r="B80" s="2" t="s">
        <v>186</v>
      </c>
      <c r="C80" s="28" t="s">
        <v>187</v>
      </c>
      <c r="D80" s="5">
        <v>2023</v>
      </c>
      <c r="E80" s="4">
        <v>12</v>
      </c>
      <c r="F80" s="5" t="s">
        <v>32</v>
      </c>
      <c r="G80" s="34">
        <v>168</v>
      </c>
      <c r="H80" s="36"/>
      <c r="I80" s="18"/>
    </row>
    <row r="81" spans="1:9" ht="13">
      <c r="A81" s="40" t="s">
        <v>188</v>
      </c>
      <c r="B81" s="5" t="s">
        <v>189</v>
      </c>
      <c r="C81" s="28" t="s">
        <v>190</v>
      </c>
      <c r="D81" s="5">
        <v>2023</v>
      </c>
      <c r="E81" s="4">
        <v>12</v>
      </c>
      <c r="F81" s="5" t="s">
        <v>32</v>
      </c>
      <c r="G81" s="41">
        <v>138</v>
      </c>
      <c r="H81" s="42" t="s">
        <v>191</v>
      </c>
      <c r="I81" s="19"/>
    </row>
    <row r="82" spans="1:9" ht="13">
      <c r="A82" s="25" t="s">
        <v>192</v>
      </c>
      <c r="B82" s="5" t="s">
        <v>193</v>
      </c>
      <c r="C82" s="28" t="s">
        <v>194</v>
      </c>
      <c r="D82" s="5">
        <v>2021</v>
      </c>
      <c r="E82" s="4">
        <v>12</v>
      </c>
      <c r="F82" s="5" t="s">
        <v>32</v>
      </c>
      <c r="G82" s="41">
        <v>120</v>
      </c>
      <c r="H82" s="12"/>
      <c r="I82" s="18">
        <v>1</v>
      </c>
    </row>
    <row r="83" spans="1:9" ht="13">
      <c r="A83" s="25" t="s">
        <v>195</v>
      </c>
      <c r="B83" s="5" t="s">
        <v>193</v>
      </c>
      <c r="C83" s="28" t="s">
        <v>194</v>
      </c>
      <c r="D83" s="5">
        <v>2022</v>
      </c>
      <c r="E83" s="4">
        <v>12</v>
      </c>
      <c r="F83" s="5" t="s">
        <v>32</v>
      </c>
      <c r="G83" s="41">
        <v>120</v>
      </c>
      <c r="H83" s="12"/>
      <c r="I83" s="18">
        <v>1</v>
      </c>
    </row>
    <row r="84" spans="1:9" ht="13">
      <c r="A84" s="14" t="s">
        <v>196</v>
      </c>
      <c r="B84" s="2" t="s">
        <v>197</v>
      </c>
      <c r="C84" s="28" t="s">
        <v>96</v>
      </c>
      <c r="D84" s="5">
        <v>2022</v>
      </c>
      <c r="E84" s="4">
        <v>12</v>
      </c>
      <c r="F84" s="5" t="s">
        <v>32</v>
      </c>
      <c r="G84" s="6">
        <v>120</v>
      </c>
      <c r="H84" s="7"/>
      <c r="I84" s="18">
        <v>1</v>
      </c>
    </row>
    <row r="85" spans="1:9" ht="13">
      <c r="A85" s="25" t="s">
        <v>198</v>
      </c>
      <c r="B85" s="43" t="s">
        <v>199</v>
      </c>
      <c r="C85" s="28" t="s">
        <v>200</v>
      </c>
      <c r="D85" s="5">
        <v>2023</v>
      </c>
      <c r="E85" s="4">
        <v>12</v>
      </c>
      <c r="F85" s="5" t="s">
        <v>32</v>
      </c>
      <c r="G85" s="29">
        <v>162</v>
      </c>
      <c r="H85" s="7"/>
      <c r="I85" s="19"/>
    </row>
    <row r="86" spans="1:9" ht="13">
      <c r="A86" s="25" t="s">
        <v>201</v>
      </c>
      <c r="B86" s="5" t="s">
        <v>202</v>
      </c>
      <c r="C86" s="28" t="s">
        <v>114</v>
      </c>
      <c r="D86" s="5">
        <v>2016</v>
      </c>
      <c r="E86" s="4">
        <v>12</v>
      </c>
      <c r="F86" s="5" t="s">
        <v>32</v>
      </c>
      <c r="G86" s="29">
        <v>246</v>
      </c>
      <c r="H86" s="44"/>
      <c r="I86" s="30"/>
    </row>
    <row r="87" spans="1:9" ht="13">
      <c r="A87" s="25" t="s">
        <v>203</v>
      </c>
      <c r="B87" s="5" t="s">
        <v>204</v>
      </c>
      <c r="C87" s="28" t="s">
        <v>67</v>
      </c>
      <c r="D87" s="5">
        <v>2019</v>
      </c>
      <c r="E87" s="4">
        <v>12</v>
      </c>
      <c r="F87" s="5" t="s">
        <v>32</v>
      </c>
      <c r="G87" s="29">
        <v>366</v>
      </c>
      <c r="H87" s="12"/>
      <c r="I87" s="30"/>
    </row>
    <row r="88" spans="1:9" ht="18">
      <c r="A88" s="694" t="s">
        <v>205</v>
      </c>
      <c r="B88" s="689"/>
      <c r="C88" s="689"/>
      <c r="D88" s="689"/>
      <c r="E88" s="689"/>
      <c r="F88" s="689"/>
      <c r="G88" s="689"/>
      <c r="H88" s="689"/>
      <c r="I88" s="690"/>
    </row>
    <row r="89" spans="1:9" ht="13">
      <c r="A89" s="15" t="s">
        <v>206</v>
      </c>
      <c r="B89" s="5" t="s">
        <v>207</v>
      </c>
      <c r="C89" s="28" t="s">
        <v>208</v>
      </c>
      <c r="D89" s="5">
        <v>2024</v>
      </c>
      <c r="E89" s="4">
        <v>12</v>
      </c>
      <c r="F89" s="5" t="s">
        <v>32</v>
      </c>
      <c r="G89" s="41">
        <v>120</v>
      </c>
      <c r="H89" s="36"/>
      <c r="I89" s="32"/>
    </row>
    <row r="90" spans="1:9" ht="13">
      <c r="A90" s="10" t="s">
        <v>209</v>
      </c>
      <c r="B90" s="5" t="s">
        <v>210</v>
      </c>
      <c r="C90" s="28" t="s">
        <v>211</v>
      </c>
      <c r="D90" s="2">
        <v>2023</v>
      </c>
      <c r="E90" s="4">
        <v>12</v>
      </c>
      <c r="F90" s="5" t="s">
        <v>32</v>
      </c>
      <c r="G90" s="6">
        <v>162</v>
      </c>
      <c r="H90" s="36"/>
      <c r="I90" s="19"/>
    </row>
    <row r="91" spans="1:9" ht="13">
      <c r="A91" s="37" t="s">
        <v>212</v>
      </c>
      <c r="B91" s="5" t="s">
        <v>213</v>
      </c>
      <c r="C91" s="28" t="s">
        <v>214</v>
      </c>
      <c r="D91" s="5">
        <v>2024</v>
      </c>
      <c r="E91" s="4">
        <v>12</v>
      </c>
      <c r="F91" s="5" t="s">
        <v>32</v>
      </c>
      <c r="G91" s="6">
        <v>96</v>
      </c>
      <c r="H91" s="36"/>
      <c r="I91" s="32"/>
    </row>
    <row r="92" spans="1:9" ht="13">
      <c r="A92" s="14" t="s">
        <v>215</v>
      </c>
      <c r="B92" s="43" t="s">
        <v>216</v>
      </c>
      <c r="C92" s="28" t="s">
        <v>217</v>
      </c>
      <c r="D92" s="5">
        <v>2023</v>
      </c>
      <c r="E92" s="4">
        <v>12</v>
      </c>
      <c r="F92" s="5" t="s">
        <v>32</v>
      </c>
      <c r="G92" s="34">
        <v>108</v>
      </c>
      <c r="H92" s="36"/>
      <c r="I92" s="18"/>
    </row>
    <row r="93" spans="1:9" ht="13">
      <c r="A93" s="14" t="s">
        <v>218</v>
      </c>
      <c r="B93" s="5" t="s">
        <v>219</v>
      </c>
      <c r="C93" s="28" t="s">
        <v>52</v>
      </c>
      <c r="D93" s="5">
        <v>2023</v>
      </c>
      <c r="E93" s="4">
        <v>12</v>
      </c>
      <c r="F93" s="5" t="s">
        <v>32</v>
      </c>
      <c r="G93" s="6">
        <v>96</v>
      </c>
      <c r="H93" s="36"/>
      <c r="I93" s="18"/>
    </row>
    <row r="94" spans="1:9" ht="13">
      <c r="A94" s="14" t="s">
        <v>220</v>
      </c>
      <c r="B94" s="5" t="s">
        <v>221</v>
      </c>
      <c r="C94" s="28" t="s">
        <v>222</v>
      </c>
      <c r="D94" s="2">
        <v>2022</v>
      </c>
      <c r="E94" s="4">
        <v>12</v>
      </c>
      <c r="F94" s="5" t="s">
        <v>32</v>
      </c>
      <c r="G94" s="6">
        <v>120</v>
      </c>
      <c r="H94" s="36"/>
      <c r="I94" s="32"/>
    </row>
    <row r="95" spans="1:9" ht="13">
      <c r="A95" s="14" t="s">
        <v>223</v>
      </c>
      <c r="B95" s="5" t="s">
        <v>224</v>
      </c>
      <c r="C95" s="28" t="s">
        <v>225</v>
      </c>
      <c r="D95" s="2">
        <v>2020</v>
      </c>
      <c r="E95" s="4">
        <v>12</v>
      </c>
      <c r="F95" s="5" t="s">
        <v>32</v>
      </c>
      <c r="G95" s="34">
        <v>144</v>
      </c>
      <c r="H95" s="45"/>
      <c r="I95" s="19"/>
    </row>
    <row r="96" spans="1:9" ht="13">
      <c r="A96" s="14" t="s">
        <v>226</v>
      </c>
      <c r="B96" s="5" t="s">
        <v>227</v>
      </c>
      <c r="C96" s="28" t="s">
        <v>61</v>
      </c>
      <c r="D96" s="2">
        <v>2018</v>
      </c>
      <c r="E96" s="4">
        <v>12</v>
      </c>
      <c r="F96" s="5" t="s">
        <v>32</v>
      </c>
      <c r="G96" s="46">
        <v>180</v>
      </c>
      <c r="H96" s="47" t="s">
        <v>228</v>
      </c>
      <c r="I96" s="19"/>
    </row>
    <row r="97" spans="1:9" ht="13">
      <c r="A97" s="1" t="s">
        <v>229</v>
      </c>
      <c r="B97" s="5" t="s">
        <v>230</v>
      </c>
      <c r="C97" s="28" t="s">
        <v>231</v>
      </c>
      <c r="D97" s="2">
        <v>2023</v>
      </c>
      <c r="E97" s="4">
        <v>12</v>
      </c>
      <c r="F97" s="5" t="s">
        <v>32</v>
      </c>
      <c r="G97" s="6">
        <v>120</v>
      </c>
      <c r="H97" s="36"/>
      <c r="I97" s="19"/>
    </row>
    <row r="98" spans="1:9" ht="23">
      <c r="A98" s="693" t="s">
        <v>232</v>
      </c>
      <c r="B98" s="689"/>
      <c r="C98" s="689"/>
      <c r="D98" s="689"/>
      <c r="E98" s="689"/>
      <c r="F98" s="689"/>
      <c r="G98" s="689"/>
      <c r="H98" s="689"/>
      <c r="I98" s="690"/>
    </row>
    <row r="99" spans="1:9" ht="18">
      <c r="A99" s="694" t="s">
        <v>233</v>
      </c>
      <c r="B99" s="689"/>
      <c r="C99" s="689"/>
      <c r="D99" s="689"/>
      <c r="E99" s="689"/>
      <c r="F99" s="689"/>
      <c r="G99" s="689"/>
      <c r="H99" s="689"/>
      <c r="I99" s="690"/>
    </row>
    <row r="100" spans="1:9" ht="13">
      <c r="A100" s="1" t="s">
        <v>234</v>
      </c>
      <c r="B100" s="5" t="s">
        <v>235</v>
      </c>
      <c r="C100" s="28" t="s">
        <v>236</v>
      </c>
      <c r="D100" s="2">
        <v>2021</v>
      </c>
      <c r="E100" s="4">
        <v>12</v>
      </c>
      <c r="F100" s="5" t="s">
        <v>32</v>
      </c>
      <c r="G100" s="6">
        <v>174</v>
      </c>
      <c r="H100" s="44"/>
      <c r="I100" s="30"/>
    </row>
    <row r="101" spans="1:9" ht="13">
      <c r="A101" s="1" t="s">
        <v>237</v>
      </c>
      <c r="B101" s="5" t="s">
        <v>238</v>
      </c>
      <c r="C101" s="28" t="s">
        <v>239</v>
      </c>
      <c r="D101" s="2">
        <v>2021</v>
      </c>
      <c r="E101" s="4">
        <v>12</v>
      </c>
      <c r="F101" s="5" t="s">
        <v>32</v>
      </c>
      <c r="G101" s="6">
        <v>102</v>
      </c>
      <c r="H101" s="44"/>
      <c r="I101" s="30"/>
    </row>
    <row r="102" spans="1:9" ht="13">
      <c r="A102" s="37" t="s">
        <v>240</v>
      </c>
      <c r="B102" s="5" t="s">
        <v>241</v>
      </c>
      <c r="C102" s="28" t="s">
        <v>242</v>
      </c>
      <c r="D102" s="2">
        <v>2021</v>
      </c>
      <c r="E102" s="4">
        <v>12</v>
      </c>
      <c r="F102" s="5" t="s">
        <v>32</v>
      </c>
      <c r="G102" s="6">
        <v>102</v>
      </c>
      <c r="H102" s="44"/>
      <c r="I102" s="18">
        <v>1</v>
      </c>
    </row>
    <row r="103" spans="1:9" ht="13">
      <c r="A103" s="14" t="s">
        <v>243</v>
      </c>
      <c r="B103" s="5" t="s">
        <v>244</v>
      </c>
      <c r="C103" s="28" t="s">
        <v>245</v>
      </c>
      <c r="D103" s="2">
        <v>2021</v>
      </c>
      <c r="E103" s="4">
        <v>12</v>
      </c>
      <c r="F103" s="5" t="s">
        <v>32</v>
      </c>
      <c r="G103" s="6">
        <v>102</v>
      </c>
      <c r="H103" s="44"/>
      <c r="I103" s="18">
        <v>1</v>
      </c>
    </row>
    <row r="104" spans="1:9" ht="13">
      <c r="A104" s="15" t="s">
        <v>246</v>
      </c>
      <c r="B104" s="5" t="s">
        <v>247</v>
      </c>
      <c r="C104" s="28" t="s">
        <v>248</v>
      </c>
      <c r="D104" s="2">
        <v>2019</v>
      </c>
      <c r="E104" s="4">
        <v>12</v>
      </c>
      <c r="F104" s="5" t="s">
        <v>32</v>
      </c>
      <c r="G104" s="29">
        <v>114</v>
      </c>
      <c r="H104" s="44"/>
      <c r="I104" s="30"/>
    </row>
    <row r="105" spans="1:9" ht="13">
      <c r="A105" s="1" t="s">
        <v>249</v>
      </c>
      <c r="B105" s="5" t="s">
        <v>250</v>
      </c>
      <c r="C105" s="28" t="s">
        <v>236</v>
      </c>
      <c r="D105" s="2">
        <v>2020</v>
      </c>
      <c r="E105" s="4">
        <v>12</v>
      </c>
      <c r="F105" s="5" t="s">
        <v>32</v>
      </c>
      <c r="G105" s="6">
        <v>132</v>
      </c>
      <c r="H105" s="44"/>
      <c r="I105" s="18">
        <v>1</v>
      </c>
    </row>
    <row r="106" spans="1:9" ht="13">
      <c r="A106" s="1" t="s">
        <v>251</v>
      </c>
      <c r="B106" s="5" t="s">
        <v>252</v>
      </c>
      <c r="C106" s="28" t="s">
        <v>253</v>
      </c>
      <c r="D106" s="2">
        <v>2020</v>
      </c>
      <c r="E106" s="4">
        <v>12</v>
      </c>
      <c r="F106" s="5" t="s">
        <v>32</v>
      </c>
      <c r="G106" s="48">
        <v>132</v>
      </c>
      <c r="H106" s="49"/>
      <c r="I106" s="18">
        <v>1</v>
      </c>
    </row>
    <row r="107" spans="1:9" ht="13">
      <c r="A107" s="14" t="s">
        <v>254</v>
      </c>
      <c r="B107" s="5" t="s">
        <v>255</v>
      </c>
      <c r="C107" s="28" t="s">
        <v>256</v>
      </c>
      <c r="D107" s="2">
        <v>2021</v>
      </c>
      <c r="E107" s="4">
        <v>12</v>
      </c>
      <c r="F107" s="5" t="s">
        <v>32</v>
      </c>
      <c r="G107" s="6">
        <v>120</v>
      </c>
      <c r="H107" s="44"/>
      <c r="I107" s="18">
        <v>1</v>
      </c>
    </row>
    <row r="108" spans="1:9" ht="13">
      <c r="A108" s="14" t="s">
        <v>257</v>
      </c>
      <c r="B108" s="5" t="s">
        <v>258</v>
      </c>
      <c r="C108" s="28" t="s">
        <v>149</v>
      </c>
      <c r="D108" s="2">
        <v>2018</v>
      </c>
      <c r="E108" s="4">
        <v>12</v>
      </c>
      <c r="F108" s="5" t="s">
        <v>32</v>
      </c>
      <c r="G108" s="6">
        <v>120</v>
      </c>
      <c r="H108" s="12"/>
      <c r="I108" s="30"/>
    </row>
    <row r="109" spans="1:9" ht="13">
      <c r="A109" s="10" t="s">
        <v>259</v>
      </c>
      <c r="B109" s="5" t="s">
        <v>260</v>
      </c>
      <c r="C109" s="28" t="s">
        <v>253</v>
      </c>
      <c r="D109" s="2">
        <v>2020</v>
      </c>
      <c r="E109" s="4">
        <v>12</v>
      </c>
      <c r="F109" s="5" t="s">
        <v>32</v>
      </c>
      <c r="G109" s="6">
        <v>198</v>
      </c>
      <c r="H109" s="44"/>
      <c r="I109" s="18">
        <v>1</v>
      </c>
    </row>
    <row r="110" spans="1:9" ht="13">
      <c r="A110" s="25" t="s">
        <v>261</v>
      </c>
      <c r="B110" s="5" t="s">
        <v>262</v>
      </c>
      <c r="C110" s="28" t="s">
        <v>263</v>
      </c>
      <c r="D110" s="5">
        <v>2021</v>
      </c>
      <c r="E110" s="4">
        <v>12</v>
      </c>
      <c r="F110" s="5" t="s">
        <v>32</v>
      </c>
      <c r="G110" s="50">
        <v>132</v>
      </c>
      <c r="H110" s="49"/>
      <c r="I110" s="18">
        <v>1</v>
      </c>
    </row>
    <row r="111" spans="1:9" ht="13">
      <c r="A111" s="14" t="s">
        <v>264</v>
      </c>
      <c r="B111" s="5" t="s">
        <v>265</v>
      </c>
      <c r="C111" s="28" t="s">
        <v>266</v>
      </c>
      <c r="D111" s="2">
        <v>2020</v>
      </c>
      <c r="E111" s="4">
        <v>12</v>
      </c>
      <c r="F111" s="5" t="s">
        <v>32</v>
      </c>
      <c r="G111" s="6">
        <v>120</v>
      </c>
      <c r="H111" s="51"/>
      <c r="I111" s="18">
        <v>1</v>
      </c>
    </row>
    <row r="112" spans="1:9" ht="23">
      <c r="A112" s="693" t="s">
        <v>267</v>
      </c>
      <c r="B112" s="689"/>
      <c r="C112" s="689"/>
      <c r="D112" s="689"/>
      <c r="E112" s="689"/>
      <c r="F112" s="689"/>
      <c r="G112" s="689"/>
      <c r="H112" s="689"/>
      <c r="I112" s="690"/>
    </row>
    <row r="113" spans="1:9" ht="18">
      <c r="A113" s="696" t="s">
        <v>268</v>
      </c>
      <c r="B113" s="689"/>
      <c r="C113" s="689"/>
      <c r="D113" s="689"/>
      <c r="E113" s="689"/>
      <c r="F113" s="689"/>
      <c r="G113" s="689"/>
      <c r="H113" s="689"/>
      <c r="I113" s="690"/>
    </row>
    <row r="114" spans="1:9" ht="13">
      <c r="A114" s="15" t="s">
        <v>269</v>
      </c>
      <c r="B114" s="43" t="s">
        <v>270</v>
      </c>
      <c r="C114" s="28" t="s">
        <v>271</v>
      </c>
      <c r="D114" s="5" t="s">
        <v>5</v>
      </c>
      <c r="E114" s="4">
        <v>12</v>
      </c>
      <c r="F114" s="5" t="s">
        <v>32</v>
      </c>
      <c r="G114" s="29">
        <v>168</v>
      </c>
      <c r="H114" s="52"/>
      <c r="I114" s="18">
        <v>1</v>
      </c>
    </row>
    <row r="115" spans="1:9" ht="13">
      <c r="A115" s="39" t="s">
        <v>272</v>
      </c>
      <c r="B115" s="43" t="s">
        <v>273</v>
      </c>
      <c r="C115" s="28" t="s">
        <v>274</v>
      </c>
      <c r="D115" s="5" t="s">
        <v>5</v>
      </c>
      <c r="E115" s="4">
        <v>12</v>
      </c>
      <c r="F115" s="5" t="s">
        <v>32</v>
      </c>
      <c r="G115" s="29">
        <v>150</v>
      </c>
      <c r="H115" s="52"/>
      <c r="I115" s="18">
        <v>1</v>
      </c>
    </row>
    <row r="116" spans="1:9" ht="13">
      <c r="A116" s="15" t="s">
        <v>275</v>
      </c>
      <c r="B116" s="43" t="s">
        <v>276</v>
      </c>
      <c r="C116" s="28" t="s">
        <v>277</v>
      </c>
      <c r="D116" s="5">
        <v>2023</v>
      </c>
      <c r="E116" s="4">
        <v>12</v>
      </c>
      <c r="F116" s="5" t="s">
        <v>32</v>
      </c>
      <c r="G116" s="29">
        <v>120</v>
      </c>
      <c r="H116" s="53" t="s">
        <v>278</v>
      </c>
      <c r="I116" s="18">
        <v>1</v>
      </c>
    </row>
    <row r="117" spans="1:9" ht="13">
      <c r="A117" s="54" t="s">
        <v>279</v>
      </c>
      <c r="B117" s="43" t="s">
        <v>280</v>
      </c>
      <c r="C117" s="28" t="s">
        <v>281</v>
      </c>
      <c r="D117" s="5">
        <v>2023</v>
      </c>
      <c r="E117" s="4">
        <v>12</v>
      </c>
      <c r="F117" s="5" t="s">
        <v>32</v>
      </c>
      <c r="G117" s="29">
        <v>138</v>
      </c>
      <c r="H117" s="52"/>
      <c r="I117" s="18">
        <v>1</v>
      </c>
    </row>
    <row r="118" spans="1:9" ht="13">
      <c r="A118" s="39" t="s">
        <v>282</v>
      </c>
      <c r="B118" s="43" t="s">
        <v>283</v>
      </c>
      <c r="C118" s="28" t="s">
        <v>274</v>
      </c>
      <c r="D118" s="5">
        <v>2020</v>
      </c>
      <c r="E118" s="4">
        <v>12</v>
      </c>
      <c r="F118" s="5" t="s">
        <v>32</v>
      </c>
      <c r="G118" s="29">
        <v>120</v>
      </c>
      <c r="H118" s="55" t="s">
        <v>278</v>
      </c>
      <c r="I118" s="19"/>
    </row>
    <row r="119" spans="1:9" ht="13">
      <c r="A119" s="25" t="s">
        <v>284</v>
      </c>
      <c r="B119" s="43" t="s">
        <v>285</v>
      </c>
      <c r="C119" s="28" t="s">
        <v>286</v>
      </c>
      <c r="D119" s="5">
        <v>2021</v>
      </c>
      <c r="E119" s="4">
        <v>12</v>
      </c>
      <c r="F119" s="5" t="s">
        <v>32</v>
      </c>
      <c r="G119" s="29">
        <v>120</v>
      </c>
      <c r="H119" s="55" t="s">
        <v>278</v>
      </c>
      <c r="I119" s="18"/>
    </row>
    <row r="120" spans="1:9" ht="13">
      <c r="A120" s="15" t="s">
        <v>287</v>
      </c>
      <c r="B120" s="43" t="s">
        <v>288</v>
      </c>
      <c r="C120" s="28" t="s">
        <v>9</v>
      </c>
      <c r="D120" s="5">
        <v>2023</v>
      </c>
      <c r="E120" s="4">
        <v>12</v>
      </c>
      <c r="F120" s="5" t="s">
        <v>32</v>
      </c>
      <c r="G120" s="29">
        <v>168</v>
      </c>
      <c r="H120" s="53"/>
      <c r="I120" s="18"/>
    </row>
    <row r="121" spans="1:9" ht="13">
      <c r="A121" s="25" t="s">
        <v>289</v>
      </c>
      <c r="B121" s="43" t="s">
        <v>290</v>
      </c>
      <c r="C121" s="28" t="s">
        <v>291</v>
      </c>
      <c r="D121" s="5">
        <v>2024</v>
      </c>
      <c r="E121" s="4">
        <v>12</v>
      </c>
      <c r="F121" s="5" t="s">
        <v>32</v>
      </c>
      <c r="G121" s="29">
        <v>168</v>
      </c>
      <c r="H121" s="53"/>
      <c r="I121" s="18"/>
    </row>
    <row r="122" spans="1:9" ht="13">
      <c r="A122" s="25" t="s">
        <v>292</v>
      </c>
      <c r="B122" s="43" t="s">
        <v>293</v>
      </c>
      <c r="C122" s="28" t="s">
        <v>294</v>
      </c>
      <c r="D122" s="5">
        <v>2024</v>
      </c>
      <c r="E122" s="4">
        <v>12</v>
      </c>
      <c r="F122" s="5" t="s">
        <v>32</v>
      </c>
      <c r="G122" s="29">
        <v>168</v>
      </c>
      <c r="H122" s="53"/>
      <c r="I122" s="18"/>
    </row>
    <row r="123" spans="1:9" ht="13">
      <c r="A123" s="56" t="s">
        <v>295</v>
      </c>
      <c r="B123" s="43" t="s">
        <v>296</v>
      </c>
      <c r="C123" s="28" t="s">
        <v>297</v>
      </c>
      <c r="D123" s="5">
        <v>2022</v>
      </c>
      <c r="E123" s="4">
        <v>12</v>
      </c>
      <c r="F123" s="5" t="s">
        <v>32</v>
      </c>
      <c r="G123" s="29">
        <v>138</v>
      </c>
      <c r="H123" s="55"/>
      <c r="I123" s="18"/>
    </row>
    <row r="124" spans="1:9" ht="13">
      <c r="A124" s="56" t="s">
        <v>298</v>
      </c>
      <c r="B124" s="43" t="s">
        <v>299</v>
      </c>
      <c r="C124" s="28" t="s">
        <v>300</v>
      </c>
      <c r="D124" s="5">
        <v>2022</v>
      </c>
      <c r="E124" s="4">
        <v>12</v>
      </c>
      <c r="F124" s="5" t="s">
        <v>32</v>
      </c>
      <c r="G124" s="29">
        <v>138</v>
      </c>
      <c r="H124" s="55"/>
      <c r="I124" s="30"/>
    </row>
    <row r="125" spans="1:9" ht="13">
      <c r="A125" s="40" t="s">
        <v>301</v>
      </c>
      <c r="B125" s="43" t="s">
        <v>302</v>
      </c>
      <c r="C125" s="28" t="s">
        <v>303</v>
      </c>
      <c r="D125" s="5">
        <v>2021</v>
      </c>
      <c r="E125" s="4">
        <v>3</v>
      </c>
      <c r="F125" s="2" t="s">
        <v>304</v>
      </c>
      <c r="G125" s="29">
        <v>72</v>
      </c>
      <c r="H125" s="55"/>
      <c r="I125" s="30"/>
    </row>
    <row r="126" spans="1:9" ht="13">
      <c r="A126" s="25" t="s">
        <v>305</v>
      </c>
      <c r="B126" s="43" t="s">
        <v>306</v>
      </c>
      <c r="C126" s="28" t="s">
        <v>307</v>
      </c>
      <c r="D126" s="5">
        <v>2021</v>
      </c>
      <c r="E126" s="4">
        <v>12</v>
      </c>
      <c r="F126" s="5" t="s">
        <v>32</v>
      </c>
      <c r="G126" s="29">
        <v>108</v>
      </c>
      <c r="H126" s="55" t="s">
        <v>308</v>
      </c>
      <c r="I126" s="18"/>
    </row>
    <row r="127" spans="1:9" ht="13">
      <c r="A127" s="15" t="s">
        <v>309</v>
      </c>
      <c r="B127" s="43" t="s">
        <v>310</v>
      </c>
      <c r="C127" s="28" t="s">
        <v>311</v>
      </c>
      <c r="D127" s="5">
        <v>2023</v>
      </c>
      <c r="E127" s="4">
        <v>12</v>
      </c>
      <c r="F127" s="5" t="s">
        <v>32</v>
      </c>
      <c r="G127" s="29">
        <v>150</v>
      </c>
      <c r="H127" s="53"/>
      <c r="I127" s="18">
        <v>1</v>
      </c>
    </row>
    <row r="128" spans="1:9" ht="13">
      <c r="A128" s="54" t="s">
        <v>312</v>
      </c>
      <c r="B128" s="43" t="s">
        <v>313</v>
      </c>
      <c r="C128" s="28" t="s">
        <v>311</v>
      </c>
      <c r="D128" s="5">
        <v>2021</v>
      </c>
      <c r="E128" s="4">
        <v>12</v>
      </c>
      <c r="F128" s="5" t="s">
        <v>32</v>
      </c>
      <c r="G128" s="29">
        <v>150</v>
      </c>
      <c r="H128" s="55"/>
      <c r="I128" s="30"/>
    </row>
    <row r="129" spans="1:9" ht="13">
      <c r="A129" s="39" t="s">
        <v>314</v>
      </c>
      <c r="B129" s="43" t="s">
        <v>315</v>
      </c>
      <c r="C129" s="28" t="s">
        <v>316</v>
      </c>
      <c r="D129" s="5">
        <v>2022</v>
      </c>
      <c r="E129" s="4">
        <v>12</v>
      </c>
      <c r="F129" s="5" t="s">
        <v>32</v>
      </c>
      <c r="G129" s="29">
        <v>150</v>
      </c>
      <c r="H129" s="44"/>
      <c r="I129" s="18">
        <v>1</v>
      </c>
    </row>
    <row r="130" spans="1:9" ht="23">
      <c r="A130" s="693" t="s">
        <v>317</v>
      </c>
      <c r="B130" s="689"/>
      <c r="C130" s="689"/>
      <c r="D130" s="689"/>
      <c r="E130" s="689"/>
      <c r="F130" s="689"/>
      <c r="G130" s="689"/>
      <c r="H130" s="689"/>
      <c r="I130" s="690"/>
    </row>
    <row r="131" spans="1:9" ht="18">
      <c r="A131" s="694" t="s">
        <v>318</v>
      </c>
      <c r="B131" s="689"/>
      <c r="C131" s="689"/>
      <c r="D131" s="689"/>
      <c r="E131" s="689"/>
      <c r="F131" s="689"/>
      <c r="G131" s="689"/>
      <c r="H131" s="689"/>
      <c r="I131" s="690"/>
    </row>
    <row r="132" spans="1:9" ht="13">
      <c r="A132" s="15" t="s">
        <v>319</v>
      </c>
      <c r="B132" s="5" t="s">
        <v>320</v>
      </c>
      <c r="C132" s="28" t="s">
        <v>321</v>
      </c>
      <c r="D132" s="5">
        <v>2013</v>
      </c>
      <c r="E132" s="4">
        <v>12</v>
      </c>
      <c r="F132" s="5" t="s">
        <v>32</v>
      </c>
      <c r="G132" s="29">
        <v>144</v>
      </c>
      <c r="H132" s="17"/>
      <c r="I132" s="30"/>
    </row>
    <row r="133" spans="1:9" ht="13">
      <c r="A133" s="15" t="s">
        <v>322</v>
      </c>
      <c r="B133" s="5" t="s">
        <v>323</v>
      </c>
      <c r="C133" s="28" t="s">
        <v>321</v>
      </c>
      <c r="D133" s="5">
        <v>2019</v>
      </c>
      <c r="E133" s="4">
        <v>12</v>
      </c>
      <c r="F133" s="5" t="s">
        <v>32</v>
      </c>
      <c r="G133" s="41">
        <v>180</v>
      </c>
      <c r="H133" s="31"/>
      <c r="I133" s="30"/>
    </row>
    <row r="134" spans="1:9" ht="13">
      <c r="A134" s="15" t="s">
        <v>324</v>
      </c>
      <c r="B134" s="5" t="s">
        <v>325</v>
      </c>
      <c r="C134" s="28" t="s">
        <v>9</v>
      </c>
      <c r="D134" s="5">
        <v>2016</v>
      </c>
      <c r="E134" s="4">
        <v>12</v>
      </c>
      <c r="F134" s="5" t="s">
        <v>32</v>
      </c>
      <c r="G134" s="29">
        <v>190</v>
      </c>
      <c r="H134" s="17"/>
      <c r="I134" s="30"/>
    </row>
    <row r="135" spans="1:9" ht="13">
      <c r="A135" s="57" t="s">
        <v>326</v>
      </c>
      <c r="B135" s="58" t="s">
        <v>327</v>
      </c>
      <c r="C135" s="28" t="s">
        <v>321</v>
      </c>
      <c r="D135" s="5">
        <v>2021</v>
      </c>
      <c r="E135" s="4">
        <v>12</v>
      </c>
      <c r="F135" s="5" t="s">
        <v>32</v>
      </c>
      <c r="G135" s="29">
        <v>138</v>
      </c>
      <c r="H135" s="59"/>
      <c r="I135" s="30"/>
    </row>
    <row r="136" spans="1:9" ht="13">
      <c r="A136" s="15" t="s">
        <v>328</v>
      </c>
      <c r="B136" s="5" t="s">
        <v>329</v>
      </c>
      <c r="C136" s="28" t="s">
        <v>9</v>
      </c>
      <c r="D136" s="5">
        <v>2018</v>
      </c>
      <c r="E136" s="4">
        <v>12</v>
      </c>
      <c r="F136" s="5" t="s">
        <v>32</v>
      </c>
      <c r="G136" s="60">
        <v>120</v>
      </c>
      <c r="H136" s="47" t="s">
        <v>330</v>
      </c>
      <c r="I136" s="30"/>
    </row>
    <row r="137" spans="1:9" ht="13">
      <c r="A137" s="15" t="s">
        <v>331</v>
      </c>
      <c r="B137" s="5" t="s">
        <v>332</v>
      </c>
      <c r="C137" s="28" t="s">
        <v>9</v>
      </c>
      <c r="D137" s="5">
        <v>2015</v>
      </c>
      <c r="E137" s="4">
        <v>12</v>
      </c>
      <c r="F137" s="5" t="s">
        <v>32</v>
      </c>
      <c r="G137" s="41">
        <v>228</v>
      </c>
      <c r="H137" s="61"/>
      <c r="I137" s="30"/>
    </row>
    <row r="138" spans="1:9" ht="13">
      <c r="A138" s="57" t="s">
        <v>333</v>
      </c>
      <c r="B138" s="58" t="s">
        <v>334</v>
      </c>
      <c r="C138" s="28" t="s">
        <v>9</v>
      </c>
      <c r="D138" s="5">
        <v>2021</v>
      </c>
      <c r="E138" s="4">
        <v>12</v>
      </c>
      <c r="F138" s="5" t="s">
        <v>32</v>
      </c>
      <c r="G138" s="50">
        <v>216</v>
      </c>
      <c r="H138" s="59"/>
      <c r="I138" s="19"/>
    </row>
    <row r="139" spans="1:9" ht="13">
      <c r="A139" s="39" t="s">
        <v>335</v>
      </c>
      <c r="B139" s="5" t="s">
        <v>336</v>
      </c>
      <c r="C139" s="28" t="s">
        <v>155</v>
      </c>
      <c r="D139" s="5">
        <v>2019</v>
      </c>
      <c r="E139" s="4">
        <v>12</v>
      </c>
      <c r="F139" s="5" t="s">
        <v>32</v>
      </c>
      <c r="G139" s="29">
        <v>180</v>
      </c>
      <c r="H139" s="44"/>
      <c r="I139" s="18">
        <v>1</v>
      </c>
    </row>
    <row r="140" spans="1:9" ht="13">
      <c r="A140" s="62" t="s">
        <v>337</v>
      </c>
      <c r="B140" s="63" t="s">
        <v>338</v>
      </c>
      <c r="C140" s="28" t="s">
        <v>339</v>
      </c>
      <c r="D140" s="5">
        <v>2021</v>
      </c>
      <c r="E140" s="4">
        <v>12</v>
      </c>
      <c r="F140" s="5" t="s">
        <v>32</v>
      </c>
      <c r="G140" s="29">
        <v>174</v>
      </c>
      <c r="H140" s="44"/>
      <c r="I140" s="30"/>
    </row>
    <row r="141" spans="1:9" ht="13">
      <c r="A141" s="39" t="s">
        <v>340</v>
      </c>
      <c r="B141" s="5" t="s">
        <v>341</v>
      </c>
      <c r="C141" s="28" t="s">
        <v>294</v>
      </c>
      <c r="D141" s="5">
        <v>2018</v>
      </c>
      <c r="E141" s="4">
        <v>12</v>
      </c>
      <c r="F141" s="5" t="s">
        <v>32</v>
      </c>
      <c r="G141" s="29">
        <v>234</v>
      </c>
      <c r="H141" s="44"/>
      <c r="I141" s="30"/>
    </row>
    <row r="142" spans="1:9" ht="13">
      <c r="A142" s="25" t="s">
        <v>342</v>
      </c>
      <c r="B142" s="5" t="s">
        <v>343</v>
      </c>
      <c r="C142" s="28" t="s">
        <v>155</v>
      </c>
      <c r="D142" s="5">
        <v>2014</v>
      </c>
      <c r="E142" s="4">
        <v>12</v>
      </c>
      <c r="F142" s="5" t="s">
        <v>32</v>
      </c>
      <c r="G142" s="29">
        <v>108</v>
      </c>
      <c r="H142" s="44"/>
      <c r="I142" s="30"/>
    </row>
    <row r="143" spans="1:9" ht="13">
      <c r="A143" s="25" t="s">
        <v>344</v>
      </c>
      <c r="B143" s="5" t="s">
        <v>345</v>
      </c>
      <c r="C143" s="28" t="s">
        <v>346</v>
      </c>
      <c r="D143" s="5">
        <v>2015</v>
      </c>
      <c r="E143" s="4">
        <v>12</v>
      </c>
      <c r="F143" s="5" t="s">
        <v>32</v>
      </c>
      <c r="G143" s="41">
        <v>144</v>
      </c>
      <c r="H143" s="44"/>
      <c r="I143" s="30"/>
    </row>
    <row r="144" spans="1:9" ht="13">
      <c r="A144" s="56" t="s">
        <v>347</v>
      </c>
      <c r="B144" s="58" t="s">
        <v>348</v>
      </c>
      <c r="C144" s="28" t="s">
        <v>155</v>
      </c>
      <c r="D144" s="5">
        <v>2021</v>
      </c>
      <c r="E144" s="4">
        <v>12</v>
      </c>
      <c r="F144" s="5" t="s">
        <v>32</v>
      </c>
      <c r="G144" s="29">
        <v>138</v>
      </c>
      <c r="H144" s="44"/>
      <c r="I144" s="30"/>
    </row>
    <row r="145" spans="1:9" ht="13">
      <c r="A145" s="64" t="s">
        <v>349</v>
      </c>
      <c r="B145" s="63" t="s">
        <v>350</v>
      </c>
      <c r="C145" s="28" t="s">
        <v>351</v>
      </c>
      <c r="D145" s="5">
        <v>2021</v>
      </c>
      <c r="E145" s="4">
        <v>12</v>
      </c>
      <c r="F145" s="5" t="s">
        <v>32</v>
      </c>
      <c r="G145" s="29">
        <v>138</v>
      </c>
      <c r="H145" s="44"/>
      <c r="I145" s="30"/>
    </row>
    <row r="146" spans="1:9" ht="13">
      <c r="A146" s="65" t="s">
        <v>352</v>
      </c>
      <c r="B146" s="58" t="s">
        <v>353</v>
      </c>
      <c r="C146" s="28" t="s">
        <v>354</v>
      </c>
      <c r="D146" s="5">
        <v>2021</v>
      </c>
      <c r="E146" s="4">
        <v>12</v>
      </c>
      <c r="F146" s="5" t="s">
        <v>32</v>
      </c>
      <c r="G146" s="29">
        <v>174</v>
      </c>
      <c r="H146" s="44"/>
      <c r="I146" s="30"/>
    </row>
    <row r="147" spans="1:9" ht="13">
      <c r="A147" s="25" t="s">
        <v>355</v>
      </c>
      <c r="B147" s="5" t="s">
        <v>356</v>
      </c>
      <c r="C147" s="28" t="s">
        <v>155</v>
      </c>
      <c r="D147" s="5">
        <v>2019</v>
      </c>
      <c r="E147" s="4">
        <v>12</v>
      </c>
      <c r="F147" s="5" t="s">
        <v>32</v>
      </c>
      <c r="G147" s="60">
        <v>60</v>
      </c>
      <c r="H147" s="47" t="s">
        <v>330</v>
      </c>
      <c r="I147" s="30"/>
    </row>
    <row r="148" spans="1:9" ht="18">
      <c r="A148" s="698" t="s">
        <v>357</v>
      </c>
      <c r="B148" s="689"/>
      <c r="C148" s="689"/>
      <c r="D148" s="689"/>
      <c r="E148" s="689"/>
      <c r="F148" s="689"/>
      <c r="G148" s="689"/>
      <c r="H148" s="689"/>
      <c r="I148" s="690"/>
    </row>
    <row r="149" spans="1:9" ht="13">
      <c r="A149" s="66" t="s">
        <v>358</v>
      </c>
      <c r="B149" s="67" t="s">
        <v>359</v>
      </c>
      <c r="C149" s="68" t="s">
        <v>360</v>
      </c>
      <c r="D149" s="5">
        <v>2018</v>
      </c>
      <c r="E149" s="69">
        <v>12</v>
      </c>
      <c r="F149" s="70" t="s">
        <v>32</v>
      </c>
      <c r="G149" s="6">
        <v>156</v>
      </c>
      <c r="H149" s="71"/>
      <c r="I149" s="72"/>
    </row>
    <row r="150" spans="1:9" ht="13">
      <c r="A150" s="73" t="s">
        <v>361</v>
      </c>
      <c r="B150" s="67" t="s">
        <v>362</v>
      </c>
      <c r="C150" s="28" t="s">
        <v>9</v>
      </c>
      <c r="D150" s="5">
        <v>2018</v>
      </c>
      <c r="E150" s="69">
        <v>12</v>
      </c>
      <c r="F150" s="70" t="s">
        <v>32</v>
      </c>
      <c r="G150" s="6">
        <v>288</v>
      </c>
      <c r="H150" s="71"/>
      <c r="I150" s="72"/>
    </row>
    <row r="151" spans="1:9" ht="13">
      <c r="A151" s="25" t="s">
        <v>363</v>
      </c>
      <c r="B151" s="67" t="s">
        <v>364</v>
      </c>
      <c r="C151" s="68" t="s">
        <v>360</v>
      </c>
      <c r="D151" s="5">
        <v>2018</v>
      </c>
      <c r="E151" s="69">
        <v>12</v>
      </c>
      <c r="F151" s="70" t="s">
        <v>32</v>
      </c>
      <c r="G151" s="6">
        <v>204</v>
      </c>
      <c r="H151" s="71"/>
      <c r="I151" s="72"/>
    </row>
    <row r="152" spans="1:9" ht="13">
      <c r="A152" s="25" t="s">
        <v>365</v>
      </c>
      <c r="B152" s="67" t="s">
        <v>366</v>
      </c>
      <c r="C152" s="68" t="s">
        <v>360</v>
      </c>
      <c r="D152" s="5">
        <v>2018</v>
      </c>
      <c r="E152" s="69">
        <v>12</v>
      </c>
      <c r="F152" s="70" t="s">
        <v>32</v>
      </c>
      <c r="G152" s="6">
        <v>300</v>
      </c>
      <c r="H152" s="71"/>
      <c r="I152" s="72"/>
    </row>
    <row r="153" spans="1:9" ht="18">
      <c r="A153" s="694" t="s">
        <v>367</v>
      </c>
      <c r="B153" s="689"/>
      <c r="C153" s="689"/>
      <c r="D153" s="689"/>
      <c r="E153" s="689"/>
      <c r="F153" s="689"/>
      <c r="G153" s="689"/>
      <c r="H153" s="689"/>
      <c r="I153" s="690"/>
    </row>
    <row r="154" spans="1:9" ht="13">
      <c r="A154" s="1" t="s">
        <v>368</v>
      </c>
      <c r="B154" s="2" t="s">
        <v>369</v>
      </c>
      <c r="C154" s="28" t="s">
        <v>9</v>
      </c>
      <c r="D154" s="2">
        <v>2022</v>
      </c>
      <c r="E154" s="4">
        <v>12</v>
      </c>
      <c r="F154" s="5" t="s">
        <v>32</v>
      </c>
      <c r="G154" s="6">
        <v>204</v>
      </c>
      <c r="H154" s="38"/>
      <c r="I154" s="19"/>
    </row>
    <row r="155" spans="1:9" ht="13">
      <c r="A155" s="37" t="s">
        <v>370</v>
      </c>
      <c r="B155" s="2" t="s">
        <v>371</v>
      </c>
      <c r="C155" s="28" t="s">
        <v>291</v>
      </c>
      <c r="D155" s="2">
        <v>2022</v>
      </c>
      <c r="E155" s="4">
        <v>12</v>
      </c>
      <c r="F155" s="5" t="s">
        <v>32</v>
      </c>
      <c r="G155" s="6">
        <v>204</v>
      </c>
      <c r="H155" s="38"/>
      <c r="I155" s="19"/>
    </row>
    <row r="156" spans="1:9" ht="13">
      <c r="A156" s="1" t="s">
        <v>372</v>
      </c>
      <c r="B156" s="2" t="s">
        <v>373</v>
      </c>
      <c r="C156" s="28" t="s">
        <v>9</v>
      </c>
      <c r="D156" s="2">
        <v>2021</v>
      </c>
      <c r="E156" s="4">
        <v>12</v>
      </c>
      <c r="F156" s="5" t="s">
        <v>32</v>
      </c>
      <c r="G156" s="6">
        <v>264</v>
      </c>
      <c r="H156" s="38"/>
      <c r="I156" s="30"/>
    </row>
    <row r="157" spans="1:9" ht="13">
      <c r="A157" s="1" t="s">
        <v>374</v>
      </c>
      <c r="B157" s="2" t="s">
        <v>375</v>
      </c>
      <c r="C157" s="28" t="s">
        <v>9</v>
      </c>
      <c r="D157" s="2">
        <v>2021</v>
      </c>
      <c r="E157" s="4">
        <v>12</v>
      </c>
      <c r="F157" s="5" t="s">
        <v>32</v>
      </c>
      <c r="G157" s="6">
        <v>300</v>
      </c>
      <c r="H157" s="38"/>
      <c r="I157" s="30"/>
    </row>
    <row r="158" spans="1:9" ht="13">
      <c r="A158" s="1" t="s">
        <v>376</v>
      </c>
      <c r="B158" s="2" t="s">
        <v>377</v>
      </c>
      <c r="C158" s="28" t="s">
        <v>9</v>
      </c>
      <c r="D158" s="2">
        <v>2021</v>
      </c>
      <c r="E158" s="4">
        <v>12</v>
      </c>
      <c r="F158" s="5" t="s">
        <v>32</v>
      </c>
      <c r="G158" s="6">
        <v>300</v>
      </c>
      <c r="H158" s="38"/>
      <c r="I158" s="30"/>
    </row>
    <row r="159" spans="1:9" ht="13">
      <c r="A159" s="1" t="s">
        <v>378</v>
      </c>
      <c r="B159" s="2" t="s">
        <v>379</v>
      </c>
      <c r="C159" s="28" t="s">
        <v>9</v>
      </c>
      <c r="D159" s="2">
        <v>2021</v>
      </c>
      <c r="E159" s="4">
        <v>12</v>
      </c>
      <c r="F159" s="5" t="s">
        <v>32</v>
      </c>
      <c r="G159" s="6">
        <v>372</v>
      </c>
      <c r="H159" s="38"/>
      <c r="I159" s="30"/>
    </row>
    <row r="160" spans="1:9" ht="13">
      <c r="A160" s="1" t="s">
        <v>380</v>
      </c>
      <c r="B160" s="2" t="s">
        <v>381</v>
      </c>
      <c r="C160" s="28" t="s">
        <v>9</v>
      </c>
      <c r="D160" s="2">
        <v>2018</v>
      </c>
      <c r="E160" s="4">
        <v>12</v>
      </c>
      <c r="F160" s="5" t="s">
        <v>32</v>
      </c>
      <c r="G160" s="6">
        <v>1020</v>
      </c>
      <c r="H160" s="38"/>
      <c r="I160" s="30"/>
    </row>
    <row r="161" spans="1:9" ht="13">
      <c r="A161" s="1" t="s">
        <v>382</v>
      </c>
      <c r="B161" s="2" t="s">
        <v>383</v>
      </c>
      <c r="C161" s="28" t="s">
        <v>9</v>
      </c>
      <c r="D161" s="2">
        <v>2005</v>
      </c>
      <c r="E161" s="4">
        <v>12</v>
      </c>
      <c r="F161" s="5" t="s">
        <v>32</v>
      </c>
      <c r="G161" s="6">
        <v>1308</v>
      </c>
      <c r="H161" s="38"/>
      <c r="I161" s="30"/>
    </row>
    <row r="162" spans="1:9" ht="13">
      <c r="A162" s="14" t="s">
        <v>384</v>
      </c>
      <c r="B162" s="2" t="s">
        <v>385</v>
      </c>
      <c r="C162" s="28" t="s">
        <v>386</v>
      </c>
      <c r="D162" s="2">
        <v>2021</v>
      </c>
      <c r="E162" s="4">
        <v>12</v>
      </c>
      <c r="F162" s="5" t="s">
        <v>32</v>
      </c>
      <c r="G162" s="6">
        <v>288</v>
      </c>
      <c r="H162" s="61"/>
      <c r="I162" s="18">
        <v>1</v>
      </c>
    </row>
    <row r="163" spans="1:9" ht="13">
      <c r="A163" s="14" t="s">
        <v>387</v>
      </c>
      <c r="B163" s="2" t="s">
        <v>388</v>
      </c>
      <c r="C163" s="28" t="s">
        <v>291</v>
      </c>
      <c r="D163" s="2">
        <v>2021</v>
      </c>
      <c r="E163" s="4">
        <v>12</v>
      </c>
      <c r="F163" s="5" t="s">
        <v>32</v>
      </c>
      <c r="G163" s="6">
        <v>300</v>
      </c>
      <c r="H163" s="38"/>
      <c r="I163" s="30"/>
    </row>
    <row r="164" spans="1:9" ht="13">
      <c r="A164" s="14" t="s">
        <v>389</v>
      </c>
      <c r="B164" s="2" t="s">
        <v>390</v>
      </c>
      <c r="C164" s="28" t="s">
        <v>291</v>
      </c>
      <c r="D164" s="2">
        <v>2021</v>
      </c>
      <c r="E164" s="4">
        <v>12</v>
      </c>
      <c r="F164" s="5" t="s">
        <v>32</v>
      </c>
      <c r="G164" s="6">
        <v>300</v>
      </c>
      <c r="H164" s="38"/>
      <c r="I164" s="30"/>
    </row>
    <row r="165" spans="1:9" ht="13">
      <c r="A165" s="14" t="s">
        <v>391</v>
      </c>
      <c r="B165" s="2" t="s">
        <v>392</v>
      </c>
      <c r="C165" s="28" t="s">
        <v>291</v>
      </c>
      <c r="D165" s="2">
        <v>2021</v>
      </c>
      <c r="E165" s="4">
        <v>12</v>
      </c>
      <c r="F165" s="5" t="s">
        <v>32</v>
      </c>
      <c r="G165" s="6">
        <v>372</v>
      </c>
      <c r="H165" s="38"/>
      <c r="I165" s="19"/>
    </row>
    <row r="166" spans="1:9" ht="13">
      <c r="A166" s="14" t="s">
        <v>393</v>
      </c>
      <c r="B166" s="2" t="s">
        <v>394</v>
      </c>
      <c r="C166" s="28" t="s">
        <v>291</v>
      </c>
      <c r="D166" s="2">
        <v>2018</v>
      </c>
      <c r="E166" s="4">
        <v>12</v>
      </c>
      <c r="F166" s="5" t="s">
        <v>32</v>
      </c>
      <c r="G166" s="6">
        <v>840</v>
      </c>
      <c r="H166" s="38"/>
      <c r="I166" s="30"/>
    </row>
    <row r="167" spans="1:9" ht="18">
      <c r="A167" s="696" t="s">
        <v>395</v>
      </c>
      <c r="B167" s="689"/>
      <c r="C167" s="689"/>
      <c r="D167" s="689"/>
      <c r="E167" s="689"/>
      <c r="F167" s="689"/>
      <c r="G167" s="689"/>
      <c r="H167" s="689"/>
      <c r="I167" s="690"/>
    </row>
    <row r="168" spans="1:9" ht="13">
      <c r="A168" s="1" t="s">
        <v>396</v>
      </c>
      <c r="B168" s="2" t="s">
        <v>397</v>
      </c>
      <c r="C168" s="28" t="s">
        <v>9</v>
      </c>
      <c r="D168" s="2" t="s">
        <v>5</v>
      </c>
      <c r="E168" s="4">
        <v>12</v>
      </c>
      <c r="F168" s="5" t="s">
        <v>32</v>
      </c>
      <c r="G168" s="6">
        <v>144</v>
      </c>
      <c r="H168" s="26"/>
      <c r="I168" s="30"/>
    </row>
    <row r="169" spans="1:9" ht="13">
      <c r="A169" s="1" t="s">
        <v>398</v>
      </c>
      <c r="B169" s="2" t="s">
        <v>399</v>
      </c>
      <c r="C169" s="28" t="s">
        <v>9</v>
      </c>
      <c r="D169" s="2" t="s">
        <v>5</v>
      </c>
      <c r="E169" s="4">
        <v>6</v>
      </c>
      <c r="F169" s="5" t="s">
        <v>304</v>
      </c>
      <c r="G169" s="6">
        <v>168</v>
      </c>
      <c r="H169" s="26"/>
      <c r="I169" s="30"/>
    </row>
    <row r="170" spans="1:9" ht="13">
      <c r="A170" s="1" t="s">
        <v>400</v>
      </c>
      <c r="B170" s="2" t="s">
        <v>401</v>
      </c>
      <c r="C170" s="28" t="s">
        <v>9</v>
      </c>
      <c r="D170" s="2">
        <v>2023</v>
      </c>
      <c r="E170" s="4">
        <v>12</v>
      </c>
      <c r="F170" s="5" t="s">
        <v>32</v>
      </c>
      <c r="G170" s="6">
        <v>174</v>
      </c>
      <c r="H170" s="26"/>
      <c r="I170" s="18"/>
    </row>
    <row r="171" spans="1:9" ht="13">
      <c r="A171" s="37" t="s">
        <v>402</v>
      </c>
      <c r="B171" s="2" t="s">
        <v>403</v>
      </c>
      <c r="C171" s="28" t="s">
        <v>155</v>
      </c>
      <c r="D171" s="2">
        <v>2023</v>
      </c>
      <c r="E171" s="4">
        <v>12</v>
      </c>
      <c r="F171" s="5" t="s">
        <v>32</v>
      </c>
      <c r="G171" s="6">
        <v>138</v>
      </c>
      <c r="H171" s="26"/>
      <c r="I171" s="19"/>
    </row>
    <row r="172" spans="1:9" ht="13">
      <c r="A172" s="1" t="s">
        <v>404</v>
      </c>
      <c r="B172" s="2" t="s">
        <v>405</v>
      </c>
      <c r="C172" s="28" t="s">
        <v>406</v>
      </c>
      <c r="D172" s="2">
        <v>2022</v>
      </c>
      <c r="E172" s="4">
        <v>12</v>
      </c>
      <c r="F172" s="5" t="s">
        <v>32</v>
      </c>
      <c r="G172" s="6">
        <v>126</v>
      </c>
      <c r="H172" s="38"/>
      <c r="I172" s="19"/>
    </row>
    <row r="173" spans="1:9" ht="13">
      <c r="A173" s="14" t="s">
        <v>407</v>
      </c>
      <c r="B173" s="2" t="s">
        <v>408</v>
      </c>
      <c r="C173" s="28" t="s">
        <v>360</v>
      </c>
      <c r="D173" s="2">
        <v>2022</v>
      </c>
      <c r="E173" s="4">
        <v>12</v>
      </c>
      <c r="F173" s="5" t="s">
        <v>32</v>
      </c>
      <c r="G173" s="6">
        <v>126</v>
      </c>
      <c r="H173" s="38"/>
      <c r="I173" s="19"/>
    </row>
    <row r="174" spans="1:9" ht="13">
      <c r="A174" s="1" t="s">
        <v>409</v>
      </c>
      <c r="B174" s="2" t="s">
        <v>410</v>
      </c>
      <c r="C174" s="28" t="s">
        <v>9</v>
      </c>
      <c r="D174" s="2">
        <v>2023</v>
      </c>
      <c r="E174" s="4">
        <v>12</v>
      </c>
      <c r="F174" s="5" t="s">
        <v>32</v>
      </c>
      <c r="G174" s="6">
        <v>156</v>
      </c>
      <c r="H174" s="26"/>
      <c r="I174" s="18">
        <v>1</v>
      </c>
    </row>
    <row r="175" spans="1:9" ht="13">
      <c r="A175" s="35" t="s">
        <v>411</v>
      </c>
      <c r="B175" s="2" t="s">
        <v>412</v>
      </c>
      <c r="C175" s="28" t="s">
        <v>413</v>
      </c>
      <c r="D175" s="2">
        <v>2022</v>
      </c>
      <c r="E175" s="4">
        <v>12</v>
      </c>
      <c r="F175" s="5" t="s">
        <v>32</v>
      </c>
      <c r="G175" s="6">
        <v>156</v>
      </c>
      <c r="H175" s="38"/>
      <c r="I175" s="18">
        <v>1</v>
      </c>
    </row>
    <row r="176" spans="1:9" ht="13">
      <c r="A176" s="10" t="s">
        <v>414</v>
      </c>
      <c r="B176" s="2" t="s">
        <v>415</v>
      </c>
      <c r="C176" s="28" t="s">
        <v>9</v>
      </c>
      <c r="D176" s="2">
        <v>2022</v>
      </c>
      <c r="E176" s="4">
        <v>12</v>
      </c>
      <c r="F176" s="5" t="s">
        <v>32</v>
      </c>
      <c r="G176" s="6">
        <v>168</v>
      </c>
      <c r="H176" s="26"/>
      <c r="I176" s="18"/>
    </row>
    <row r="177" spans="1:9" ht="18">
      <c r="A177" s="696" t="s">
        <v>416</v>
      </c>
      <c r="B177" s="689"/>
      <c r="C177" s="689"/>
      <c r="D177" s="689"/>
      <c r="E177" s="689"/>
      <c r="F177" s="689"/>
      <c r="G177" s="689"/>
      <c r="H177" s="689"/>
      <c r="I177" s="690"/>
    </row>
    <row r="178" spans="1:9" ht="13">
      <c r="A178" s="15" t="s">
        <v>417</v>
      </c>
      <c r="B178" s="5" t="s">
        <v>418</v>
      </c>
      <c r="C178" s="28" t="s">
        <v>133</v>
      </c>
      <c r="D178" s="5" t="s">
        <v>5</v>
      </c>
      <c r="E178" s="4">
        <v>12</v>
      </c>
      <c r="F178" s="5" t="s">
        <v>32</v>
      </c>
      <c r="G178" s="29">
        <v>120</v>
      </c>
      <c r="H178" s="26"/>
      <c r="I178" s="18"/>
    </row>
    <row r="179" spans="1:9" ht="13">
      <c r="A179" s="25" t="s">
        <v>419</v>
      </c>
      <c r="B179" s="5" t="s">
        <v>420</v>
      </c>
      <c r="C179" s="28" t="s">
        <v>360</v>
      </c>
      <c r="D179" s="5" t="s">
        <v>5</v>
      </c>
      <c r="E179" s="4">
        <v>12</v>
      </c>
      <c r="F179" s="5" t="s">
        <v>32</v>
      </c>
      <c r="G179" s="29">
        <v>126</v>
      </c>
      <c r="H179" s="26"/>
      <c r="I179" s="18"/>
    </row>
    <row r="180" spans="1:9" ht="18">
      <c r="A180" s="696" t="s">
        <v>421</v>
      </c>
      <c r="B180" s="689"/>
      <c r="C180" s="689"/>
      <c r="D180" s="689"/>
      <c r="E180" s="689"/>
      <c r="F180" s="689"/>
      <c r="G180" s="689"/>
      <c r="H180" s="689"/>
      <c r="I180" s="690"/>
    </row>
    <row r="181" spans="1:9" ht="13">
      <c r="A181" s="15" t="s">
        <v>422</v>
      </c>
      <c r="B181" s="43" t="s">
        <v>423</v>
      </c>
      <c r="C181" s="28" t="s">
        <v>9</v>
      </c>
      <c r="D181" s="5">
        <v>2022</v>
      </c>
      <c r="E181" s="4">
        <v>12</v>
      </c>
      <c r="F181" s="5" t="s">
        <v>32</v>
      </c>
      <c r="G181" s="29">
        <v>192</v>
      </c>
      <c r="H181" s="23"/>
      <c r="I181" s="18">
        <v>1</v>
      </c>
    </row>
    <row r="182" spans="1:9" ht="13">
      <c r="A182" s="39" t="s">
        <v>424</v>
      </c>
      <c r="B182" s="43" t="s">
        <v>425</v>
      </c>
      <c r="C182" s="28" t="s">
        <v>426</v>
      </c>
      <c r="D182" s="5">
        <v>2022</v>
      </c>
      <c r="E182" s="4">
        <v>12</v>
      </c>
      <c r="F182" s="5" t="s">
        <v>32</v>
      </c>
      <c r="G182" s="29">
        <v>144</v>
      </c>
      <c r="H182" s="23"/>
      <c r="I182" s="18">
        <v>1</v>
      </c>
    </row>
    <row r="183" spans="1:9" ht="13">
      <c r="A183" s="15" t="s">
        <v>427</v>
      </c>
      <c r="B183" s="43" t="s">
        <v>428</v>
      </c>
      <c r="C183" s="28" t="s">
        <v>429</v>
      </c>
      <c r="D183" s="5">
        <v>2023</v>
      </c>
      <c r="E183" s="4">
        <v>12</v>
      </c>
      <c r="F183" s="5" t="s">
        <v>32</v>
      </c>
      <c r="G183" s="29">
        <v>156</v>
      </c>
      <c r="H183" s="23"/>
      <c r="I183" s="18">
        <v>1</v>
      </c>
    </row>
    <row r="184" spans="1:9" ht="13">
      <c r="A184" s="15" t="s">
        <v>430</v>
      </c>
      <c r="B184" s="43" t="s">
        <v>431</v>
      </c>
      <c r="C184" s="28" t="s">
        <v>9</v>
      </c>
      <c r="D184" s="5">
        <v>2022</v>
      </c>
      <c r="E184" s="4">
        <v>12</v>
      </c>
      <c r="F184" s="5" t="s">
        <v>32</v>
      </c>
      <c r="G184" s="29">
        <v>192</v>
      </c>
      <c r="H184" s="23"/>
      <c r="I184" s="18">
        <v>1</v>
      </c>
    </row>
    <row r="185" spans="1:9" ht="13">
      <c r="A185" s="39" t="s">
        <v>432</v>
      </c>
      <c r="B185" s="43" t="s">
        <v>433</v>
      </c>
      <c r="C185" s="28" t="s">
        <v>294</v>
      </c>
      <c r="D185" s="5">
        <v>2023</v>
      </c>
      <c r="E185" s="4">
        <v>12</v>
      </c>
      <c r="F185" s="5" t="s">
        <v>32</v>
      </c>
      <c r="G185" s="29">
        <v>126</v>
      </c>
      <c r="H185" s="23"/>
      <c r="I185" s="18">
        <v>1</v>
      </c>
    </row>
    <row r="186" spans="1:9" ht="13">
      <c r="A186" s="39" t="s">
        <v>434</v>
      </c>
      <c r="B186" s="43" t="s">
        <v>433</v>
      </c>
      <c r="C186" s="28" t="s">
        <v>294</v>
      </c>
      <c r="D186" s="5">
        <v>2022</v>
      </c>
      <c r="E186" s="4">
        <v>12</v>
      </c>
      <c r="F186" s="5" t="s">
        <v>32</v>
      </c>
      <c r="G186" s="29">
        <v>126</v>
      </c>
      <c r="H186" s="31"/>
      <c r="I186" s="18">
        <v>1</v>
      </c>
    </row>
    <row r="187" spans="1:9" ht="13">
      <c r="A187" s="25" t="s">
        <v>435</v>
      </c>
      <c r="B187" s="43" t="s">
        <v>436</v>
      </c>
      <c r="C187" s="28" t="s">
        <v>437</v>
      </c>
      <c r="D187" s="5">
        <v>2022</v>
      </c>
      <c r="E187" s="4">
        <v>12</v>
      </c>
      <c r="F187" s="5" t="s">
        <v>32</v>
      </c>
      <c r="G187" s="29">
        <v>144</v>
      </c>
      <c r="H187" s="31"/>
      <c r="I187" s="19"/>
    </row>
    <row r="188" spans="1:9" ht="13">
      <c r="A188" s="25" t="s">
        <v>438</v>
      </c>
      <c r="B188" s="43" t="s">
        <v>439</v>
      </c>
      <c r="C188" s="28" t="s">
        <v>294</v>
      </c>
      <c r="D188" s="5">
        <v>2021</v>
      </c>
      <c r="E188" s="4">
        <v>12</v>
      </c>
      <c r="F188" s="5" t="s">
        <v>32</v>
      </c>
      <c r="G188" s="29">
        <v>162</v>
      </c>
      <c r="H188" s="31"/>
      <c r="I188" s="18"/>
    </row>
    <row r="189" spans="1:9" ht="13">
      <c r="A189" s="25" t="s">
        <v>440</v>
      </c>
      <c r="B189" s="43" t="s">
        <v>441</v>
      </c>
      <c r="C189" s="28" t="s">
        <v>442</v>
      </c>
      <c r="D189" s="5">
        <v>2022</v>
      </c>
      <c r="E189" s="4">
        <v>12</v>
      </c>
      <c r="F189" s="5" t="s">
        <v>32</v>
      </c>
      <c r="G189" s="29">
        <v>174</v>
      </c>
      <c r="H189" s="23"/>
      <c r="I189" s="18">
        <v>1</v>
      </c>
    </row>
    <row r="190" spans="1:9" ht="13">
      <c r="A190" s="25" t="s">
        <v>443</v>
      </c>
      <c r="B190" s="43" t="s">
        <v>441</v>
      </c>
      <c r="C190" s="28" t="s">
        <v>442</v>
      </c>
      <c r="D190" s="5">
        <v>2020</v>
      </c>
      <c r="E190" s="4">
        <v>12</v>
      </c>
      <c r="F190" s="5" t="s">
        <v>32</v>
      </c>
      <c r="G190" s="29">
        <v>150</v>
      </c>
      <c r="H190" s="31"/>
      <c r="I190" s="18">
        <v>1</v>
      </c>
    </row>
    <row r="191" spans="1:9" ht="18">
      <c r="A191" s="694" t="s">
        <v>444</v>
      </c>
      <c r="B191" s="689"/>
      <c r="C191" s="689"/>
      <c r="D191" s="689"/>
      <c r="E191" s="689"/>
      <c r="F191" s="689"/>
      <c r="G191" s="689"/>
      <c r="H191" s="689"/>
      <c r="I191" s="690"/>
    </row>
    <row r="192" spans="1:9" ht="13">
      <c r="A192" s="1" t="s">
        <v>445</v>
      </c>
      <c r="B192" s="2" t="s">
        <v>446</v>
      </c>
      <c r="C192" s="28" t="s">
        <v>429</v>
      </c>
      <c r="D192" s="2">
        <v>2018</v>
      </c>
      <c r="E192" s="4">
        <v>12</v>
      </c>
      <c r="F192" s="5" t="s">
        <v>32</v>
      </c>
      <c r="G192" s="6">
        <v>162</v>
      </c>
      <c r="H192" s="33"/>
      <c r="I192" s="74"/>
    </row>
    <row r="193" spans="1:9" ht="13">
      <c r="A193" s="37" t="s">
        <v>447</v>
      </c>
      <c r="B193" s="2" t="s">
        <v>448</v>
      </c>
      <c r="C193" s="28" t="s">
        <v>449</v>
      </c>
      <c r="D193" s="2">
        <v>2018</v>
      </c>
      <c r="E193" s="4">
        <v>12</v>
      </c>
      <c r="F193" s="5" t="s">
        <v>32</v>
      </c>
      <c r="G193" s="6">
        <v>156</v>
      </c>
      <c r="H193" s="33"/>
      <c r="I193" s="74"/>
    </row>
    <row r="194" spans="1:9" ht="13">
      <c r="A194" s="1" t="s">
        <v>450</v>
      </c>
      <c r="B194" s="2" t="s">
        <v>451</v>
      </c>
      <c r="C194" s="28" t="s">
        <v>9</v>
      </c>
      <c r="D194" s="2">
        <v>2022</v>
      </c>
      <c r="E194" s="4">
        <v>12</v>
      </c>
      <c r="F194" s="5" t="s">
        <v>32</v>
      </c>
      <c r="G194" s="6">
        <v>162</v>
      </c>
      <c r="H194" s="26"/>
      <c r="I194" s="74"/>
    </row>
    <row r="195" spans="1:9" ht="13">
      <c r="A195" s="14" t="s">
        <v>452</v>
      </c>
      <c r="B195" s="2" t="s">
        <v>453</v>
      </c>
      <c r="C195" s="28" t="s">
        <v>155</v>
      </c>
      <c r="D195" s="2">
        <v>2022</v>
      </c>
      <c r="E195" s="4">
        <v>12</v>
      </c>
      <c r="F195" s="5" t="s">
        <v>32</v>
      </c>
      <c r="G195" s="6">
        <v>156</v>
      </c>
      <c r="H195" s="26"/>
      <c r="I195" s="75"/>
    </row>
    <row r="196" spans="1:9" ht="13">
      <c r="A196" s="14" t="s">
        <v>454</v>
      </c>
      <c r="B196" s="2" t="s">
        <v>455</v>
      </c>
      <c r="C196" s="28" t="s">
        <v>456</v>
      </c>
      <c r="D196" s="2">
        <v>2022</v>
      </c>
      <c r="E196" s="4">
        <v>12</v>
      </c>
      <c r="F196" s="5" t="s">
        <v>32</v>
      </c>
      <c r="G196" s="34">
        <v>168</v>
      </c>
      <c r="H196" s="26"/>
      <c r="I196" s="74"/>
    </row>
    <row r="197" spans="1:9" ht="13">
      <c r="A197" s="14" t="s">
        <v>457</v>
      </c>
      <c r="B197" s="2" t="s">
        <v>458</v>
      </c>
      <c r="C197" s="28" t="s">
        <v>294</v>
      </c>
      <c r="D197" s="2">
        <v>2022</v>
      </c>
      <c r="E197" s="4">
        <v>12</v>
      </c>
      <c r="F197" s="5" t="s">
        <v>32</v>
      </c>
      <c r="G197" s="6">
        <v>180</v>
      </c>
      <c r="H197" s="33"/>
      <c r="I197" s="75"/>
    </row>
    <row r="198" spans="1:9" ht="13">
      <c r="A198" s="14" t="s">
        <v>459</v>
      </c>
      <c r="B198" s="2" t="s">
        <v>460</v>
      </c>
      <c r="C198" s="28" t="s">
        <v>442</v>
      </c>
      <c r="D198" s="2">
        <v>2021</v>
      </c>
      <c r="E198" s="4">
        <v>12</v>
      </c>
      <c r="F198" s="5" t="s">
        <v>32</v>
      </c>
      <c r="G198" s="6">
        <v>162</v>
      </c>
      <c r="H198" s="26"/>
      <c r="I198" s="75"/>
    </row>
    <row r="199" spans="1:9" ht="13">
      <c r="A199" s="14" t="s">
        <v>461</v>
      </c>
      <c r="B199" s="2" t="s">
        <v>462</v>
      </c>
      <c r="C199" s="28" t="s">
        <v>463</v>
      </c>
      <c r="D199" s="2">
        <v>2020</v>
      </c>
      <c r="E199" s="4">
        <v>12</v>
      </c>
      <c r="F199" s="5" t="s">
        <v>32</v>
      </c>
      <c r="G199" s="6">
        <v>174</v>
      </c>
      <c r="H199" s="26"/>
      <c r="I199" s="18">
        <v>1</v>
      </c>
    </row>
    <row r="200" spans="1:9" ht="18">
      <c r="A200" s="694" t="s">
        <v>464</v>
      </c>
      <c r="B200" s="689"/>
      <c r="C200" s="689"/>
      <c r="D200" s="689"/>
      <c r="E200" s="689"/>
      <c r="F200" s="689"/>
      <c r="G200" s="689"/>
      <c r="H200" s="689"/>
      <c r="I200" s="690"/>
    </row>
    <row r="201" spans="1:9" ht="13">
      <c r="A201" s="1" t="s">
        <v>465</v>
      </c>
      <c r="B201" s="76" t="s">
        <v>466</v>
      </c>
      <c r="C201" s="77" t="s">
        <v>467</v>
      </c>
      <c r="D201" s="76">
        <v>2018</v>
      </c>
      <c r="E201" s="78">
        <v>12</v>
      </c>
      <c r="F201" s="79" t="s">
        <v>32</v>
      </c>
      <c r="G201" s="80">
        <v>168</v>
      </c>
      <c r="H201" s="33"/>
      <c r="I201" s="81"/>
    </row>
    <row r="202" spans="1:9" ht="13">
      <c r="A202" s="37" t="s">
        <v>468</v>
      </c>
      <c r="B202" s="2" t="s">
        <v>469</v>
      </c>
      <c r="C202" s="28" t="s">
        <v>470</v>
      </c>
      <c r="D202" s="2">
        <v>2022</v>
      </c>
      <c r="E202" s="82">
        <v>12</v>
      </c>
      <c r="F202" s="5" t="s">
        <v>32</v>
      </c>
      <c r="G202" s="83">
        <v>180</v>
      </c>
      <c r="H202" s="33"/>
      <c r="I202" s="84"/>
    </row>
    <row r="203" spans="1:9" ht="13">
      <c r="A203" s="1" t="s">
        <v>471</v>
      </c>
      <c r="B203" s="2" t="s">
        <v>472</v>
      </c>
      <c r="C203" s="28" t="s">
        <v>467</v>
      </c>
      <c r="D203" s="2">
        <v>2021</v>
      </c>
      <c r="E203" s="4">
        <v>12</v>
      </c>
      <c r="F203" s="5" t="s">
        <v>32</v>
      </c>
      <c r="G203" s="6">
        <v>156</v>
      </c>
      <c r="H203" s="33"/>
      <c r="I203" s="81"/>
    </row>
    <row r="204" spans="1:9" ht="13">
      <c r="A204" s="1" t="s">
        <v>473</v>
      </c>
      <c r="B204" s="2" t="s">
        <v>474</v>
      </c>
      <c r="C204" s="28" t="s">
        <v>4</v>
      </c>
      <c r="D204" s="2" t="s">
        <v>5</v>
      </c>
      <c r="E204" s="4">
        <v>12</v>
      </c>
      <c r="F204" s="5" t="s">
        <v>32</v>
      </c>
      <c r="G204" s="6">
        <v>144</v>
      </c>
      <c r="H204" s="33"/>
      <c r="I204" s="19"/>
    </row>
    <row r="205" spans="1:9" ht="13">
      <c r="A205" s="14" t="s">
        <v>475</v>
      </c>
      <c r="B205" s="2" t="s">
        <v>476</v>
      </c>
      <c r="C205" s="28" t="s">
        <v>61</v>
      </c>
      <c r="D205" s="2" t="s">
        <v>5</v>
      </c>
      <c r="E205" s="4">
        <v>12</v>
      </c>
      <c r="F205" s="5" t="s">
        <v>32</v>
      </c>
      <c r="G205" s="6">
        <v>144</v>
      </c>
      <c r="H205" s="33"/>
      <c r="I205" s="19"/>
    </row>
    <row r="206" spans="1:9" ht="13">
      <c r="A206" s="25" t="s">
        <v>477</v>
      </c>
      <c r="B206" s="5" t="s">
        <v>478</v>
      </c>
      <c r="C206" s="28" t="s">
        <v>479</v>
      </c>
      <c r="D206" s="5">
        <v>2020</v>
      </c>
      <c r="E206" s="4">
        <v>12</v>
      </c>
      <c r="F206" s="5" t="s">
        <v>32</v>
      </c>
      <c r="G206" s="29">
        <v>144</v>
      </c>
      <c r="H206" s="33"/>
      <c r="I206" s="19"/>
    </row>
    <row r="207" spans="1:9" ht="13">
      <c r="A207" s="14" t="s">
        <v>480</v>
      </c>
      <c r="B207" s="2" t="s">
        <v>481</v>
      </c>
      <c r="C207" s="28" t="s">
        <v>482</v>
      </c>
      <c r="D207" s="2">
        <v>2020</v>
      </c>
      <c r="E207" s="4">
        <v>12</v>
      </c>
      <c r="F207" s="5" t="s">
        <v>32</v>
      </c>
      <c r="G207" s="6">
        <v>144</v>
      </c>
      <c r="H207" s="33"/>
      <c r="I207" s="18">
        <v>0</v>
      </c>
    </row>
    <row r="208" spans="1:9" ht="13">
      <c r="A208" s="14" t="s">
        <v>483</v>
      </c>
      <c r="B208" s="2" t="s">
        <v>484</v>
      </c>
      <c r="C208" s="28" t="s">
        <v>485</v>
      </c>
      <c r="D208" s="2">
        <v>2021</v>
      </c>
      <c r="E208" s="4">
        <v>12</v>
      </c>
      <c r="F208" s="5" t="s">
        <v>32</v>
      </c>
      <c r="G208" s="6">
        <v>144</v>
      </c>
      <c r="H208" s="33"/>
      <c r="I208" s="18">
        <v>1</v>
      </c>
    </row>
    <row r="209" spans="1:9" ht="13">
      <c r="A209" s="14" t="s">
        <v>486</v>
      </c>
      <c r="B209" s="2" t="s">
        <v>487</v>
      </c>
      <c r="C209" s="28" t="s">
        <v>111</v>
      </c>
      <c r="D209" s="2">
        <v>2021</v>
      </c>
      <c r="E209" s="4">
        <v>12</v>
      </c>
      <c r="F209" s="5" t="s">
        <v>32</v>
      </c>
      <c r="G209" s="6">
        <v>144</v>
      </c>
      <c r="H209" s="33"/>
      <c r="I209" s="18">
        <v>1</v>
      </c>
    </row>
    <row r="210" spans="1:9" ht="13">
      <c r="A210" s="14" t="s">
        <v>488</v>
      </c>
      <c r="B210" s="2" t="s">
        <v>489</v>
      </c>
      <c r="C210" s="28" t="s">
        <v>67</v>
      </c>
      <c r="D210" s="2">
        <v>2020</v>
      </c>
      <c r="E210" s="4">
        <v>12</v>
      </c>
      <c r="F210" s="5" t="s">
        <v>32</v>
      </c>
      <c r="G210" s="6">
        <v>180</v>
      </c>
      <c r="H210" s="33"/>
      <c r="I210" s="81"/>
    </row>
    <row r="211" spans="1:9" ht="13">
      <c r="A211" s="14" t="s">
        <v>490</v>
      </c>
      <c r="B211" s="2" t="s">
        <v>491</v>
      </c>
      <c r="C211" s="28" t="s">
        <v>52</v>
      </c>
      <c r="D211" s="2">
        <v>2020</v>
      </c>
      <c r="E211" s="4">
        <v>12</v>
      </c>
      <c r="F211" s="5" t="s">
        <v>32</v>
      </c>
      <c r="G211" s="46">
        <v>144</v>
      </c>
      <c r="H211" s="85" t="s">
        <v>492</v>
      </c>
      <c r="I211" s="19"/>
    </row>
    <row r="212" spans="1:9" ht="18">
      <c r="A212" s="699" t="s">
        <v>493</v>
      </c>
      <c r="B212" s="689"/>
      <c r="C212" s="689"/>
      <c r="D212" s="689"/>
      <c r="E212" s="689"/>
      <c r="F212" s="689"/>
      <c r="G212" s="689"/>
      <c r="H212" s="689"/>
      <c r="I212" s="690"/>
    </row>
    <row r="213" spans="1:9" ht="13">
      <c r="A213" s="86" t="s">
        <v>494</v>
      </c>
      <c r="B213" s="87" t="s">
        <v>495</v>
      </c>
      <c r="C213" s="88" t="s">
        <v>9</v>
      </c>
      <c r="D213" s="89">
        <v>2022</v>
      </c>
      <c r="E213" s="90">
        <v>6</v>
      </c>
      <c r="F213" s="87" t="s">
        <v>32</v>
      </c>
      <c r="G213" s="91">
        <v>96</v>
      </c>
      <c r="H213" s="92"/>
      <c r="I213" s="93"/>
    </row>
    <row r="214" spans="1:9" ht="13">
      <c r="A214" s="94" t="s">
        <v>496</v>
      </c>
      <c r="B214" s="95" t="s">
        <v>497</v>
      </c>
      <c r="C214" s="88" t="s">
        <v>360</v>
      </c>
      <c r="D214" s="96">
        <v>2023</v>
      </c>
      <c r="E214" s="90">
        <v>12</v>
      </c>
      <c r="F214" s="87" t="s">
        <v>32</v>
      </c>
      <c r="G214" s="91">
        <v>228</v>
      </c>
      <c r="H214" s="97"/>
      <c r="I214" s="18">
        <v>1</v>
      </c>
    </row>
    <row r="215" spans="1:9" ht="13">
      <c r="A215" s="94" t="s">
        <v>498</v>
      </c>
      <c r="B215" s="95" t="s">
        <v>499</v>
      </c>
      <c r="C215" s="88" t="s">
        <v>360</v>
      </c>
      <c r="D215" s="96">
        <v>2023</v>
      </c>
      <c r="E215" s="90">
        <v>12</v>
      </c>
      <c r="F215" s="87" t="s">
        <v>32</v>
      </c>
      <c r="G215" s="91">
        <v>246</v>
      </c>
      <c r="H215" s="97"/>
      <c r="I215" s="18">
        <v>1</v>
      </c>
    </row>
    <row r="216" spans="1:9" ht="13">
      <c r="A216" s="94" t="s">
        <v>500</v>
      </c>
      <c r="B216" s="95" t="s">
        <v>501</v>
      </c>
      <c r="C216" s="88" t="s">
        <v>360</v>
      </c>
      <c r="D216" s="96">
        <v>2022</v>
      </c>
      <c r="E216" s="90">
        <v>6</v>
      </c>
      <c r="F216" s="87" t="s">
        <v>32</v>
      </c>
      <c r="G216" s="91">
        <v>111</v>
      </c>
      <c r="H216" s="92"/>
      <c r="I216" s="93"/>
    </row>
    <row r="217" spans="1:9" ht="18">
      <c r="A217" s="699" t="s">
        <v>502</v>
      </c>
      <c r="B217" s="689"/>
      <c r="C217" s="689"/>
      <c r="D217" s="689"/>
      <c r="E217" s="689"/>
      <c r="F217" s="689"/>
      <c r="G217" s="689"/>
      <c r="H217" s="689"/>
      <c r="I217" s="690"/>
    </row>
    <row r="218" spans="1:9" ht="13">
      <c r="A218" s="86" t="s">
        <v>494</v>
      </c>
      <c r="B218" s="87" t="s">
        <v>503</v>
      </c>
      <c r="C218" s="88" t="s">
        <v>9</v>
      </c>
      <c r="D218" s="89">
        <v>2022</v>
      </c>
      <c r="E218" s="90">
        <v>12</v>
      </c>
      <c r="F218" s="87" t="s">
        <v>32</v>
      </c>
      <c r="G218" s="91">
        <v>186</v>
      </c>
      <c r="H218" s="92"/>
      <c r="I218" s="98"/>
    </row>
    <row r="219" spans="1:9" ht="13">
      <c r="A219" s="99" t="s">
        <v>500</v>
      </c>
      <c r="B219" s="95" t="s">
        <v>504</v>
      </c>
      <c r="C219" s="88" t="s">
        <v>505</v>
      </c>
      <c r="D219" s="96">
        <v>2022</v>
      </c>
      <c r="E219" s="90">
        <v>12</v>
      </c>
      <c r="F219" s="87" t="s">
        <v>32</v>
      </c>
      <c r="G219" s="91">
        <v>186</v>
      </c>
      <c r="H219" s="92"/>
      <c r="I219" s="98"/>
    </row>
    <row r="220" spans="1:9" ht="13">
      <c r="A220" s="94" t="s">
        <v>506</v>
      </c>
      <c r="B220" s="87" t="s">
        <v>507</v>
      </c>
      <c r="C220" s="88" t="s">
        <v>155</v>
      </c>
      <c r="D220" s="89">
        <v>2023</v>
      </c>
      <c r="E220" s="90">
        <v>12</v>
      </c>
      <c r="F220" s="87" t="s">
        <v>32</v>
      </c>
      <c r="G220" s="100">
        <v>156</v>
      </c>
      <c r="H220" s="92"/>
      <c r="I220" s="93"/>
    </row>
    <row r="221" spans="1:9" ht="13">
      <c r="A221" s="94" t="s">
        <v>508</v>
      </c>
      <c r="B221" s="95" t="s">
        <v>509</v>
      </c>
      <c r="C221" s="88" t="s">
        <v>294</v>
      </c>
      <c r="D221" s="96">
        <v>2022</v>
      </c>
      <c r="E221" s="90">
        <v>12</v>
      </c>
      <c r="F221" s="87" t="s">
        <v>32</v>
      </c>
      <c r="G221" s="91">
        <v>168</v>
      </c>
      <c r="H221" s="92"/>
      <c r="I221" s="98"/>
    </row>
    <row r="222" spans="1:9" ht="18">
      <c r="A222" s="694" t="s">
        <v>510</v>
      </c>
      <c r="B222" s="689"/>
      <c r="C222" s="689"/>
      <c r="D222" s="689"/>
      <c r="E222" s="689"/>
      <c r="F222" s="689"/>
      <c r="G222" s="689"/>
      <c r="H222" s="689"/>
      <c r="I222" s="690"/>
    </row>
    <row r="223" spans="1:9" ht="13">
      <c r="A223" s="1" t="s">
        <v>511</v>
      </c>
      <c r="B223" s="2" t="s">
        <v>512</v>
      </c>
      <c r="C223" s="28" t="s">
        <v>513</v>
      </c>
      <c r="D223" s="2">
        <v>2021</v>
      </c>
      <c r="E223" s="4">
        <v>12</v>
      </c>
      <c r="F223" s="5" t="s">
        <v>32</v>
      </c>
      <c r="G223" s="6">
        <v>174</v>
      </c>
      <c r="H223" s="38"/>
      <c r="I223" s="30"/>
    </row>
    <row r="224" spans="1:9" ht="13">
      <c r="A224" s="1" t="s">
        <v>514</v>
      </c>
      <c r="B224" s="2" t="s">
        <v>515</v>
      </c>
      <c r="C224" s="28" t="s">
        <v>516</v>
      </c>
      <c r="D224" s="2">
        <v>2022</v>
      </c>
      <c r="E224" s="4">
        <v>12</v>
      </c>
      <c r="F224" s="5" t="s">
        <v>32</v>
      </c>
      <c r="G224" s="6">
        <v>132</v>
      </c>
      <c r="H224" s="101"/>
      <c r="I224" s="30"/>
    </row>
    <row r="225" spans="1:9" ht="13">
      <c r="A225" s="37" t="s">
        <v>517</v>
      </c>
      <c r="B225" s="2" t="s">
        <v>518</v>
      </c>
      <c r="C225" s="28" t="s">
        <v>519</v>
      </c>
      <c r="D225" s="2">
        <v>2022</v>
      </c>
      <c r="E225" s="4">
        <v>12</v>
      </c>
      <c r="F225" s="5" t="s">
        <v>32</v>
      </c>
      <c r="G225" s="6">
        <v>132</v>
      </c>
      <c r="H225" s="101"/>
      <c r="I225" s="30"/>
    </row>
    <row r="226" spans="1:9" ht="13">
      <c r="A226" s="14" t="s">
        <v>520</v>
      </c>
      <c r="B226" s="2" t="s">
        <v>521</v>
      </c>
      <c r="C226" s="28" t="s">
        <v>522</v>
      </c>
      <c r="D226" s="2">
        <v>2022</v>
      </c>
      <c r="E226" s="4">
        <v>12</v>
      </c>
      <c r="F226" s="5" t="s">
        <v>32</v>
      </c>
      <c r="G226" s="6">
        <v>132</v>
      </c>
      <c r="H226" s="101"/>
      <c r="I226" s="30"/>
    </row>
    <row r="227" spans="1:9" ht="13">
      <c r="A227" s="1" t="s">
        <v>523</v>
      </c>
      <c r="B227" s="2" t="s">
        <v>524</v>
      </c>
      <c r="C227" s="28" t="s">
        <v>525</v>
      </c>
      <c r="D227" s="2">
        <v>2020</v>
      </c>
      <c r="E227" s="4">
        <v>12</v>
      </c>
      <c r="F227" s="5" t="s">
        <v>32</v>
      </c>
      <c r="G227" s="6">
        <v>150</v>
      </c>
      <c r="H227" s="38"/>
      <c r="I227" s="30"/>
    </row>
    <row r="228" spans="1:9" ht="13">
      <c r="A228" s="1" t="s">
        <v>526</v>
      </c>
      <c r="B228" s="2" t="s">
        <v>527</v>
      </c>
      <c r="C228" s="28" t="s">
        <v>528</v>
      </c>
      <c r="D228" s="2">
        <v>2021</v>
      </c>
      <c r="E228" s="4">
        <v>12</v>
      </c>
      <c r="F228" s="5" t="s">
        <v>32</v>
      </c>
      <c r="G228" s="6">
        <v>144</v>
      </c>
      <c r="H228" s="101"/>
      <c r="I228" s="30"/>
    </row>
    <row r="229" spans="1:9" ht="13">
      <c r="A229" s="1" t="s">
        <v>529</v>
      </c>
      <c r="B229" s="2" t="s">
        <v>530</v>
      </c>
      <c r="C229" s="28" t="s">
        <v>528</v>
      </c>
      <c r="D229" s="2">
        <v>2020</v>
      </c>
      <c r="E229" s="4">
        <v>12</v>
      </c>
      <c r="F229" s="5" t="s">
        <v>32</v>
      </c>
      <c r="G229" s="6">
        <v>186</v>
      </c>
      <c r="H229" s="101"/>
      <c r="I229" s="30"/>
    </row>
    <row r="230" spans="1:9" ht="13">
      <c r="A230" s="1" t="s">
        <v>531</v>
      </c>
      <c r="B230" s="2" t="s">
        <v>532</v>
      </c>
      <c r="C230" s="28" t="s">
        <v>528</v>
      </c>
      <c r="D230" s="2">
        <v>2020</v>
      </c>
      <c r="E230" s="4">
        <v>6</v>
      </c>
      <c r="F230" s="5" t="s">
        <v>304</v>
      </c>
      <c r="G230" s="6">
        <v>207</v>
      </c>
      <c r="H230" s="101"/>
      <c r="I230" s="30"/>
    </row>
    <row r="231" spans="1:9" ht="13">
      <c r="A231" s="37" t="s">
        <v>533</v>
      </c>
      <c r="B231" s="2" t="s">
        <v>534</v>
      </c>
      <c r="C231" s="28" t="s">
        <v>291</v>
      </c>
      <c r="D231" s="2">
        <v>2017</v>
      </c>
      <c r="E231" s="4">
        <v>12</v>
      </c>
      <c r="F231" s="5" t="s">
        <v>32</v>
      </c>
      <c r="G231" s="6">
        <v>122</v>
      </c>
      <c r="H231" s="38"/>
      <c r="I231" s="30"/>
    </row>
    <row r="232" spans="1:9" ht="13">
      <c r="A232" s="14" t="s">
        <v>535</v>
      </c>
      <c r="B232" s="2" t="s">
        <v>536</v>
      </c>
      <c r="C232" s="28" t="s">
        <v>291</v>
      </c>
      <c r="D232" s="2">
        <v>2022</v>
      </c>
      <c r="E232" s="4">
        <v>12</v>
      </c>
      <c r="F232" s="5" t="s">
        <v>32</v>
      </c>
      <c r="G232" s="6">
        <v>132</v>
      </c>
      <c r="H232" s="38"/>
      <c r="I232" s="30"/>
    </row>
    <row r="233" spans="1:9" ht="13">
      <c r="A233" s="14" t="s">
        <v>537</v>
      </c>
      <c r="B233" s="2" t="s">
        <v>538</v>
      </c>
      <c r="C233" s="28" t="s">
        <v>442</v>
      </c>
      <c r="D233" s="2">
        <v>2022</v>
      </c>
      <c r="E233" s="4">
        <v>12</v>
      </c>
      <c r="F233" s="5" t="s">
        <v>32</v>
      </c>
      <c r="G233" s="6">
        <v>132</v>
      </c>
      <c r="H233" s="101"/>
      <c r="I233" s="30"/>
    </row>
    <row r="234" spans="1:9" ht="13">
      <c r="A234" s="14" t="s">
        <v>539</v>
      </c>
      <c r="B234" s="2" t="s">
        <v>540</v>
      </c>
      <c r="C234" s="28" t="s">
        <v>541</v>
      </c>
      <c r="D234" s="2">
        <v>2021</v>
      </c>
      <c r="E234" s="4">
        <v>12</v>
      </c>
      <c r="F234" s="5" t="s">
        <v>32</v>
      </c>
      <c r="G234" s="6">
        <v>168</v>
      </c>
      <c r="H234" s="101"/>
      <c r="I234" s="30"/>
    </row>
    <row r="235" spans="1:9" ht="13">
      <c r="A235" s="14" t="s">
        <v>542</v>
      </c>
      <c r="B235" s="2" t="s">
        <v>543</v>
      </c>
      <c r="C235" s="28" t="s">
        <v>541</v>
      </c>
      <c r="D235" s="2">
        <v>2021</v>
      </c>
      <c r="E235" s="4">
        <v>6</v>
      </c>
      <c r="F235" s="5" t="s">
        <v>304</v>
      </c>
      <c r="G235" s="6">
        <v>183</v>
      </c>
      <c r="H235" s="101"/>
      <c r="I235" s="30"/>
    </row>
    <row r="236" spans="1:9" ht="13">
      <c r="A236" s="1" t="s">
        <v>544</v>
      </c>
      <c r="B236" s="2" t="s">
        <v>545</v>
      </c>
      <c r="C236" s="28" t="s">
        <v>528</v>
      </c>
      <c r="D236" s="2">
        <v>2021</v>
      </c>
      <c r="E236" s="4">
        <v>12</v>
      </c>
      <c r="F236" s="5" t="s">
        <v>32</v>
      </c>
      <c r="G236" s="6">
        <v>168</v>
      </c>
      <c r="H236" s="38"/>
      <c r="I236" s="30"/>
    </row>
    <row r="237" spans="1:9" ht="13">
      <c r="A237" s="1" t="s">
        <v>546</v>
      </c>
      <c r="B237" s="2" t="s">
        <v>547</v>
      </c>
      <c r="C237" s="28" t="s">
        <v>528</v>
      </c>
      <c r="D237" s="2">
        <v>2011</v>
      </c>
      <c r="E237" s="4">
        <v>6</v>
      </c>
      <c r="F237" s="2" t="s">
        <v>304</v>
      </c>
      <c r="G237" s="6">
        <v>198</v>
      </c>
      <c r="H237" s="38"/>
      <c r="I237" s="30"/>
    </row>
    <row r="238" spans="1:9" ht="13">
      <c r="A238" s="14" t="s">
        <v>548</v>
      </c>
      <c r="B238" s="2" t="s">
        <v>549</v>
      </c>
      <c r="C238" s="28" t="s">
        <v>550</v>
      </c>
      <c r="D238" s="2">
        <v>2016</v>
      </c>
      <c r="E238" s="4">
        <v>12</v>
      </c>
      <c r="F238" s="5" t="s">
        <v>32</v>
      </c>
      <c r="G238" s="6">
        <v>172</v>
      </c>
      <c r="H238" s="38"/>
      <c r="I238" s="30"/>
    </row>
    <row r="239" spans="1:9" ht="13">
      <c r="A239" s="14" t="s">
        <v>551</v>
      </c>
      <c r="B239" s="2" t="s">
        <v>552</v>
      </c>
      <c r="C239" s="28" t="s">
        <v>550</v>
      </c>
      <c r="D239" s="2">
        <v>2015</v>
      </c>
      <c r="E239" s="4">
        <v>6</v>
      </c>
      <c r="F239" s="2" t="s">
        <v>304</v>
      </c>
      <c r="G239" s="6">
        <v>205</v>
      </c>
      <c r="H239" s="38"/>
      <c r="I239" s="30"/>
    </row>
    <row r="240" spans="1:9" ht="13">
      <c r="A240" s="14" t="s">
        <v>553</v>
      </c>
      <c r="B240" s="2" t="s">
        <v>554</v>
      </c>
      <c r="C240" s="28" t="s">
        <v>519</v>
      </c>
      <c r="D240" s="2">
        <v>2015</v>
      </c>
      <c r="E240" s="4">
        <v>6</v>
      </c>
      <c r="F240" s="2" t="s">
        <v>304</v>
      </c>
      <c r="G240" s="6">
        <v>204</v>
      </c>
      <c r="H240" s="38"/>
      <c r="I240" s="30"/>
    </row>
    <row r="241" spans="1:9" ht="13">
      <c r="A241" s="25" t="s">
        <v>555</v>
      </c>
      <c r="B241" s="2" t="s">
        <v>556</v>
      </c>
      <c r="C241" s="28" t="s">
        <v>155</v>
      </c>
      <c r="D241" s="2">
        <v>2018</v>
      </c>
      <c r="E241" s="4">
        <v>12</v>
      </c>
      <c r="F241" s="5" t="s">
        <v>32</v>
      </c>
      <c r="G241" s="6">
        <v>204</v>
      </c>
      <c r="H241" s="38"/>
      <c r="I241" s="30"/>
    </row>
    <row r="242" spans="1:9" ht="13">
      <c r="A242" s="14" t="s">
        <v>557</v>
      </c>
      <c r="B242" s="2" t="s">
        <v>558</v>
      </c>
      <c r="C242" s="28" t="s">
        <v>463</v>
      </c>
      <c r="D242" s="2">
        <v>2020</v>
      </c>
      <c r="E242" s="4">
        <v>12</v>
      </c>
      <c r="F242" s="5" t="s">
        <v>32</v>
      </c>
      <c r="G242" s="6">
        <v>204</v>
      </c>
      <c r="H242" s="38"/>
      <c r="I242" s="30"/>
    </row>
    <row r="243" spans="1:9" ht="13">
      <c r="A243" s="10" t="s">
        <v>559</v>
      </c>
      <c r="B243" s="2" t="s">
        <v>560</v>
      </c>
      <c r="C243" s="28" t="s">
        <v>528</v>
      </c>
      <c r="D243" s="2">
        <v>2020</v>
      </c>
      <c r="E243" s="4">
        <v>12</v>
      </c>
      <c r="F243" s="5" t="s">
        <v>32</v>
      </c>
      <c r="G243" s="6">
        <v>228</v>
      </c>
      <c r="H243" s="38"/>
      <c r="I243" s="30"/>
    </row>
    <row r="244" spans="1:9" ht="13">
      <c r="A244" s="1" t="s">
        <v>561</v>
      </c>
      <c r="B244" s="2" t="s">
        <v>562</v>
      </c>
      <c r="C244" s="28" t="s">
        <v>563</v>
      </c>
      <c r="D244" s="2">
        <v>2015</v>
      </c>
      <c r="E244" s="4">
        <v>20</v>
      </c>
      <c r="F244" s="2" t="s">
        <v>564</v>
      </c>
      <c r="G244" s="6">
        <v>294</v>
      </c>
      <c r="H244" s="38"/>
      <c r="I244" s="13"/>
    </row>
    <row r="245" spans="1:9" ht="18">
      <c r="A245" s="694" t="s">
        <v>565</v>
      </c>
      <c r="B245" s="689"/>
      <c r="C245" s="689"/>
      <c r="D245" s="689"/>
      <c r="E245" s="689"/>
      <c r="F245" s="689"/>
      <c r="G245" s="689"/>
      <c r="H245" s="689"/>
      <c r="I245" s="690"/>
    </row>
    <row r="246" spans="1:9" ht="13">
      <c r="A246" s="1" t="s">
        <v>566</v>
      </c>
      <c r="B246" s="2" t="s">
        <v>567</v>
      </c>
      <c r="C246" s="28" t="s">
        <v>133</v>
      </c>
      <c r="D246" s="2">
        <v>2020</v>
      </c>
      <c r="E246" s="4">
        <v>12</v>
      </c>
      <c r="F246" s="5" t="s">
        <v>32</v>
      </c>
      <c r="G246" s="6">
        <v>270</v>
      </c>
      <c r="H246" s="26"/>
      <c r="I246" s="18"/>
    </row>
    <row r="247" spans="1:9" ht="13">
      <c r="A247" s="1" t="s">
        <v>568</v>
      </c>
      <c r="B247" s="2" t="s">
        <v>569</v>
      </c>
      <c r="C247" s="28" t="s">
        <v>133</v>
      </c>
      <c r="D247" s="2">
        <v>2022</v>
      </c>
      <c r="E247" s="4">
        <v>12</v>
      </c>
      <c r="F247" s="5" t="s">
        <v>32</v>
      </c>
      <c r="G247" s="6">
        <v>282</v>
      </c>
      <c r="H247" s="26"/>
      <c r="I247" s="18"/>
    </row>
    <row r="248" spans="1:9" ht="13">
      <c r="A248" s="1" t="s">
        <v>570</v>
      </c>
      <c r="B248" s="2" t="s">
        <v>571</v>
      </c>
      <c r="C248" s="28" t="s">
        <v>133</v>
      </c>
      <c r="D248" s="2">
        <v>2022</v>
      </c>
      <c r="E248" s="4">
        <v>12</v>
      </c>
      <c r="F248" s="5" t="s">
        <v>32</v>
      </c>
      <c r="G248" s="6">
        <v>246</v>
      </c>
      <c r="H248" s="26"/>
      <c r="I248" s="18"/>
    </row>
    <row r="249" spans="1:9" ht="13">
      <c r="A249" s="1" t="s">
        <v>572</v>
      </c>
      <c r="B249" s="2" t="s">
        <v>573</v>
      </c>
      <c r="C249" s="28" t="s">
        <v>133</v>
      </c>
      <c r="D249" s="2">
        <v>2016</v>
      </c>
      <c r="E249" s="4">
        <v>12</v>
      </c>
      <c r="F249" s="5" t="s">
        <v>32</v>
      </c>
      <c r="G249" s="6">
        <v>276</v>
      </c>
      <c r="H249" s="33"/>
      <c r="I249" s="30"/>
    </row>
    <row r="250" spans="1:9" ht="13">
      <c r="A250" s="1" t="s">
        <v>574</v>
      </c>
      <c r="B250" s="2" t="s">
        <v>575</v>
      </c>
      <c r="C250" s="28" t="s">
        <v>133</v>
      </c>
      <c r="D250" s="2">
        <v>2019</v>
      </c>
      <c r="E250" s="4">
        <v>12</v>
      </c>
      <c r="F250" s="5" t="s">
        <v>32</v>
      </c>
      <c r="G250" s="6">
        <v>324</v>
      </c>
      <c r="H250" s="33"/>
      <c r="I250" s="30"/>
    </row>
    <row r="251" spans="1:9" ht="13">
      <c r="A251" s="1" t="s">
        <v>576</v>
      </c>
      <c r="B251" s="2" t="s">
        <v>577</v>
      </c>
      <c r="C251" s="28" t="s">
        <v>133</v>
      </c>
      <c r="D251" s="2">
        <v>2014</v>
      </c>
      <c r="E251" s="4">
        <v>12</v>
      </c>
      <c r="F251" s="5" t="s">
        <v>32</v>
      </c>
      <c r="G251" s="6">
        <v>200</v>
      </c>
      <c r="H251" s="33"/>
      <c r="I251" s="30"/>
    </row>
    <row r="252" spans="1:9" ht="23">
      <c r="A252" s="693" t="s">
        <v>578</v>
      </c>
      <c r="B252" s="689"/>
      <c r="C252" s="689"/>
      <c r="D252" s="689"/>
      <c r="E252" s="689"/>
      <c r="F252" s="689"/>
      <c r="G252" s="689"/>
      <c r="H252" s="689"/>
      <c r="I252" s="690"/>
    </row>
    <row r="253" spans="1:9" ht="18">
      <c r="A253" s="696" t="s">
        <v>579</v>
      </c>
      <c r="B253" s="689"/>
      <c r="C253" s="689"/>
      <c r="D253" s="689"/>
      <c r="E253" s="689"/>
      <c r="F253" s="689"/>
      <c r="G253" s="689"/>
      <c r="H253" s="689"/>
      <c r="I253" s="690"/>
    </row>
    <row r="254" spans="1:9" ht="13">
      <c r="A254" s="15" t="s">
        <v>580</v>
      </c>
      <c r="B254" s="5" t="s">
        <v>581</v>
      </c>
      <c r="C254" s="28" t="s">
        <v>582</v>
      </c>
      <c r="D254" s="5" t="s">
        <v>5</v>
      </c>
      <c r="E254" s="4">
        <v>6</v>
      </c>
      <c r="F254" s="5" t="s">
        <v>32</v>
      </c>
      <c r="G254" s="41">
        <v>162</v>
      </c>
      <c r="H254" s="23"/>
      <c r="I254" s="19"/>
    </row>
    <row r="255" spans="1:9" ht="13">
      <c r="A255" s="15" t="s">
        <v>583</v>
      </c>
      <c r="B255" s="5" t="s">
        <v>584</v>
      </c>
      <c r="C255" s="28" t="s">
        <v>582</v>
      </c>
      <c r="D255" s="5" t="s">
        <v>5</v>
      </c>
      <c r="E255" s="4">
        <v>6</v>
      </c>
      <c r="F255" s="5" t="s">
        <v>32</v>
      </c>
      <c r="G255" s="41">
        <v>174</v>
      </c>
      <c r="H255" s="23"/>
      <c r="I255" s="19"/>
    </row>
    <row r="256" spans="1:9" ht="13">
      <c r="A256" s="39" t="s">
        <v>585</v>
      </c>
      <c r="B256" s="5" t="s">
        <v>586</v>
      </c>
      <c r="C256" s="28" t="s">
        <v>582</v>
      </c>
      <c r="D256" s="5" t="s">
        <v>5</v>
      </c>
      <c r="E256" s="4">
        <v>6</v>
      </c>
      <c r="F256" s="5" t="s">
        <v>32</v>
      </c>
      <c r="G256" s="41">
        <v>192</v>
      </c>
      <c r="H256" s="23"/>
      <c r="I256" s="32"/>
    </row>
    <row r="257" spans="1:9" ht="13">
      <c r="A257" s="15" t="s">
        <v>587</v>
      </c>
      <c r="B257" s="5" t="s">
        <v>588</v>
      </c>
      <c r="C257" s="28" t="s">
        <v>582</v>
      </c>
      <c r="D257" s="5" t="s">
        <v>5</v>
      </c>
      <c r="E257" s="4">
        <v>6</v>
      </c>
      <c r="F257" s="5" t="s">
        <v>32</v>
      </c>
      <c r="G257" s="41">
        <v>282</v>
      </c>
      <c r="H257" s="31"/>
      <c r="I257" s="30"/>
    </row>
    <row r="258" spans="1:9" ht="13">
      <c r="A258" s="15" t="s">
        <v>589</v>
      </c>
      <c r="B258" s="5" t="s">
        <v>590</v>
      </c>
      <c r="C258" s="102" t="s">
        <v>591</v>
      </c>
      <c r="D258" s="5" t="s">
        <v>5</v>
      </c>
      <c r="E258" s="4">
        <v>6</v>
      </c>
      <c r="F258" s="5" t="s">
        <v>32</v>
      </c>
      <c r="G258" s="41">
        <v>309</v>
      </c>
      <c r="H258" s="31"/>
      <c r="I258" s="30"/>
    </row>
    <row r="259" spans="1:9" ht="13">
      <c r="A259" s="15" t="s">
        <v>592</v>
      </c>
      <c r="B259" s="5" t="s">
        <v>593</v>
      </c>
      <c r="C259" s="103" t="s">
        <v>463</v>
      </c>
      <c r="D259" s="5">
        <v>2011</v>
      </c>
      <c r="E259" s="4">
        <v>12</v>
      </c>
      <c r="F259" s="5" t="s">
        <v>32</v>
      </c>
      <c r="G259" s="41">
        <v>456</v>
      </c>
      <c r="H259" s="31"/>
      <c r="I259" s="30"/>
    </row>
    <row r="260" spans="1:9" ht="13">
      <c r="A260" s="15" t="s">
        <v>594</v>
      </c>
      <c r="B260" s="5" t="s">
        <v>595</v>
      </c>
      <c r="C260" s="28" t="s">
        <v>4</v>
      </c>
      <c r="D260" s="5">
        <v>2021</v>
      </c>
      <c r="E260" s="4">
        <v>6</v>
      </c>
      <c r="F260" s="2" t="s">
        <v>32</v>
      </c>
      <c r="G260" s="41">
        <v>210</v>
      </c>
      <c r="H260" s="31"/>
      <c r="I260" s="30"/>
    </row>
    <row r="261" spans="1:9" ht="13">
      <c r="A261" s="15" t="s">
        <v>596</v>
      </c>
      <c r="B261" s="5" t="s">
        <v>597</v>
      </c>
      <c r="C261" s="28" t="s">
        <v>598</v>
      </c>
      <c r="D261" s="5">
        <v>2022</v>
      </c>
      <c r="E261" s="4">
        <v>6</v>
      </c>
      <c r="F261" s="2" t="s">
        <v>32</v>
      </c>
      <c r="G261" s="41">
        <v>264</v>
      </c>
      <c r="H261" s="23"/>
      <c r="I261" s="30"/>
    </row>
    <row r="262" spans="1:9" ht="13">
      <c r="A262" s="15" t="s">
        <v>599</v>
      </c>
      <c r="B262" s="5" t="s">
        <v>600</v>
      </c>
      <c r="C262" s="28" t="s">
        <v>601</v>
      </c>
      <c r="D262" s="5">
        <v>2022</v>
      </c>
      <c r="E262" s="4">
        <v>6</v>
      </c>
      <c r="F262" s="2" t="s">
        <v>32</v>
      </c>
      <c r="G262" s="41">
        <v>222</v>
      </c>
      <c r="H262" s="31"/>
      <c r="I262" s="32"/>
    </row>
    <row r="263" spans="1:9" ht="13">
      <c r="A263" s="25" t="s">
        <v>602</v>
      </c>
      <c r="B263" s="5" t="s">
        <v>603</v>
      </c>
      <c r="C263" s="102" t="s">
        <v>591</v>
      </c>
      <c r="D263" s="5">
        <v>2022</v>
      </c>
      <c r="E263" s="4">
        <v>6</v>
      </c>
      <c r="F263" s="2" t="s">
        <v>32</v>
      </c>
      <c r="G263" s="41">
        <v>222</v>
      </c>
      <c r="H263" s="31"/>
      <c r="I263" s="30"/>
    </row>
    <row r="264" spans="1:9" ht="13">
      <c r="A264" s="25" t="s">
        <v>604</v>
      </c>
      <c r="B264" s="5" t="s">
        <v>605</v>
      </c>
      <c r="C264" s="28" t="s">
        <v>463</v>
      </c>
      <c r="D264" s="5">
        <v>2020</v>
      </c>
      <c r="E264" s="4">
        <v>6</v>
      </c>
      <c r="F264" s="2" t="s">
        <v>32</v>
      </c>
      <c r="G264" s="41">
        <v>216</v>
      </c>
      <c r="H264" s="31"/>
      <c r="I264" s="30"/>
    </row>
    <row r="265" spans="1:9" ht="23">
      <c r="A265" s="693" t="s">
        <v>606</v>
      </c>
      <c r="B265" s="689"/>
      <c r="C265" s="689"/>
      <c r="D265" s="689"/>
      <c r="E265" s="689"/>
      <c r="F265" s="689"/>
      <c r="G265" s="689"/>
      <c r="H265" s="689"/>
      <c r="I265" s="690"/>
    </row>
    <row r="266" spans="1:9" ht="18">
      <c r="A266" s="694" t="s">
        <v>607</v>
      </c>
      <c r="B266" s="689"/>
      <c r="C266" s="689"/>
      <c r="D266" s="689"/>
      <c r="E266" s="689"/>
      <c r="F266" s="689"/>
      <c r="G266" s="689"/>
      <c r="H266" s="689"/>
      <c r="I266" s="690"/>
    </row>
    <row r="267" spans="1:9" ht="13">
      <c r="A267" s="1" t="s">
        <v>608</v>
      </c>
      <c r="B267" s="5" t="s">
        <v>609</v>
      </c>
      <c r="C267" s="28" t="s">
        <v>4</v>
      </c>
      <c r="D267" s="2" t="s">
        <v>5</v>
      </c>
      <c r="E267" s="4">
        <v>6</v>
      </c>
      <c r="F267" s="5" t="s">
        <v>32</v>
      </c>
      <c r="G267" s="6">
        <v>93</v>
      </c>
      <c r="H267" s="38"/>
      <c r="I267" s="19"/>
    </row>
    <row r="268" spans="1:9" ht="13">
      <c r="A268" s="1" t="s">
        <v>610</v>
      </c>
      <c r="B268" s="5" t="s">
        <v>611</v>
      </c>
      <c r="C268" s="28" t="s">
        <v>612</v>
      </c>
      <c r="D268" s="2" t="s">
        <v>5</v>
      </c>
      <c r="E268" s="4">
        <v>6</v>
      </c>
      <c r="F268" s="5" t="s">
        <v>32</v>
      </c>
      <c r="G268" s="46">
        <v>84</v>
      </c>
      <c r="H268" s="104" t="s">
        <v>613</v>
      </c>
      <c r="I268" s="32"/>
    </row>
    <row r="269" spans="1:9" ht="13">
      <c r="A269" s="1" t="s">
        <v>614</v>
      </c>
      <c r="B269" s="5" t="s">
        <v>611</v>
      </c>
      <c r="C269" s="28" t="s">
        <v>612</v>
      </c>
      <c r="D269" s="2" t="s">
        <v>5</v>
      </c>
      <c r="E269" s="4">
        <v>6</v>
      </c>
      <c r="F269" s="5" t="s">
        <v>32</v>
      </c>
      <c r="G269" s="6">
        <v>123</v>
      </c>
      <c r="H269" s="38"/>
      <c r="I269" s="32"/>
    </row>
    <row r="270" spans="1:9" ht="13">
      <c r="A270" s="37" t="s">
        <v>615</v>
      </c>
      <c r="B270" s="5" t="s">
        <v>616</v>
      </c>
      <c r="C270" s="28" t="s">
        <v>617</v>
      </c>
      <c r="D270" s="2" t="s">
        <v>5</v>
      </c>
      <c r="E270" s="4">
        <v>6</v>
      </c>
      <c r="F270" s="5" t="s">
        <v>32</v>
      </c>
      <c r="G270" s="6">
        <v>117</v>
      </c>
      <c r="H270" s="38"/>
      <c r="I270" s="32"/>
    </row>
    <row r="271" spans="1:9" ht="13">
      <c r="A271" s="1" t="s">
        <v>618</v>
      </c>
      <c r="B271" s="5" t="s">
        <v>619</v>
      </c>
      <c r="C271" s="28" t="s">
        <v>612</v>
      </c>
      <c r="D271" s="2">
        <v>2020</v>
      </c>
      <c r="E271" s="4">
        <v>12</v>
      </c>
      <c r="F271" s="5" t="s">
        <v>32</v>
      </c>
      <c r="G271" s="6">
        <v>192</v>
      </c>
      <c r="H271" s="38"/>
      <c r="I271" s="19"/>
    </row>
    <row r="272" spans="1:9" ht="13">
      <c r="A272" s="1" t="s">
        <v>620</v>
      </c>
      <c r="B272" s="5" t="s">
        <v>621</v>
      </c>
      <c r="C272" s="28" t="s">
        <v>612</v>
      </c>
      <c r="D272" s="2">
        <v>2022</v>
      </c>
      <c r="E272" s="4">
        <v>12</v>
      </c>
      <c r="F272" s="5" t="s">
        <v>32</v>
      </c>
      <c r="G272" s="6">
        <v>276</v>
      </c>
      <c r="H272" s="38"/>
      <c r="I272" s="32"/>
    </row>
    <row r="273" spans="1:9" ht="13">
      <c r="A273" s="1" t="s">
        <v>622</v>
      </c>
      <c r="B273" s="5" t="s">
        <v>623</v>
      </c>
      <c r="C273" s="28" t="s">
        <v>4</v>
      </c>
      <c r="D273" s="2">
        <v>2020</v>
      </c>
      <c r="E273" s="4">
        <v>12</v>
      </c>
      <c r="F273" s="5" t="s">
        <v>32</v>
      </c>
      <c r="G273" s="6">
        <v>252</v>
      </c>
      <c r="H273" s="38"/>
      <c r="I273" s="30"/>
    </row>
    <row r="274" spans="1:9" ht="13">
      <c r="A274" s="1" t="s">
        <v>624</v>
      </c>
      <c r="B274" s="5" t="s">
        <v>625</v>
      </c>
      <c r="C274" s="28" t="s">
        <v>4</v>
      </c>
      <c r="D274" s="2">
        <v>2020</v>
      </c>
      <c r="E274" s="4">
        <v>12</v>
      </c>
      <c r="F274" s="5" t="s">
        <v>32</v>
      </c>
      <c r="G274" s="6">
        <v>252</v>
      </c>
      <c r="H274" s="38"/>
      <c r="I274" s="19"/>
    </row>
    <row r="275" spans="1:9" ht="13">
      <c r="A275" s="1" t="s">
        <v>626</v>
      </c>
      <c r="B275" s="5" t="s">
        <v>627</v>
      </c>
      <c r="C275" s="28" t="s">
        <v>4</v>
      </c>
      <c r="D275" s="2">
        <v>2016</v>
      </c>
      <c r="E275" s="4">
        <v>12</v>
      </c>
      <c r="F275" s="5" t="s">
        <v>32</v>
      </c>
      <c r="G275" s="6">
        <v>180</v>
      </c>
      <c r="H275" s="38"/>
      <c r="I275" s="30"/>
    </row>
    <row r="276" spans="1:9" ht="13">
      <c r="A276" s="1" t="s">
        <v>628</v>
      </c>
      <c r="B276" s="5" t="s">
        <v>629</v>
      </c>
      <c r="C276" s="28" t="s">
        <v>4</v>
      </c>
      <c r="D276" s="2">
        <v>2022</v>
      </c>
      <c r="E276" s="4">
        <v>12</v>
      </c>
      <c r="F276" s="5" t="s">
        <v>32</v>
      </c>
      <c r="G276" s="6">
        <v>276</v>
      </c>
      <c r="H276" s="38"/>
      <c r="I276" s="32"/>
    </row>
    <row r="277" spans="1:9" ht="13">
      <c r="A277" s="1" t="s">
        <v>630</v>
      </c>
      <c r="B277" s="5" t="s">
        <v>631</v>
      </c>
      <c r="C277" s="28" t="s">
        <v>4</v>
      </c>
      <c r="D277" s="2">
        <v>2020</v>
      </c>
      <c r="E277" s="4">
        <v>12</v>
      </c>
      <c r="F277" s="5" t="s">
        <v>32</v>
      </c>
      <c r="G277" s="6">
        <v>276</v>
      </c>
      <c r="H277" s="38"/>
      <c r="I277" s="30"/>
    </row>
    <row r="278" spans="1:9" ht="13">
      <c r="A278" s="1" t="s">
        <v>632</v>
      </c>
      <c r="B278" s="5" t="s">
        <v>633</v>
      </c>
      <c r="C278" s="28" t="s">
        <v>4</v>
      </c>
      <c r="D278" s="2">
        <v>2018</v>
      </c>
      <c r="E278" s="4">
        <v>12</v>
      </c>
      <c r="F278" s="5" t="s">
        <v>32</v>
      </c>
      <c r="G278" s="6">
        <v>270</v>
      </c>
      <c r="H278" s="38"/>
      <c r="I278" s="30"/>
    </row>
    <row r="279" spans="1:9" ht="13">
      <c r="A279" s="1" t="s">
        <v>634</v>
      </c>
      <c r="B279" s="5" t="s">
        <v>635</v>
      </c>
      <c r="C279" s="28" t="s">
        <v>4</v>
      </c>
      <c r="D279" s="2">
        <v>2020</v>
      </c>
      <c r="E279" s="4">
        <v>12</v>
      </c>
      <c r="F279" s="5" t="s">
        <v>32</v>
      </c>
      <c r="G279" s="6">
        <v>396</v>
      </c>
      <c r="H279" s="38"/>
      <c r="I279" s="32"/>
    </row>
    <row r="280" spans="1:9" ht="13">
      <c r="A280" s="1" t="s">
        <v>636</v>
      </c>
      <c r="B280" s="5" t="s">
        <v>637</v>
      </c>
      <c r="C280" s="28" t="s">
        <v>4</v>
      </c>
      <c r="D280" s="2">
        <v>2022</v>
      </c>
      <c r="E280" s="4">
        <v>12</v>
      </c>
      <c r="F280" s="5" t="s">
        <v>32</v>
      </c>
      <c r="G280" s="6">
        <v>552</v>
      </c>
      <c r="H280" s="38"/>
      <c r="I280" s="32"/>
    </row>
    <row r="281" spans="1:9" ht="13">
      <c r="A281" s="1" t="s">
        <v>638</v>
      </c>
      <c r="B281" s="5" t="s">
        <v>639</v>
      </c>
      <c r="C281" s="28" t="s">
        <v>4</v>
      </c>
      <c r="D281" s="2">
        <v>2022</v>
      </c>
      <c r="E281" s="4">
        <v>12</v>
      </c>
      <c r="F281" s="5" t="s">
        <v>32</v>
      </c>
      <c r="G281" s="6">
        <v>432</v>
      </c>
      <c r="H281" s="38"/>
      <c r="I281" s="32"/>
    </row>
    <row r="282" spans="1:9" ht="13">
      <c r="A282" s="1" t="s">
        <v>640</v>
      </c>
      <c r="B282" s="5" t="s">
        <v>641</v>
      </c>
      <c r="C282" s="28" t="s">
        <v>4</v>
      </c>
      <c r="D282" s="2">
        <v>2021</v>
      </c>
      <c r="E282" s="4">
        <v>12</v>
      </c>
      <c r="F282" s="5" t="s">
        <v>32</v>
      </c>
      <c r="G282" s="6">
        <v>492</v>
      </c>
      <c r="H282" s="38"/>
      <c r="I282" s="32"/>
    </row>
    <row r="283" spans="1:9" ht="13">
      <c r="A283" s="1" t="s">
        <v>642</v>
      </c>
      <c r="B283" s="5" t="s">
        <v>643</v>
      </c>
      <c r="C283" s="28" t="s">
        <v>4</v>
      </c>
      <c r="D283" s="2">
        <v>2017</v>
      </c>
      <c r="E283" s="4">
        <v>12</v>
      </c>
      <c r="F283" s="5" t="s">
        <v>32</v>
      </c>
      <c r="G283" s="6">
        <v>300</v>
      </c>
      <c r="H283" s="38"/>
      <c r="I283" s="30"/>
    </row>
    <row r="284" spans="1:9" ht="13">
      <c r="A284" s="1" t="s">
        <v>644</v>
      </c>
      <c r="B284" s="5" t="s">
        <v>645</v>
      </c>
      <c r="C284" s="28" t="s">
        <v>4</v>
      </c>
      <c r="D284" s="2">
        <v>2021</v>
      </c>
      <c r="E284" s="4">
        <v>12</v>
      </c>
      <c r="F284" s="5" t="s">
        <v>32</v>
      </c>
      <c r="G284" s="6">
        <v>492</v>
      </c>
      <c r="H284" s="38"/>
      <c r="I284" s="32"/>
    </row>
    <row r="285" spans="1:9" ht="13">
      <c r="A285" s="1" t="s">
        <v>646</v>
      </c>
      <c r="B285" s="5" t="s">
        <v>645</v>
      </c>
      <c r="C285" s="28" t="s">
        <v>4</v>
      </c>
      <c r="D285" s="2">
        <v>2022</v>
      </c>
      <c r="E285" s="4">
        <v>12</v>
      </c>
      <c r="F285" s="5" t="s">
        <v>32</v>
      </c>
      <c r="G285" s="6">
        <v>396</v>
      </c>
      <c r="H285" s="38"/>
      <c r="I285" s="32"/>
    </row>
    <row r="286" spans="1:9" ht="13">
      <c r="A286" s="1" t="s">
        <v>647</v>
      </c>
      <c r="B286" s="5" t="s">
        <v>648</v>
      </c>
      <c r="C286" s="28" t="s">
        <v>4</v>
      </c>
      <c r="D286" s="2">
        <v>2020</v>
      </c>
      <c r="E286" s="4">
        <v>12</v>
      </c>
      <c r="F286" s="5" t="s">
        <v>32</v>
      </c>
      <c r="G286" s="6">
        <v>342</v>
      </c>
      <c r="H286" s="38"/>
      <c r="I286" s="30"/>
    </row>
    <row r="287" spans="1:9" ht="13">
      <c r="A287" s="1" t="s">
        <v>649</v>
      </c>
      <c r="B287" s="5" t="s">
        <v>650</v>
      </c>
      <c r="C287" s="28" t="s">
        <v>4</v>
      </c>
      <c r="D287" s="2">
        <v>2016</v>
      </c>
      <c r="E287" s="4">
        <v>12</v>
      </c>
      <c r="F287" s="5" t="s">
        <v>32</v>
      </c>
      <c r="G287" s="6">
        <v>354</v>
      </c>
      <c r="H287" s="38"/>
      <c r="I287" s="30"/>
    </row>
    <row r="288" spans="1:9" ht="13">
      <c r="A288" s="1" t="s">
        <v>651</v>
      </c>
      <c r="B288" s="5" t="s">
        <v>652</v>
      </c>
      <c r="C288" s="28" t="s">
        <v>4</v>
      </c>
      <c r="D288" s="2">
        <v>2019</v>
      </c>
      <c r="E288" s="4">
        <v>12</v>
      </c>
      <c r="F288" s="5" t="s">
        <v>32</v>
      </c>
      <c r="G288" s="6">
        <v>252</v>
      </c>
      <c r="H288" s="38"/>
      <c r="I288" s="30"/>
    </row>
    <row r="289" spans="1:9" ht="13">
      <c r="A289" s="1" t="s">
        <v>653</v>
      </c>
      <c r="B289" s="5" t="s">
        <v>654</v>
      </c>
      <c r="C289" s="28" t="s">
        <v>4</v>
      </c>
      <c r="D289" s="2">
        <v>2018</v>
      </c>
      <c r="E289" s="4">
        <v>12</v>
      </c>
      <c r="F289" s="5" t="s">
        <v>32</v>
      </c>
      <c r="G289" s="6">
        <v>288</v>
      </c>
      <c r="H289" s="38"/>
      <c r="I289" s="30"/>
    </row>
    <row r="290" spans="1:9" ht="13">
      <c r="A290" s="1" t="s">
        <v>655</v>
      </c>
      <c r="B290" s="5" t="s">
        <v>656</v>
      </c>
      <c r="C290" s="28" t="s">
        <v>4</v>
      </c>
      <c r="D290" s="2">
        <v>2018</v>
      </c>
      <c r="E290" s="4">
        <v>12</v>
      </c>
      <c r="F290" s="5" t="s">
        <v>32</v>
      </c>
      <c r="G290" s="6">
        <v>342</v>
      </c>
      <c r="H290" s="38"/>
      <c r="I290" s="30"/>
    </row>
    <row r="291" spans="1:9" ht="13">
      <c r="A291" s="1" t="s">
        <v>657</v>
      </c>
      <c r="B291" s="5" t="s">
        <v>658</v>
      </c>
      <c r="C291" s="28" t="s">
        <v>4</v>
      </c>
      <c r="D291" s="2">
        <v>2019</v>
      </c>
      <c r="E291" s="4">
        <v>12</v>
      </c>
      <c r="F291" s="5" t="s">
        <v>32</v>
      </c>
      <c r="G291" s="6">
        <v>354</v>
      </c>
      <c r="H291" s="38"/>
      <c r="I291" s="30"/>
    </row>
    <row r="292" spans="1:9" ht="13">
      <c r="A292" s="1" t="s">
        <v>659</v>
      </c>
      <c r="B292" s="5" t="s">
        <v>660</v>
      </c>
      <c r="C292" s="28" t="s">
        <v>4</v>
      </c>
      <c r="D292" s="2">
        <v>2022</v>
      </c>
      <c r="E292" s="4">
        <v>12</v>
      </c>
      <c r="F292" s="5" t="s">
        <v>32</v>
      </c>
      <c r="G292" s="6">
        <v>1296</v>
      </c>
      <c r="H292" s="38"/>
      <c r="I292" s="30"/>
    </row>
    <row r="293" spans="1:9" ht="13">
      <c r="A293" s="14" t="s">
        <v>661</v>
      </c>
      <c r="B293" s="5" t="s">
        <v>662</v>
      </c>
      <c r="C293" s="28" t="s">
        <v>155</v>
      </c>
      <c r="D293" s="2">
        <v>2020</v>
      </c>
      <c r="E293" s="4">
        <v>12</v>
      </c>
      <c r="F293" s="5" t="s">
        <v>32</v>
      </c>
      <c r="G293" s="6">
        <v>144</v>
      </c>
      <c r="H293" s="38"/>
      <c r="I293" s="30"/>
    </row>
    <row r="294" spans="1:9" ht="13">
      <c r="A294" s="14" t="s">
        <v>663</v>
      </c>
      <c r="B294" s="5" t="s">
        <v>664</v>
      </c>
      <c r="C294" s="28" t="s">
        <v>463</v>
      </c>
      <c r="D294" s="2">
        <v>2022</v>
      </c>
      <c r="E294" s="4">
        <v>12</v>
      </c>
      <c r="F294" s="5" t="s">
        <v>32</v>
      </c>
      <c r="G294" s="6">
        <v>288</v>
      </c>
      <c r="H294" s="38"/>
      <c r="I294" s="32"/>
    </row>
    <row r="295" spans="1:9" ht="13">
      <c r="A295" s="14" t="s">
        <v>665</v>
      </c>
      <c r="B295" s="5" t="s">
        <v>664</v>
      </c>
      <c r="C295" s="28" t="s">
        <v>463</v>
      </c>
      <c r="D295" s="2">
        <v>2021</v>
      </c>
      <c r="E295" s="4">
        <v>12</v>
      </c>
      <c r="F295" s="5" t="s">
        <v>32</v>
      </c>
      <c r="G295" s="6">
        <v>342</v>
      </c>
      <c r="H295" s="38"/>
      <c r="I295" s="32"/>
    </row>
    <row r="296" spans="1:9" ht="13">
      <c r="A296" s="14" t="s">
        <v>666</v>
      </c>
      <c r="B296" s="5" t="s">
        <v>667</v>
      </c>
      <c r="C296" s="28" t="s">
        <v>463</v>
      </c>
      <c r="D296" s="2">
        <v>2020</v>
      </c>
      <c r="E296" s="4">
        <v>12</v>
      </c>
      <c r="F296" s="5" t="s">
        <v>32</v>
      </c>
      <c r="G296" s="6">
        <v>252</v>
      </c>
      <c r="H296" s="38"/>
      <c r="I296" s="30"/>
    </row>
    <row r="297" spans="1:9" ht="13">
      <c r="A297" s="14" t="s">
        <v>668</v>
      </c>
      <c r="B297" s="5" t="s">
        <v>669</v>
      </c>
      <c r="C297" s="28" t="s">
        <v>463</v>
      </c>
      <c r="D297" s="2">
        <v>2019</v>
      </c>
      <c r="E297" s="4">
        <v>12</v>
      </c>
      <c r="F297" s="5" t="s">
        <v>32</v>
      </c>
      <c r="G297" s="6">
        <v>288</v>
      </c>
      <c r="H297" s="38"/>
      <c r="I297" s="30"/>
    </row>
    <row r="298" spans="1:9" ht="13">
      <c r="A298" s="14" t="s">
        <v>670</v>
      </c>
      <c r="B298" s="5" t="s">
        <v>671</v>
      </c>
      <c r="C298" s="28" t="s">
        <v>463</v>
      </c>
      <c r="D298" s="2">
        <v>2022</v>
      </c>
      <c r="E298" s="4">
        <v>12</v>
      </c>
      <c r="F298" s="5" t="s">
        <v>32</v>
      </c>
      <c r="G298" s="6">
        <v>552</v>
      </c>
      <c r="H298" s="38"/>
      <c r="I298" s="32"/>
    </row>
    <row r="299" spans="1:9" ht="13">
      <c r="A299" s="14" t="s">
        <v>672</v>
      </c>
      <c r="B299" s="5" t="s">
        <v>673</v>
      </c>
      <c r="C299" s="28" t="s">
        <v>463</v>
      </c>
      <c r="D299" s="2">
        <v>2016</v>
      </c>
      <c r="E299" s="4">
        <v>12</v>
      </c>
      <c r="F299" s="5" t="s">
        <v>32</v>
      </c>
      <c r="G299" s="6">
        <v>258</v>
      </c>
      <c r="H299" s="38"/>
      <c r="I299" s="30"/>
    </row>
    <row r="300" spans="1:9" ht="13">
      <c r="A300" s="14" t="s">
        <v>674</v>
      </c>
      <c r="B300" s="5" t="s">
        <v>675</v>
      </c>
      <c r="C300" s="28" t="s">
        <v>463</v>
      </c>
      <c r="D300" s="2">
        <v>2017</v>
      </c>
      <c r="E300" s="4">
        <v>12</v>
      </c>
      <c r="F300" s="5" t="s">
        <v>32</v>
      </c>
      <c r="G300" s="6">
        <v>288</v>
      </c>
      <c r="H300" s="38"/>
      <c r="I300" s="30"/>
    </row>
    <row r="301" spans="1:9" ht="13">
      <c r="A301" s="14" t="s">
        <v>676</v>
      </c>
      <c r="B301" s="5" t="s">
        <v>677</v>
      </c>
      <c r="C301" s="28" t="s">
        <v>463</v>
      </c>
      <c r="D301" s="2">
        <v>2019</v>
      </c>
      <c r="E301" s="4">
        <v>12</v>
      </c>
      <c r="F301" s="5" t="s">
        <v>32</v>
      </c>
      <c r="G301" s="6">
        <v>444</v>
      </c>
      <c r="H301" s="38"/>
      <c r="I301" s="30"/>
    </row>
    <row r="302" spans="1:9" ht="13">
      <c r="A302" s="14" t="s">
        <v>678</v>
      </c>
      <c r="B302" s="5" t="s">
        <v>679</v>
      </c>
      <c r="C302" s="28" t="s">
        <v>463</v>
      </c>
      <c r="D302" s="2">
        <v>2020</v>
      </c>
      <c r="E302" s="4">
        <v>12</v>
      </c>
      <c r="F302" s="5" t="s">
        <v>32</v>
      </c>
      <c r="G302" s="6">
        <v>492</v>
      </c>
      <c r="H302" s="38"/>
      <c r="I302" s="30"/>
    </row>
    <row r="303" spans="1:9" ht="13">
      <c r="A303" s="14" t="s">
        <v>680</v>
      </c>
      <c r="B303" s="5" t="s">
        <v>681</v>
      </c>
      <c r="C303" s="28" t="s">
        <v>463</v>
      </c>
      <c r="D303" s="2">
        <v>2020</v>
      </c>
      <c r="E303" s="4">
        <v>12</v>
      </c>
      <c r="F303" s="5" t="s">
        <v>32</v>
      </c>
      <c r="G303" s="6">
        <v>456</v>
      </c>
      <c r="H303" s="38"/>
      <c r="I303" s="30"/>
    </row>
    <row r="304" spans="1:9" ht="13">
      <c r="A304" s="14" t="s">
        <v>682</v>
      </c>
      <c r="B304" s="5" t="s">
        <v>683</v>
      </c>
      <c r="C304" s="28" t="s">
        <v>463</v>
      </c>
      <c r="D304" s="2">
        <v>2017</v>
      </c>
      <c r="E304" s="4">
        <v>12</v>
      </c>
      <c r="F304" s="5" t="s">
        <v>32</v>
      </c>
      <c r="G304" s="6">
        <v>2814</v>
      </c>
      <c r="H304" s="38"/>
      <c r="I304" s="30"/>
    </row>
    <row r="305" spans="1:9" ht="23">
      <c r="A305" s="693" t="s">
        <v>684</v>
      </c>
      <c r="B305" s="689"/>
      <c r="C305" s="689"/>
      <c r="D305" s="689"/>
      <c r="E305" s="689"/>
      <c r="F305" s="689"/>
      <c r="G305" s="689"/>
      <c r="H305" s="689"/>
      <c r="I305" s="690"/>
    </row>
    <row r="306" spans="1:9" ht="18">
      <c r="A306" s="694" t="s">
        <v>685</v>
      </c>
      <c r="B306" s="689"/>
      <c r="C306" s="689"/>
      <c r="D306" s="689"/>
      <c r="E306" s="689"/>
      <c r="F306" s="689"/>
      <c r="G306" s="689"/>
      <c r="H306" s="689"/>
      <c r="I306" s="690"/>
    </row>
    <row r="307" spans="1:9" ht="13">
      <c r="A307" s="1" t="s">
        <v>686</v>
      </c>
      <c r="B307" s="5" t="s">
        <v>687</v>
      </c>
      <c r="C307" s="28" t="s">
        <v>4</v>
      </c>
      <c r="D307" s="2">
        <v>2019</v>
      </c>
      <c r="E307" s="4">
        <v>12</v>
      </c>
      <c r="F307" s="5" t="s">
        <v>32</v>
      </c>
      <c r="G307" s="6">
        <v>312</v>
      </c>
      <c r="H307" s="33"/>
      <c r="I307" s="18"/>
    </row>
    <row r="308" spans="1:9" ht="13">
      <c r="A308" s="1" t="s">
        <v>688</v>
      </c>
      <c r="B308" s="5" t="s">
        <v>689</v>
      </c>
      <c r="C308" s="28" t="s">
        <v>4</v>
      </c>
      <c r="D308" s="2">
        <v>2019</v>
      </c>
      <c r="E308" s="4">
        <v>6</v>
      </c>
      <c r="F308" s="2" t="s">
        <v>304</v>
      </c>
      <c r="G308" s="6">
        <v>336</v>
      </c>
      <c r="H308" s="33"/>
      <c r="I308" s="30"/>
    </row>
    <row r="309" spans="1:9" ht="13">
      <c r="A309" s="1" t="s">
        <v>690</v>
      </c>
      <c r="B309" s="5" t="s">
        <v>691</v>
      </c>
      <c r="C309" s="28" t="s">
        <v>4</v>
      </c>
      <c r="D309" s="2">
        <v>2022</v>
      </c>
      <c r="E309" s="4">
        <v>12</v>
      </c>
      <c r="F309" s="5" t="s">
        <v>32</v>
      </c>
      <c r="G309" s="6">
        <v>384</v>
      </c>
      <c r="H309" s="33"/>
      <c r="I309" s="19"/>
    </row>
    <row r="310" spans="1:9" ht="13">
      <c r="A310" s="1" t="s">
        <v>692</v>
      </c>
      <c r="B310" s="5" t="s">
        <v>693</v>
      </c>
      <c r="C310" s="28" t="s">
        <v>4</v>
      </c>
      <c r="D310" s="2">
        <v>2022</v>
      </c>
      <c r="E310" s="4">
        <v>12</v>
      </c>
      <c r="F310" s="5" t="s">
        <v>32</v>
      </c>
      <c r="G310" s="6">
        <v>420</v>
      </c>
      <c r="H310" s="33"/>
      <c r="I310" s="18"/>
    </row>
    <row r="311" spans="1:9" ht="13">
      <c r="A311" s="1" t="s">
        <v>694</v>
      </c>
      <c r="B311" s="5" t="s">
        <v>695</v>
      </c>
      <c r="C311" s="28" t="s">
        <v>4</v>
      </c>
      <c r="D311" s="2">
        <v>2022</v>
      </c>
      <c r="E311" s="4">
        <v>12</v>
      </c>
      <c r="F311" s="5" t="s">
        <v>32</v>
      </c>
      <c r="G311" s="6">
        <v>528</v>
      </c>
      <c r="H311" s="26"/>
      <c r="I311" s="32"/>
    </row>
    <row r="312" spans="1:9" ht="13">
      <c r="A312" s="1" t="s">
        <v>696</v>
      </c>
      <c r="B312" s="5" t="s">
        <v>697</v>
      </c>
      <c r="C312" s="28" t="s">
        <v>4</v>
      </c>
      <c r="D312" s="2">
        <v>2017</v>
      </c>
      <c r="E312" s="4">
        <v>12</v>
      </c>
      <c r="F312" s="5" t="s">
        <v>32</v>
      </c>
      <c r="G312" s="6">
        <v>336</v>
      </c>
      <c r="H312" s="33"/>
      <c r="I312" s="30"/>
    </row>
    <row r="313" spans="1:9" ht="13">
      <c r="A313" s="1" t="s">
        <v>698</v>
      </c>
      <c r="B313" s="5" t="s">
        <v>699</v>
      </c>
      <c r="C313" s="28" t="s">
        <v>4</v>
      </c>
      <c r="D313" s="2">
        <v>2017</v>
      </c>
      <c r="E313" s="4">
        <v>12</v>
      </c>
      <c r="F313" s="5" t="s">
        <v>32</v>
      </c>
      <c r="G313" s="6">
        <v>696</v>
      </c>
      <c r="H313" s="33"/>
      <c r="I313" s="30"/>
    </row>
    <row r="314" spans="1:9" ht="13">
      <c r="A314" s="1" t="s">
        <v>700</v>
      </c>
      <c r="B314" s="5" t="s">
        <v>701</v>
      </c>
      <c r="C314" s="28" t="s">
        <v>4</v>
      </c>
      <c r="D314" s="2">
        <v>2021</v>
      </c>
      <c r="E314" s="4">
        <v>12</v>
      </c>
      <c r="F314" s="5" t="s">
        <v>32</v>
      </c>
      <c r="G314" s="6">
        <v>828</v>
      </c>
      <c r="H314" s="26"/>
      <c r="I314" s="18"/>
    </row>
    <row r="315" spans="1:9" ht="13">
      <c r="A315" s="1" t="s">
        <v>702</v>
      </c>
      <c r="B315" s="5" t="s">
        <v>703</v>
      </c>
      <c r="C315" s="28" t="s">
        <v>4</v>
      </c>
      <c r="D315" s="2">
        <v>2021</v>
      </c>
      <c r="E315" s="4">
        <v>6</v>
      </c>
      <c r="F315" s="2" t="s">
        <v>304</v>
      </c>
      <c r="G315" s="6">
        <v>852</v>
      </c>
      <c r="H315" s="26"/>
      <c r="I315" s="32"/>
    </row>
    <row r="316" spans="1:9" ht="18">
      <c r="A316" s="694" t="s">
        <v>704</v>
      </c>
      <c r="B316" s="689"/>
      <c r="C316" s="689"/>
      <c r="D316" s="689"/>
      <c r="E316" s="689"/>
      <c r="F316" s="689"/>
      <c r="G316" s="689"/>
      <c r="H316" s="689"/>
      <c r="I316" s="690"/>
    </row>
    <row r="317" spans="1:9" ht="13">
      <c r="A317" s="1" t="s">
        <v>705</v>
      </c>
      <c r="B317" s="2" t="s">
        <v>706</v>
      </c>
      <c r="C317" s="28" t="s">
        <v>4</v>
      </c>
      <c r="D317" s="2">
        <v>2020</v>
      </c>
      <c r="E317" s="4">
        <v>12</v>
      </c>
      <c r="F317" s="5" t="s">
        <v>32</v>
      </c>
      <c r="G317" s="6">
        <v>288</v>
      </c>
      <c r="H317" s="33"/>
      <c r="I317" s="30"/>
    </row>
    <row r="318" spans="1:9" ht="13">
      <c r="A318" s="37" t="s">
        <v>707</v>
      </c>
      <c r="B318" s="2" t="s">
        <v>708</v>
      </c>
      <c r="C318" s="28" t="s">
        <v>709</v>
      </c>
      <c r="D318" s="2">
        <v>2020</v>
      </c>
      <c r="E318" s="4">
        <v>12</v>
      </c>
      <c r="F318" s="5" t="s">
        <v>32</v>
      </c>
      <c r="G318" s="6">
        <v>210</v>
      </c>
      <c r="H318" s="33"/>
      <c r="I318" s="30"/>
    </row>
    <row r="319" spans="1:9" ht="13">
      <c r="A319" s="14" t="s">
        <v>710</v>
      </c>
      <c r="B319" s="2" t="s">
        <v>711</v>
      </c>
      <c r="C319" s="28" t="s">
        <v>463</v>
      </c>
      <c r="D319" s="2">
        <v>2014</v>
      </c>
      <c r="E319" s="4">
        <v>12</v>
      </c>
      <c r="F319" s="5" t="s">
        <v>32</v>
      </c>
      <c r="G319" s="6">
        <v>252</v>
      </c>
      <c r="H319" s="33"/>
      <c r="I319" s="30"/>
    </row>
    <row r="320" spans="1:9" ht="13">
      <c r="A320" s="1" t="s">
        <v>712</v>
      </c>
      <c r="B320" s="2" t="s">
        <v>713</v>
      </c>
      <c r="C320" s="28" t="s">
        <v>4</v>
      </c>
      <c r="D320" s="2">
        <v>2023</v>
      </c>
      <c r="E320" s="4">
        <v>12</v>
      </c>
      <c r="F320" s="5" t="s">
        <v>32</v>
      </c>
      <c r="G320" s="6">
        <v>276</v>
      </c>
      <c r="H320" s="26"/>
      <c r="I320" s="32"/>
    </row>
    <row r="321" spans="1:9" ht="13">
      <c r="A321" s="1" t="s">
        <v>714</v>
      </c>
      <c r="B321" s="2" t="s">
        <v>715</v>
      </c>
      <c r="C321" s="28" t="s">
        <v>612</v>
      </c>
      <c r="D321" s="2">
        <v>2021</v>
      </c>
      <c r="E321" s="4">
        <v>12</v>
      </c>
      <c r="F321" s="5" t="s">
        <v>32</v>
      </c>
      <c r="G321" s="6">
        <v>276</v>
      </c>
      <c r="H321" s="33"/>
      <c r="I321" s="32"/>
    </row>
    <row r="322" spans="1:9" ht="13">
      <c r="A322" s="10" t="s">
        <v>716</v>
      </c>
      <c r="B322" s="2" t="s">
        <v>717</v>
      </c>
      <c r="C322" s="28" t="s">
        <v>718</v>
      </c>
      <c r="D322" s="2">
        <v>2022</v>
      </c>
      <c r="E322" s="4">
        <v>12</v>
      </c>
      <c r="F322" s="5" t="s">
        <v>32</v>
      </c>
      <c r="G322" s="6">
        <v>402</v>
      </c>
      <c r="H322" s="33"/>
      <c r="I322" s="30"/>
    </row>
    <row r="323" spans="1:9" ht="13">
      <c r="A323" s="1" t="s">
        <v>719</v>
      </c>
      <c r="B323" s="2" t="s">
        <v>720</v>
      </c>
      <c r="C323" s="28" t="s">
        <v>721</v>
      </c>
      <c r="D323" s="2">
        <v>2020</v>
      </c>
      <c r="E323" s="4">
        <v>12</v>
      </c>
      <c r="F323" s="5" t="s">
        <v>32</v>
      </c>
      <c r="G323" s="6">
        <v>348</v>
      </c>
      <c r="H323" s="33"/>
      <c r="I323" s="32"/>
    </row>
    <row r="324" spans="1:9" ht="13">
      <c r="A324" s="37" t="s">
        <v>722</v>
      </c>
      <c r="B324" s="2" t="s">
        <v>723</v>
      </c>
      <c r="C324" s="28" t="s">
        <v>724</v>
      </c>
      <c r="D324" s="2">
        <v>2019</v>
      </c>
      <c r="E324" s="4">
        <v>12</v>
      </c>
      <c r="F324" s="5" t="s">
        <v>32</v>
      </c>
      <c r="G324" s="6">
        <v>354</v>
      </c>
      <c r="H324" s="33"/>
      <c r="I324" s="32"/>
    </row>
    <row r="325" spans="1:9" ht="13">
      <c r="A325" s="37" t="s">
        <v>725</v>
      </c>
      <c r="B325" s="2" t="s">
        <v>726</v>
      </c>
      <c r="C325" s="28" t="s">
        <v>709</v>
      </c>
      <c r="D325" s="2">
        <v>2020</v>
      </c>
      <c r="E325" s="4">
        <v>12</v>
      </c>
      <c r="F325" s="5" t="s">
        <v>32</v>
      </c>
      <c r="G325" s="6">
        <v>348</v>
      </c>
      <c r="H325" s="26"/>
      <c r="I325" s="32"/>
    </row>
    <row r="326" spans="1:9" ht="13">
      <c r="A326" s="14" t="s">
        <v>727</v>
      </c>
      <c r="B326" s="2" t="s">
        <v>728</v>
      </c>
      <c r="C326" s="28" t="s">
        <v>155</v>
      </c>
      <c r="D326" s="2">
        <v>2017</v>
      </c>
      <c r="E326" s="4">
        <v>12</v>
      </c>
      <c r="F326" s="5" t="s">
        <v>32</v>
      </c>
      <c r="G326" s="6">
        <v>240</v>
      </c>
      <c r="H326" s="33"/>
      <c r="I326" s="32"/>
    </row>
    <row r="327" spans="1:9" ht="13">
      <c r="A327" s="14" t="s">
        <v>729</v>
      </c>
      <c r="B327" s="2" t="s">
        <v>730</v>
      </c>
      <c r="C327" s="28" t="s">
        <v>731</v>
      </c>
      <c r="D327" s="2">
        <v>2022</v>
      </c>
      <c r="E327" s="4">
        <v>12</v>
      </c>
      <c r="F327" s="5" t="s">
        <v>32</v>
      </c>
      <c r="G327" s="6">
        <v>228</v>
      </c>
      <c r="H327" s="33"/>
      <c r="I327" s="30"/>
    </row>
    <row r="328" spans="1:9" ht="13">
      <c r="A328" s="14" t="s">
        <v>732</v>
      </c>
      <c r="B328" s="2" t="s">
        <v>733</v>
      </c>
      <c r="C328" s="28" t="s">
        <v>463</v>
      </c>
      <c r="D328" s="2">
        <v>2018</v>
      </c>
      <c r="E328" s="4">
        <v>12</v>
      </c>
      <c r="F328" s="5" t="s">
        <v>32</v>
      </c>
      <c r="G328" s="6">
        <v>306</v>
      </c>
      <c r="H328" s="33"/>
      <c r="I328" s="19"/>
    </row>
    <row r="329" spans="1:9" ht="13">
      <c r="A329" s="14" t="s">
        <v>734</v>
      </c>
      <c r="B329" s="2" t="s">
        <v>735</v>
      </c>
      <c r="C329" s="28" t="s">
        <v>463</v>
      </c>
      <c r="D329" s="2">
        <v>2020</v>
      </c>
      <c r="E329" s="4">
        <v>12</v>
      </c>
      <c r="F329" s="5" t="s">
        <v>32</v>
      </c>
      <c r="G329" s="6">
        <v>768</v>
      </c>
      <c r="H329" s="33"/>
      <c r="I329" s="19"/>
    </row>
    <row r="330" spans="1:9" ht="13">
      <c r="A330" s="14" t="s">
        <v>736</v>
      </c>
      <c r="B330" s="2" t="s">
        <v>737</v>
      </c>
      <c r="C330" s="28" t="s">
        <v>463</v>
      </c>
      <c r="D330" s="2">
        <v>2020</v>
      </c>
      <c r="E330" s="4">
        <v>12</v>
      </c>
      <c r="F330" s="5" t="s">
        <v>32</v>
      </c>
      <c r="G330" s="6">
        <v>348</v>
      </c>
      <c r="H330" s="33"/>
      <c r="I330" s="18"/>
    </row>
    <row r="331" spans="1:9" ht="13">
      <c r="A331" s="14" t="s">
        <v>738</v>
      </c>
      <c r="B331" s="2" t="s">
        <v>739</v>
      </c>
      <c r="C331" s="28" t="s">
        <v>463</v>
      </c>
      <c r="D331" s="2">
        <v>2021</v>
      </c>
      <c r="E331" s="4">
        <v>12</v>
      </c>
      <c r="F331" s="5" t="s">
        <v>32</v>
      </c>
      <c r="G331" s="6">
        <v>528</v>
      </c>
      <c r="H331" s="33"/>
      <c r="I331" s="18"/>
    </row>
    <row r="332" spans="1:9" ht="13">
      <c r="A332" s="14" t="s">
        <v>740</v>
      </c>
      <c r="B332" s="2" t="s">
        <v>741</v>
      </c>
      <c r="C332" s="28" t="s">
        <v>742</v>
      </c>
      <c r="D332" s="2">
        <v>2021</v>
      </c>
      <c r="E332" s="4">
        <v>12</v>
      </c>
      <c r="F332" s="5" t="s">
        <v>32</v>
      </c>
      <c r="G332" s="6">
        <v>318</v>
      </c>
      <c r="H332" s="33"/>
      <c r="I332" s="18"/>
    </row>
    <row r="333" spans="1:9" ht="13">
      <c r="A333" s="14" t="s">
        <v>743</v>
      </c>
      <c r="B333" s="2" t="s">
        <v>744</v>
      </c>
      <c r="C333" s="28" t="s">
        <v>463</v>
      </c>
      <c r="D333" s="2">
        <v>2020</v>
      </c>
      <c r="E333" s="4">
        <v>12</v>
      </c>
      <c r="F333" s="5" t="s">
        <v>32</v>
      </c>
      <c r="G333" s="6">
        <v>528</v>
      </c>
      <c r="H333" s="33"/>
      <c r="I333" s="19"/>
    </row>
    <row r="334" spans="1:9" ht="18">
      <c r="A334" s="692" t="s">
        <v>745</v>
      </c>
      <c r="B334" s="689"/>
      <c r="C334" s="689"/>
      <c r="D334" s="689"/>
      <c r="E334" s="689"/>
      <c r="F334" s="689"/>
      <c r="G334" s="689"/>
      <c r="H334" s="689"/>
      <c r="I334" s="690"/>
    </row>
    <row r="335" spans="1:9" ht="13">
      <c r="A335" s="1" t="s">
        <v>746</v>
      </c>
      <c r="B335" s="2" t="s">
        <v>747</v>
      </c>
      <c r="C335" s="28" t="s">
        <v>748</v>
      </c>
      <c r="D335" s="2">
        <v>2021</v>
      </c>
      <c r="E335" s="4">
        <v>12</v>
      </c>
      <c r="F335" s="5" t="s">
        <v>32</v>
      </c>
      <c r="G335" s="6">
        <v>342</v>
      </c>
      <c r="H335" s="26"/>
      <c r="I335" s="32"/>
    </row>
    <row r="336" spans="1:9" ht="13">
      <c r="A336" s="1" t="s">
        <v>749</v>
      </c>
      <c r="B336" s="2" t="s">
        <v>750</v>
      </c>
      <c r="C336" s="28" t="s">
        <v>751</v>
      </c>
      <c r="D336" s="2">
        <v>2022</v>
      </c>
      <c r="E336" s="4">
        <v>12</v>
      </c>
      <c r="F336" s="5" t="s">
        <v>32</v>
      </c>
      <c r="G336" s="6">
        <v>378</v>
      </c>
      <c r="H336" s="26"/>
      <c r="I336" s="32"/>
    </row>
    <row r="337" spans="1:9" ht="13">
      <c r="A337" s="10" t="s">
        <v>752</v>
      </c>
      <c r="B337" s="2" t="s">
        <v>753</v>
      </c>
      <c r="C337" s="28" t="s">
        <v>754</v>
      </c>
      <c r="D337" s="2">
        <v>2022</v>
      </c>
      <c r="E337" s="4">
        <v>12</v>
      </c>
      <c r="F337" s="5" t="s">
        <v>32</v>
      </c>
      <c r="G337" s="6">
        <v>216</v>
      </c>
      <c r="H337" s="26"/>
      <c r="I337" s="32"/>
    </row>
    <row r="338" spans="1:9" ht="13">
      <c r="A338" s="14" t="s">
        <v>755</v>
      </c>
      <c r="B338" s="2" t="s">
        <v>756</v>
      </c>
      <c r="C338" s="28" t="s">
        <v>61</v>
      </c>
      <c r="D338" s="2">
        <v>2021</v>
      </c>
      <c r="E338" s="4">
        <v>12</v>
      </c>
      <c r="F338" s="5" t="s">
        <v>32</v>
      </c>
      <c r="G338" s="6">
        <v>192</v>
      </c>
      <c r="H338" s="26"/>
      <c r="I338" s="32"/>
    </row>
    <row r="339" spans="1:9" ht="13">
      <c r="A339" s="14" t="s">
        <v>757</v>
      </c>
      <c r="B339" s="2" t="s">
        <v>758</v>
      </c>
      <c r="C339" s="28" t="s">
        <v>759</v>
      </c>
      <c r="D339" s="2">
        <v>2021</v>
      </c>
      <c r="E339" s="4">
        <v>12</v>
      </c>
      <c r="F339" s="5" t="s">
        <v>32</v>
      </c>
      <c r="G339" s="6">
        <v>216</v>
      </c>
      <c r="H339" s="26"/>
      <c r="I339" s="32"/>
    </row>
    <row r="340" spans="1:9" ht="18">
      <c r="A340" s="694" t="s">
        <v>760</v>
      </c>
      <c r="B340" s="689"/>
      <c r="C340" s="689"/>
      <c r="D340" s="689"/>
      <c r="E340" s="689"/>
      <c r="F340" s="689"/>
      <c r="G340" s="689"/>
      <c r="H340" s="689"/>
      <c r="I340" s="690"/>
    </row>
    <row r="341" spans="1:9" ht="13">
      <c r="A341" s="1" t="s">
        <v>761</v>
      </c>
      <c r="B341" s="2" t="s">
        <v>762</v>
      </c>
      <c r="C341" s="28" t="s">
        <v>612</v>
      </c>
      <c r="D341" s="2" t="s">
        <v>5</v>
      </c>
      <c r="E341" s="4">
        <v>12</v>
      </c>
      <c r="F341" s="5" t="s">
        <v>32</v>
      </c>
      <c r="G341" s="6">
        <v>168</v>
      </c>
      <c r="H341" s="33"/>
      <c r="I341" s="30"/>
    </row>
    <row r="342" spans="1:9" ht="13">
      <c r="A342" s="1" t="s">
        <v>763</v>
      </c>
      <c r="B342" s="2" t="s">
        <v>764</v>
      </c>
      <c r="C342" s="28" t="s">
        <v>765</v>
      </c>
      <c r="D342" s="2" t="s">
        <v>5</v>
      </c>
      <c r="E342" s="4">
        <v>12</v>
      </c>
      <c r="F342" s="5" t="s">
        <v>32</v>
      </c>
      <c r="G342" s="6">
        <v>168</v>
      </c>
      <c r="H342" s="33"/>
      <c r="I342" s="30"/>
    </row>
    <row r="343" spans="1:9" ht="13">
      <c r="A343" s="1" t="s">
        <v>766</v>
      </c>
      <c r="B343" s="2" t="s">
        <v>767</v>
      </c>
      <c r="C343" s="28" t="s">
        <v>768</v>
      </c>
      <c r="D343" s="2">
        <v>2022</v>
      </c>
      <c r="E343" s="4">
        <v>12</v>
      </c>
      <c r="F343" s="5" t="s">
        <v>32</v>
      </c>
      <c r="G343" s="6">
        <v>228</v>
      </c>
      <c r="H343" s="26"/>
      <c r="I343" s="32"/>
    </row>
    <row r="344" spans="1:9" ht="13">
      <c r="A344" s="1" t="s">
        <v>769</v>
      </c>
      <c r="B344" s="2" t="s">
        <v>770</v>
      </c>
      <c r="C344" s="28" t="s">
        <v>4</v>
      </c>
      <c r="D344" s="2" t="s">
        <v>5</v>
      </c>
      <c r="E344" s="4">
        <v>12</v>
      </c>
      <c r="F344" s="5" t="s">
        <v>32</v>
      </c>
      <c r="G344" s="6">
        <v>204</v>
      </c>
      <c r="H344" s="33"/>
      <c r="I344" s="30"/>
    </row>
    <row r="345" spans="1:9" ht="13">
      <c r="A345" s="14" t="s">
        <v>771</v>
      </c>
      <c r="B345" s="2" t="s">
        <v>772</v>
      </c>
      <c r="C345" s="28" t="s">
        <v>155</v>
      </c>
      <c r="D345" s="2">
        <v>2018</v>
      </c>
      <c r="E345" s="4">
        <v>12</v>
      </c>
      <c r="F345" s="5" t="s">
        <v>32</v>
      </c>
      <c r="G345" s="6">
        <v>180</v>
      </c>
      <c r="H345" s="33"/>
      <c r="I345" s="30"/>
    </row>
    <row r="346" spans="1:9" ht="13">
      <c r="A346" s="14" t="s">
        <v>773</v>
      </c>
      <c r="B346" s="2" t="s">
        <v>774</v>
      </c>
      <c r="C346" s="28" t="s">
        <v>67</v>
      </c>
      <c r="D346" s="2" t="s">
        <v>5</v>
      </c>
      <c r="E346" s="4">
        <v>12</v>
      </c>
      <c r="F346" s="5" t="s">
        <v>32</v>
      </c>
      <c r="G346" s="6">
        <v>184</v>
      </c>
      <c r="H346" s="33"/>
      <c r="I346" s="30"/>
    </row>
    <row r="347" spans="1:9" ht="13">
      <c r="A347" s="14" t="s">
        <v>775</v>
      </c>
      <c r="B347" s="2" t="s">
        <v>776</v>
      </c>
      <c r="C347" s="28" t="s">
        <v>519</v>
      </c>
      <c r="D347" s="2">
        <v>2015</v>
      </c>
      <c r="E347" s="4">
        <v>12</v>
      </c>
      <c r="F347" s="5" t="s">
        <v>32</v>
      </c>
      <c r="G347" s="6">
        <v>192</v>
      </c>
      <c r="H347" s="33"/>
      <c r="I347" s="30"/>
    </row>
    <row r="348" spans="1:9" ht="13">
      <c r="A348" s="14" t="s">
        <v>777</v>
      </c>
      <c r="B348" s="2" t="s">
        <v>778</v>
      </c>
      <c r="C348" s="28" t="s">
        <v>779</v>
      </c>
      <c r="D348" s="2">
        <v>2015</v>
      </c>
      <c r="E348" s="4">
        <v>12</v>
      </c>
      <c r="F348" s="5" t="s">
        <v>32</v>
      </c>
      <c r="G348" s="6">
        <v>192</v>
      </c>
      <c r="H348" s="33"/>
      <c r="I348" s="30"/>
    </row>
    <row r="349" spans="1:9" ht="13">
      <c r="A349" s="14" t="s">
        <v>780</v>
      </c>
      <c r="B349" s="2" t="s">
        <v>781</v>
      </c>
      <c r="C349" s="28" t="s">
        <v>155</v>
      </c>
      <c r="D349" s="2" t="s">
        <v>5</v>
      </c>
      <c r="E349" s="4">
        <v>12</v>
      </c>
      <c r="F349" s="5" t="s">
        <v>32</v>
      </c>
      <c r="G349" s="6">
        <v>192</v>
      </c>
      <c r="H349" s="33"/>
      <c r="I349" s="30"/>
    </row>
    <row r="350" spans="1:9" ht="13">
      <c r="A350" s="14" t="s">
        <v>782</v>
      </c>
      <c r="B350" s="2" t="s">
        <v>783</v>
      </c>
      <c r="C350" s="28" t="s">
        <v>784</v>
      </c>
      <c r="D350" s="2" t="s">
        <v>5</v>
      </c>
      <c r="E350" s="4">
        <v>12</v>
      </c>
      <c r="F350" s="5" t="s">
        <v>32</v>
      </c>
      <c r="G350" s="6">
        <v>198</v>
      </c>
      <c r="H350" s="33"/>
      <c r="I350" s="30"/>
    </row>
    <row r="351" spans="1:9" ht="13">
      <c r="A351" s="14" t="s">
        <v>785</v>
      </c>
      <c r="B351" s="2" t="s">
        <v>786</v>
      </c>
      <c r="C351" s="28" t="s">
        <v>155</v>
      </c>
      <c r="D351" s="2" t="s">
        <v>5</v>
      </c>
      <c r="E351" s="4">
        <v>12</v>
      </c>
      <c r="F351" s="5" t="s">
        <v>32</v>
      </c>
      <c r="G351" s="6">
        <v>204</v>
      </c>
      <c r="H351" s="33"/>
      <c r="I351" s="30"/>
    </row>
    <row r="352" spans="1:9" ht="13">
      <c r="A352" s="14" t="s">
        <v>787</v>
      </c>
      <c r="B352" s="2" t="s">
        <v>788</v>
      </c>
      <c r="C352" s="28" t="s">
        <v>155</v>
      </c>
      <c r="D352" s="2" t="s">
        <v>5</v>
      </c>
      <c r="E352" s="4">
        <v>12</v>
      </c>
      <c r="F352" s="5" t="s">
        <v>32</v>
      </c>
      <c r="G352" s="6">
        <v>228</v>
      </c>
      <c r="H352" s="33"/>
      <c r="I352" s="30"/>
    </row>
    <row r="353" spans="1:9" ht="13">
      <c r="A353" s="14" t="s">
        <v>789</v>
      </c>
      <c r="B353" s="2" t="s">
        <v>790</v>
      </c>
      <c r="C353" s="28" t="s">
        <v>791</v>
      </c>
      <c r="D353" s="2" t="s">
        <v>5</v>
      </c>
      <c r="E353" s="4">
        <v>12</v>
      </c>
      <c r="F353" s="5" t="s">
        <v>32</v>
      </c>
      <c r="G353" s="6">
        <v>240</v>
      </c>
      <c r="H353" s="33"/>
      <c r="I353" s="19"/>
    </row>
    <row r="354" spans="1:9" ht="13">
      <c r="A354" s="14" t="s">
        <v>792</v>
      </c>
      <c r="B354" s="2" t="s">
        <v>793</v>
      </c>
      <c r="C354" s="28" t="s">
        <v>794</v>
      </c>
      <c r="D354" s="2" t="s">
        <v>5</v>
      </c>
      <c r="E354" s="4">
        <v>12</v>
      </c>
      <c r="F354" s="5" t="s">
        <v>32</v>
      </c>
      <c r="G354" s="6">
        <v>246</v>
      </c>
      <c r="H354" s="33"/>
      <c r="I354" s="30"/>
    </row>
    <row r="355" spans="1:9" ht="13">
      <c r="A355" s="14" t="s">
        <v>795</v>
      </c>
      <c r="B355" s="2" t="s">
        <v>796</v>
      </c>
      <c r="C355" s="28" t="s">
        <v>67</v>
      </c>
      <c r="D355" s="2" t="s">
        <v>5</v>
      </c>
      <c r="E355" s="4">
        <v>12</v>
      </c>
      <c r="F355" s="5" t="s">
        <v>32</v>
      </c>
      <c r="G355" s="6">
        <v>234</v>
      </c>
      <c r="H355" s="33"/>
      <c r="I355" s="30"/>
    </row>
    <row r="356" spans="1:9" ht="13">
      <c r="A356" s="105" t="s">
        <v>797</v>
      </c>
      <c r="B356" s="106" t="s">
        <v>798</v>
      </c>
      <c r="C356" s="107" t="s">
        <v>799</v>
      </c>
      <c r="D356" s="106">
        <v>2018</v>
      </c>
      <c r="E356" s="108">
        <v>12</v>
      </c>
      <c r="F356" s="106" t="s">
        <v>32</v>
      </c>
      <c r="G356" s="109">
        <v>252</v>
      </c>
      <c r="H356" s="47" t="s">
        <v>800</v>
      </c>
      <c r="I356" s="19"/>
    </row>
    <row r="357" spans="1:9" ht="13">
      <c r="A357" s="14" t="s">
        <v>801</v>
      </c>
      <c r="B357" s="2" t="s">
        <v>802</v>
      </c>
      <c r="C357" s="28" t="s">
        <v>803</v>
      </c>
      <c r="D357" s="2">
        <v>2015</v>
      </c>
      <c r="E357" s="4">
        <v>12</v>
      </c>
      <c r="F357" s="5" t="s">
        <v>32</v>
      </c>
      <c r="G357" s="6">
        <v>298</v>
      </c>
      <c r="H357" s="33"/>
      <c r="I357" s="30"/>
    </row>
    <row r="358" spans="1:9" ht="13">
      <c r="A358" s="1" t="s">
        <v>804</v>
      </c>
      <c r="B358" s="2" t="s">
        <v>805</v>
      </c>
      <c r="C358" s="28" t="s">
        <v>806</v>
      </c>
      <c r="D358" s="2" t="s">
        <v>5</v>
      </c>
      <c r="E358" s="4">
        <v>12</v>
      </c>
      <c r="F358" s="5" t="s">
        <v>32</v>
      </c>
      <c r="G358" s="6">
        <v>246</v>
      </c>
      <c r="H358" s="33"/>
      <c r="I358" s="19"/>
    </row>
    <row r="359" spans="1:9" ht="13">
      <c r="A359" s="1" t="s">
        <v>807</v>
      </c>
      <c r="B359" s="2" t="s">
        <v>808</v>
      </c>
      <c r="C359" s="28" t="s">
        <v>809</v>
      </c>
      <c r="D359" s="2">
        <v>2022</v>
      </c>
      <c r="E359" s="4">
        <v>12</v>
      </c>
      <c r="F359" s="5" t="s">
        <v>32</v>
      </c>
      <c r="G359" s="6">
        <v>228</v>
      </c>
      <c r="H359" s="38"/>
      <c r="I359" s="18"/>
    </row>
    <row r="360" spans="1:9" ht="13">
      <c r="A360" s="10" t="s">
        <v>810</v>
      </c>
      <c r="B360" s="2" t="s">
        <v>811</v>
      </c>
      <c r="C360" s="28" t="s">
        <v>812</v>
      </c>
      <c r="D360" s="2" t="s">
        <v>5</v>
      </c>
      <c r="E360" s="4">
        <v>12</v>
      </c>
      <c r="F360" s="5" t="s">
        <v>32</v>
      </c>
      <c r="G360" s="6">
        <v>276</v>
      </c>
      <c r="H360" s="33"/>
      <c r="I360" s="19"/>
    </row>
    <row r="361" spans="1:9" ht="13">
      <c r="A361" s="14" t="s">
        <v>813</v>
      </c>
      <c r="B361" s="2" t="s">
        <v>814</v>
      </c>
      <c r="C361" s="28" t="s">
        <v>815</v>
      </c>
      <c r="D361" s="2" t="s">
        <v>5</v>
      </c>
      <c r="E361" s="4">
        <v>12</v>
      </c>
      <c r="F361" s="5" t="s">
        <v>32</v>
      </c>
      <c r="G361" s="6">
        <v>234</v>
      </c>
      <c r="H361" s="33"/>
      <c r="I361" s="18">
        <v>1</v>
      </c>
    </row>
    <row r="362" spans="1:9" ht="13">
      <c r="A362" s="14" t="s">
        <v>816</v>
      </c>
      <c r="B362" s="2" t="s">
        <v>817</v>
      </c>
      <c r="C362" s="28" t="s">
        <v>818</v>
      </c>
      <c r="D362" s="2" t="s">
        <v>5</v>
      </c>
      <c r="E362" s="4">
        <v>12</v>
      </c>
      <c r="F362" s="5" t="s">
        <v>32</v>
      </c>
      <c r="G362" s="6">
        <v>228</v>
      </c>
      <c r="H362" s="38"/>
      <c r="I362" s="19"/>
    </row>
    <row r="363" spans="1:9" ht="18">
      <c r="A363" s="694" t="s">
        <v>819</v>
      </c>
      <c r="B363" s="689"/>
      <c r="C363" s="689"/>
      <c r="D363" s="689"/>
      <c r="E363" s="689"/>
      <c r="F363" s="689"/>
      <c r="G363" s="689"/>
      <c r="H363" s="689"/>
      <c r="I363" s="690"/>
    </row>
    <row r="364" spans="1:9" ht="13">
      <c r="A364" s="1" t="s">
        <v>820</v>
      </c>
      <c r="B364" s="2" t="s">
        <v>821</v>
      </c>
      <c r="C364" s="28" t="s">
        <v>4</v>
      </c>
      <c r="D364" s="2">
        <v>2022</v>
      </c>
      <c r="E364" s="4">
        <v>12</v>
      </c>
      <c r="F364" s="5" t="s">
        <v>32</v>
      </c>
      <c r="G364" s="6">
        <v>198</v>
      </c>
      <c r="H364" s="26"/>
      <c r="I364" s="32"/>
    </row>
    <row r="365" spans="1:9" ht="13">
      <c r="A365" s="1" t="s">
        <v>822</v>
      </c>
      <c r="B365" s="2" t="s">
        <v>823</v>
      </c>
      <c r="C365" s="28" t="s">
        <v>4</v>
      </c>
      <c r="D365" s="2">
        <v>2020</v>
      </c>
      <c r="E365" s="4">
        <v>12</v>
      </c>
      <c r="F365" s="5" t="s">
        <v>32</v>
      </c>
      <c r="G365" s="6">
        <v>180</v>
      </c>
      <c r="H365" s="33"/>
      <c r="I365" s="110"/>
    </row>
    <row r="366" spans="1:9" ht="13">
      <c r="A366" s="14" t="s">
        <v>824</v>
      </c>
      <c r="B366" s="2" t="s">
        <v>664</v>
      </c>
      <c r="C366" s="28" t="s">
        <v>463</v>
      </c>
      <c r="D366" s="2">
        <v>2017</v>
      </c>
      <c r="E366" s="4">
        <v>12</v>
      </c>
      <c r="F366" s="5" t="s">
        <v>32</v>
      </c>
      <c r="G366" s="6">
        <v>168</v>
      </c>
      <c r="H366" s="33"/>
      <c r="I366" s="110"/>
    </row>
    <row r="367" spans="1:9" ht="13">
      <c r="A367" s="14" t="s">
        <v>825</v>
      </c>
      <c r="B367" s="2" t="s">
        <v>826</v>
      </c>
      <c r="C367" s="28" t="s">
        <v>463</v>
      </c>
      <c r="D367" s="2">
        <v>2017</v>
      </c>
      <c r="E367" s="4">
        <v>12</v>
      </c>
      <c r="F367" s="5" t="s">
        <v>32</v>
      </c>
      <c r="G367" s="6">
        <v>168</v>
      </c>
      <c r="H367" s="33"/>
      <c r="I367" s="30"/>
    </row>
    <row r="368" spans="1:9" ht="23">
      <c r="A368" s="693" t="s">
        <v>827</v>
      </c>
      <c r="B368" s="689"/>
      <c r="C368" s="689"/>
      <c r="D368" s="689"/>
      <c r="E368" s="689"/>
      <c r="F368" s="689"/>
      <c r="G368" s="689"/>
      <c r="H368" s="689"/>
      <c r="I368" s="690"/>
    </row>
    <row r="369" spans="1:9" ht="18">
      <c r="A369" s="694" t="s">
        <v>828</v>
      </c>
      <c r="B369" s="689"/>
      <c r="C369" s="689"/>
      <c r="D369" s="689"/>
      <c r="E369" s="689"/>
      <c r="F369" s="689"/>
      <c r="G369" s="689"/>
      <c r="H369" s="689"/>
      <c r="I369" s="690"/>
    </row>
    <row r="370" spans="1:9" ht="13">
      <c r="A370" s="1" t="s">
        <v>829</v>
      </c>
      <c r="B370" s="2" t="s">
        <v>830</v>
      </c>
      <c r="C370" s="28" t="s">
        <v>831</v>
      </c>
      <c r="D370" s="2">
        <v>2023</v>
      </c>
      <c r="E370" s="4">
        <v>12</v>
      </c>
      <c r="F370" s="5" t="s">
        <v>32</v>
      </c>
      <c r="G370" s="6">
        <v>228</v>
      </c>
      <c r="H370" s="26"/>
      <c r="I370" s="32"/>
    </row>
    <row r="371" spans="1:9" ht="13">
      <c r="A371" s="1" t="s">
        <v>832</v>
      </c>
      <c r="B371" s="2" t="s">
        <v>715</v>
      </c>
      <c r="C371" s="28" t="s">
        <v>612</v>
      </c>
      <c r="D371" s="2">
        <v>2023</v>
      </c>
      <c r="E371" s="4">
        <v>12</v>
      </c>
      <c r="F371" s="5" t="s">
        <v>32</v>
      </c>
      <c r="G371" s="6">
        <v>234</v>
      </c>
      <c r="H371" s="26"/>
      <c r="I371" s="32"/>
    </row>
    <row r="372" spans="1:9" ht="13">
      <c r="A372" s="1" t="s">
        <v>833</v>
      </c>
      <c r="B372" s="2" t="s">
        <v>834</v>
      </c>
      <c r="C372" s="28" t="s">
        <v>612</v>
      </c>
      <c r="D372" s="2">
        <v>2023</v>
      </c>
      <c r="E372" s="4">
        <v>6</v>
      </c>
      <c r="F372" s="5" t="s">
        <v>304</v>
      </c>
      <c r="G372" s="6">
        <v>267</v>
      </c>
      <c r="H372" s="26"/>
      <c r="I372" s="32"/>
    </row>
    <row r="373" spans="1:9" ht="13">
      <c r="A373" s="1" t="s">
        <v>835</v>
      </c>
      <c r="B373" s="2" t="s">
        <v>836</v>
      </c>
      <c r="C373" s="28" t="s">
        <v>718</v>
      </c>
      <c r="D373" s="2">
        <v>2023</v>
      </c>
      <c r="E373" s="4">
        <v>12</v>
      </c>
      <c r="F373" s="5" t="s">
        <v>32</v>
      </c>
      <c r="G373" s="6">
        <v>252</v>
      </c>
      <c r="H373" s="26"/>
      <c r="I373" s="32"/>
    </row>
    <row r="374" spans="1:9" ht="13">
      <c r="A374" s="1" t="s">
        <v>837</v>
      </c>
      <c r="B374" s="2" t="s">
        <v>836</v>
      </c>
      <c r="C374" s="28" t="s">
        <v>718</v>
      </c>
      <c r="D374" s="2">
        <v>2022</v>
      </c>
      <c r="E374" s="4">
        <v>12</v>
      </c>
      <c r="F374" s="5" t="s">
        <v>32</v>
      </c>
      <c r="G374" s="6">
        <v>246</v>
      </c>
      <c r="H374" s="33"/>
      <c r="I374" s="32"/>
    </row>
    <row r="375" spans="1:9" ht="13">
      <c r="A375" s="1" t="s">
        <v>838</v>
      </c>
      <c r="B375" s="2" t="s">
        <v>839</v>
      </c>
      <c r="C375" s="28" t="s">
        <v>4</v>
      </c>
      <c r="D375" s="2">
        <v>2023</v>
      </c>
      <c r="E375" s="4">
        <v>12</v>
      </c>
      <c r="F375" s="5" t="s">
        <v>32</v>
      </c>
      <c r="G375" s="6">
        <v>264</v>
      </c>
      <c r="H375" s="26"/>
      <c r="I375" s="18"/>
    </row>
    <row r="376" spans="1:9" ht="13">
      <c r="A376" s="1" t="s">
        <v>840</v>
      </c>
      <c r="B376" s="2" t="s">
        <v>841</v>
      </c>
      <c r="C376" s="28" t="s">
        <v>4</v>
      </c>
      <c r="D376" s="2">
        <v>2023</v>
      </c>
      <c r="E376" s="4">
        <v>6</v>
      </c>
      <c r="F376" s="5" t="s">
        <v>304</v>
      </c>
      <c r="G376" s="6">
        <v>282</v>
      </c>
      <c r="H376" s="26"/>
      <c r="I376" s="18">
        <v>1</v>
      </c>
    </row>
    <row r="377" spans="1:9" ht="13">
      <c r="A377" s="1" t="s">
        <v>842</v>
      </c>
      <c r="B377" s="2" t="s">
        <v>843</v>
      </c>
      <c r="C377" s="28" t="s">
        <v>4</v>
      </c>
      <c r="D377" s="2">
        <v>2023</v>
      </c>
      <c r="E377" s="4">
        <v>12</v>
      </c>
      <c r="F377" s="5" t="s">
        <v>32</v>
      </c>
      <c r="G377" s="6">
        <v>300</v>
      </c>
      <c r="H377" s="26"/>
      <c r="I377" s="32"/>
    </row>
    <row r="378" spans="1:9" ht="13">
      <c r="A378" s="1" t="s">
        <v>844</v>
      </c>
      <c r="B378" s="2" t="s">
        <v>845</v>
      </c>
      <c r="C378" s="28" t="s">
        <v>4</v>
      </c>
      <c r="D378" s="2">
        <v>2020</v>
      </c>
      <c r="E378" s="4">
        <v>12</v>
      </c>
      <c r="F378" s="5" t="s">
        <v>32</v>
      </c>
      <c r="G378" s="6">
        <v>306</v>
      </c>
      <c r="H378" s="33"/>
      <c r="I378" s="18">
        <v>1</v>
      </c>
    </row>
    <row r="379" spans="1:9" ht="13">
      <c r="A379" s="1" t="s">
        <v>846</v>
      </c>
      <c r="B379" s="2" t="s">
        <v>847</v>
      </c>
      <c r="C379" s="28" t="s">
        <v>4</v>
      </c>
      <c r="D379" s="2">
        <v>2017</v>
      </c>
      <c r="E379" s="4">
        <v>12</v>
      </c>
      <c r="F379" s="5" t="s">
        <v>32</v>
      </c>
      <c r="G379" s="6">
        <v>312</v>
      </c>
      <c r="H379" s="33"/>
      <c r="I379" s="30"/>
    </row>
    <row r="380" spans="1:9" ht="13">
      <c r="A380" s="1" t="s">
        <v>848</v>
      </c>
      <c r="B380" s="2" t="s">
        <v>849</v>
      </c>
      <c r="C380" s="28" t="s">
        <v>4</v>
      </c>
      <c r="D380" s="2">
        <v>2020</v>
      </c>
      <c r="E380" s="4">
        <v>12</v>
      </c>
      <c r="F380" s="5" t="s">
        <v>32</v>
      </c>
      <c r="G380" s="6">
        <v>366</v>
      </c>
      <c r="H380" s="33"/>
      <c r="I380" s="19"/>
    </row>
    <row r="381" spans="1:9" ht="13">
      <c r="A381" s="1" t="s">
        <v>850</v>
      </c>
      <c r="B381" s="2" t="s">
        <v>851</v>
      </c>
      <c r="C381" s="28" t="s">
        <v>4</v>
      </c>
      <c r="D381" s="2">
        <v>2014</v>
      </c>
      <c r="E381" s="4">
        <v>12</v>
      </c>
      <c r="F381" s="5" t="s">
        <v>32</v>
      </c>
      <c r="G381" s="6">
        <v>360</v>
      </c>
      <c r="H381" s="33"/>
      <c r="I381" s="19"/>
    </row>
    <row r="382" spans="1:9" ht="13">
      <c r="A382" s="1" t="s">
        <v>852</v>
      </c>
      <c r="B382" s="2" t="s">
        <v>853</v>
      </c>
      <c r="C382" s="28" t="s">
        <v>4</v>
      </c>
      <c r="D382" s="2">
        <v>2017</v>
      </c>
      <c r="E382" s="4">
        <v>12</v>
      </c>
      <c r="F382" s="5" t="s">
        <v>32</v>
      </c>
      <c r="G382" s="6">
        <v>360</v>
      </c>
      <c r="H382" s="33"/>
      <c r="I382" s="30"/>
    </row>
    <row r="383" spans="1:9" ht="13">
      <c r="A383" s="14" t="s">
        <v>854</v>
      </c>
      <c r="B383" s="2" t="s">
        <v>855</v>
      </c>
      <c r="C383" s="28" t="s">
        <v>856</v>
      </c>
      <c r="D383" s="2">
        <v>2023</v>
      </c>
      <c r="E383" s="4">
        <v>12</v>
      </c>
      <c r="F383" s="5" t="s">
        <v>32</v>
      </c>
      <c r="G383" s="6">
        <v>234</v>
      </c>
      <c r="H383" s="26"/>
      <c r="I383" s="32"/>
    </row>
    <row r="384" spans="1:9" ht="13">
      <c r="A384" s="14" t="s">
        <v>857</v>
      </c>
      <c r="B384" s="2" t="s">
        <v>858</v>
      </c>
      <c r="C384" s="28" t="s">
        <v>856</v>
      </c>
      <c r="D384" s="2">
        <v>2023</v>
      </c>
      <c r="E384" s="4">
        <v>6</v>
      </c>
      <c r="F384" s="5" t="s">
        <v>304</v>
      </c>
      <c r="G384" s="6">
        <v>252</v>
      </c>
      <c r="H384" s="26"/>
      <c r="I384" s="32"/>
    </row>
    <row r="385" spans="1:9" ht="13">
      <c r="A385" s="14" t="s">
        <v>859</v>
      </c>
      <c r="B385" s="2" t="s">
        <v>860</v>
      </c>
      <c r="C385" s="28" t="s">
        <v>861</v>
      </c>
      <c r="D385" s="2">
        <v>2022</v>
      </c>
      <c r="E385" s="4">
        <v>12</v>
      </c>
      <c r="F385" s="5" t="s">
        <v>32</v>
      </c>
      <c r="G385" s="6">
        <v>186</v>
      </c>
      <c r="H385" s="26"/>
      <c r="I385" s="32"/>
    </row>
    <row r="386" spans="1:9" ht="13">
      <c r="A386" s="14" t="s">
        <v>862</v>
      </c>
      <c r="B386" s="2" t="s">
        <v>863</v>
      </c>
      <c r="C386" s="28" t="s">
        <v>864</v>
      </c>
      <c r="D386" s="2">
        <v>2023</v>
      </c>
      <c r="E386" s="4">
        <v>12</v>
      </c>
      <c r="F386" s="5" t="s">
        <v>32</v>
      </c>
      <c r="G386" s="6">
        <v>204</v>
      </c>
      <c r="H386" s="26"/>
      <c r="I386" s="32"/>
    </row>
    <row r="387" spans="1:9" ht="13">
      <c r="A387" s="14" t="s">
        <v>865</v>
      </c>
      <c r="B387" s="2" t="s">
        <v>866</v>
      </c>
      <c r="C387" s="28" t="s">
        <v>867</v>
      </c>
      <c r="D387" s="2">
        <v>2022</v>
      </c>
      <c r="E387" s="4">
        <v>6</v>
      </c>
      <c r="F387" s="5" t="s">
        <v>304</v>
      </c>
      <c r="G387" s="6">
        <v>219</v>
      </c>
      <c r="H387" s="26"/>
      <c r="I387" s="32"/>
    </row>
    <row r="388" spans="1:9" ht="13">
      <c r="A388" s="14" t="s">
        <v>868</v>
      </c>
      <c r="B388" s="2" t="s">
        <v>869</v>
      </c>
      <c r="C388" s="28" t="s">
        <v>463</v>
      </c>
      <c r="D388" s="2">
        <v>2023</v>
      </c>
      <c r="E388" s="4">
        <v>12</v>
      </c>
      <c r="F388" s="5" t="s">
        <v>32</v>
      </c>
      <c r="G388" s="6">
        <v>264</v>
      </c>
      <c r="H388" s="26"/>
      <c r="I388" s="18"/>
    </row>
    <row r="389" spans="1:9" ht="13">
      <c r="A389" s="14" t="s">
        <v>870</v>
      </c>
      <c r="B389" s="2" t="s">
        <v>871</v>
      </c>
      <c r="C389" s="28" t="s">
        <v>463</v>
      </c>
      <c r="D389" s="2">
        <v>2023</v>
      </c>
      <c r="E389" s="4">
        <v>6</v>
      </c>
      <c r="F389" s="5" t="s">
        <v>304</v>
      </c>
      <c r="G389" s="6">
        <v>282</v>
      </c>
      <c r="H389" s="26"/>
      <c r="I389" s="18"/>
    </row>
    <row r="390" spans="1:9" ht="13">
      <c r="A390" s="14" t="s">
        <v>872</v>
      </c>
      <c r="B390" s="2" t="s">
        <v>873</v>
      </c>
      <c r="C390" s="28" t="s">
        <v>463</v>
      </c>
      <c r="D390" s="2">
        <v>2023</v>
      </c>
      <c r="E390" s="4">
        <v>12</v>
      </c>
      <c r="F390" s="5" t="s">
        <v>32</v>
      </c>
      <c r="G390" s="6">
        <v>300</v>
      </c>
      <c r="H390" s="26"/>
      <c r="I390" s="32"/>
    </row>
    <row r="391" spans="1:9" ht="13">
      <c r="A391" s="14" t="s">
        <v>874</v>
      </c>
      <c r="B391" s="2" t="s">
        <v>875</v>
      </c>
      <c r="C391" s="28" t="s">
        <v>463</v>
      </c>
      <c r="D391" s="2">
        <v>2022</v>
      </c>
      <c r="E391" s="4">
        <v>12</v>
      </c>
      <c r="F391" s="5" t="s">
        <v>32</v>
      </c>
      <c r="G391" s="6">
        <v>270</v>
      </c>
      <c r="H391" s="33"/>
      <c r="I391" s="18"/>
    </row>
    <row r="392" spans="1:9" ht="13">
      <c r="A392" s="14" t="s">
        <v>876</v>
      </c>
      <c r="B392" s="2" t="s">
        <v>877</v>
      </c>
      <c r="C392" s="28" t="s">
        <v>463</v>
      </c>
      <c r="D392" s="2">
        <v>2019</v>
      </c>
      <c r="E392" s="4">
        <v>12</v>
      </c>
      <c r="F392" s="5" t="s">
        <v>32</v>
      </c>
      <c r="G392" s="6">
        <v>276</v>
      </c>
      <c r="H392" s="33"/>
      <c r="I392" s="19"/>
    </row>
    <row r="393" spans="1:9" ht="13">
      <c r="A393" s="14" t="s">
        <v>878</v>
      </c>
      <c r="B393" s="2" t="s">
        <v>877</v>
      </c>
      <c r="C393" s="28" t="s">
        <v>463</v>
      </c>
      <c r="D393" s="2">
        <v>2020</v>
      </c>
      <c r="E393" s="4">
        <v>12</v>
      </c>
      <c r="F393" s="5" t="s">
        <v>32</v>
      </c>
      <c r="G393" s="6">
        <v>288</v>
      </c>
      <c r="H393" s="33"/>
      <c r="I393" s="19"/>
    </row>
    <row r="394" spans="1:9" ht="13">
      <c r="A394" s="14" t="s">
        <v>879</v>
      </c>
      <c r="B394" s="2" t="s">
        <v>880</v>
      </c>
      <c r="C394" s="28" t="s">
        <v>463</v>
      </c>
      <c r="D394" s="2">
        <v>2020</v>
      </c>
      <c r="E394" s="4">
        <v>12</v>
      </c>
      <c r="F394" s="5" t="s">
        <v>32</v>
      </c>
      <c r="G394" s="6">
        <v>330</v>
      </c>
      <c r="H394" s="33"/>
      <c r="I394" s="19"/>
    </row>
    <row r="395" spans="1:9" ht="13">
      <c r="A395" s="14" t="s">
        <v>881</v>
      </c>
      <c r="B395" s="2" t="s">
        <v>882</v>
      </c>
      <c r="C395" s="28" t="s">
        <v>463</v>
      </c>
      <c r="D395" s="2">
        <v>2022</v>
      </c>
      <c r="E395" s="4">
        <v>12</v>
      </c>
      <c r="F395" s="5" t="s">
        <v>32</v>
      </c>
      <c r="G395" s="6">
        <v>300</v>
      </c>
      <c r="H395" s="26"/>
      <c r="I395" s="32"/>
    </row>
    <row r="396" spans="1:9" ht="13">
      <c r="A396" s="14" t="s">
        <v>883</v>
      </c>
      <c r="B396" s="2" t="s">
        <v>884</v>
      </c>
      <c r="C396" s="28" t="s">
        <v>463</v>
      </c>
      <c r="D396" s="2">
        <v>2023</v>
      </c>
      <c r="E396" s="4">
        <v>12</v>
      </c>
      <c r="F396" s="5" t="s">
        <v>32</v>
      </c>
      <c r="G396" s="6">
        <v>594</v>
      </c>
      <c r="H396" s="26"/>
      <c r="I396" s="18">
        <v>1</v>
      </c>
    </row>
    <row r="397" spans="1:9" ht="13">
      <c r="A397" s="14" t="s">
        <v>885</v>
      </c>
      <c r="B397" s="2" t="s">
        <v>884</v>
      </c>
      <c r="C397" s="28" t="s">
        <v>463</v>
      </c>
      <c r="D397" s="2">
        <v>2018</v>
      </c>
      <c r="E397" s="4">
        <v>12</v>
      </c>
      <c r="F397" s="5" t="s">
        <v>32</v>
      </c>
      <c r="G397" s="6">
        <v>552</v>
      </c>
      <c r="H397" s="33"/>
      <c r="I397" s="18">
        <v>1</v>
      </c>
    </row>
    <row r="398" spans="1:9" ht="13">
      <c r="A398" s="14" t="s">
        <v>886</v>
      </c>
      <c r="B398" s="2" t="s">
        <v>887</v>
      </c>
      <c r="C398" s="28" t="s">
        <v>463</v>
      </c>
      <c r="D398" s="2">
        <v>2019</v>
      </c>
      <c r="E398" s="4">
        <v>12</v>
      </c>
      <c r="F398" s="5" t="s">
        <v>32</v>
      </c>
      <c r="G398" s="6">
        <v>654</v>
      </c>
      <c r="H398" s="33"/>
      <c r="I398" s="18">
        <v>1</v>
      </c>
    </row>
    <row r="399" spans="1:9" ht="18">
      <c r="A399" s="694" t="s">
        <v>888</v>
      </c>
      <c r="B399" s="689"/>
      <c r="C399" s="689"/>
      <c r="D399" s="689"/>
      <c r="E399" s="689"/>
      <c r="F399" s="689"/>
      <c r="G399" s="689"/>
      <c r="H399" s="689"/>
      <c r="I399" s="690"/>
    </row>
    <row r="400" spans="1:9" ht="13">
      <c r="A400" s="1" t="s">
        <v>889</v>
      </c>
      <c r="B400" s="5" t="s">
        <v>890</v>
      </c>
      <c r="C400" s="28" t="s">
        <v>891</v>
      </c>
      <c r="D400" s="2">
        <v>2021</v>
      </c>
      <c r="E400" s="4">
        <v>12</v>
      </c>
      <c r="F400" s="5" t="s">
        <v>32</v>
      </c>
      <c r="G400" s="6">
        <v>270</v>
      </c>
      <c r="H400" s="33"/>
      <c r="I400" s="19"/>
    </row>
    <row r="401" spans="1:9" ht="13">
      <c r="A401" s="1" t="s">
        <v>892</v>
      </c>
      <c r="B401" s="5" t="s">
        <v>893</v>
      </c>
      <c r="C401" s="28" t="s">
        <v>4</v>
      </c>
      <c r="D401" s="2">
        <v>2021</v>
      </c>
      <c r="E401" s="4">
        <v>12</v>
      </c>
      <c r="F401" s="5" t="s">
        <v>32</v>
      </c>
      <c r="G401" s="6">
        <v>270</v>
      </c>
      <c r="H401" s="33"/>
      <c r="I401" s="18">
        <v>1</v>
      </c>
    </row>
    <row r="402" spans="1:9" ht="13">
      <c r="A402" s="1" t="s">
        <v>894</v>
      </c>
      <c r="B402" s="5" t="s">
        <v>893</v>
      </c>
      <c r="C402" s="28" t="s">
        <v>4</v>
      </c>
      <c r="D402" s="2">
        <v>2022</v>
      </c>
      <c r="E402" s="4">
        <v>12</v>
      </c>
      <c r="F402" s="5" t="s">
        <v>32</v>
      </c>
      <c r="G402" s="6">
        <v>288</v>
      </c>
      <c r="H402" s="33"/>
      <c r="I402" s="32"/>
    </row>
    <row r="403" spans="1:9" ht="13">
      <c r="A403" s="1" t="s">
        <v>895</v>
      </c>
      <c r="B403" s="5" t="s">
        <v>893</v>
      </c>
      <c r="C403" s="28" t="s">
        <v>4</v>
      </c>
      <c r="D403" s="2">
        <v>2023</v>
      </c>
      <c r="E403" s="4">
        <v>12</v>
      </c>
      <c r="F403" s="5" t="s">
        <v>32</v>
      </c>
      <c r="G403" s="6">
        <v>288</v>
      </c>
      <c r="H403" s="26"/>
      <c r="I403" s="32"/>
    </row>
    <row r="404" spans="1:9" ht="13">
      <c r="A404" s="1" t="s">
        <v>896</v>
      </c>
      <c r="B404" s="5" t="s">
        <v>897</v>
      </c>
      <c r="C404" s="28" t="s">
        <v>4</v>
      </c>
      <c r="D404" s="2">
        <v>2023</v>
      </c>
      <c r="E404" s="4">
        <v>6</v>
      </c>
      <c r="F404" s="2" t="s">
        <v>304</v>
      </c>
      <c r="G404" s="6">
        <v>318</v>
      </c>
      <c r="H404" s="26"/>
      <c r="I404" s="32"/>
    </row>
    <row r="405" spans="1:9" ht="13">
      <c r="A405" s="1" t="s">
        <v>898</v>
      </c>
      <c r="B405" s="5" t="s">
        <v>899</v>
      </c>
      <c r="C405" s="28" t="s">
        <v>4</v>
      </c>
      <c r="D405" s="2">
        <v>2023</v>
      </c>
      <c r="E405" s="4">
        <v>12</v>
      </c>
      <c r="F405" s="5" t="s">
        <v>32</v>
      </c>
      <c r="G405" s="6">
        <v>366</v>
      </c>
      <c r="H405" s="26"/>
      <c r="I405" s="32"/>
    </row>
    <row r="406" spans="1:9" ht="13">
      <c r="A406" s="14" t="s">
        <v>900</v>
      </c>
      <c r="B406" s="5" t="s">
        <v>901</v>
      </c>
      <c r="C406" s="28" t="s">
        <v>463</v>
      </c>
      <c r="D406" s="2">
        <v>2023</v>
      </c>
      <c r="E406" s="4">
        <v>12</v>
      </c>
      <c r="F406" s="5" t="s">
        <v>32</v>
      </c>
      <c r="G406" s="6">
        <v>324</v>
      </c>
      <c r="H406" s="26"/>
      <c r="I406" s="18">
        <v>1</v>
      </c>
    </row>
    <row r="407" spans="1:9" ht="13">
      <c r="A407" s="14" t="s">
        <v>902</v>
      </c>
      <c r="B407" s="5" t="s">
        <v>903</v>
      </c>
      <c r="C407" s="28" t="s">
        <v>463</v>
      </c>
      <c r="D407" s="2">
        <v>2020</v>
      </c>
      <c r="E407" s="4">
        <v>12</v>
      </c>
      <c r="F407" s="5" t="s">
        <v>32</v>
      </c>
      <c r="G407" s="6">
        <v>270</v>
      </c>
      <c r="H407" s="33"/>
      <c r="I407" s="18">
        <v>1</v>
      </c>
    </row>
    <row r="408" spans="1:9" ht="13">
      <c r="A408" s="14" t="s">
        <v>904</v>
      </c>
      <c r="B408" s="5" t="s">
        <v>903</v>
      </c>
      <c r="C408" s="28" t="s">
        <v>463</v>
      </c>
      <c r="D408" s="2">
        <v>2021</v>
      </c>
      <c r="E408" s="4">
        <v>12</v>
      </c>
      <c r="F408" s="5" t="s">
        <v>32</v>
      </c>
      <c r="G408" s="6">
        <v>270</v>
      </c>
      <c r="H408" s="33"/>
      <c r="I408" s="18">
        <v>1</v>
      </c>
    </row>
    <row r="409" spans="1:9" ht="13">
      <c r="A409" s="14" t="s">
        <v>905</v>
      </c>
      <c r="B409" s="5" t="s">
        <v>903</v>
      </c>
      <c r="C409" s="28" t="s">
        <v>463</v>
      </c>
      <c r="D409" s="2">
        <v>2022</v>
      </c>
      <c r="E409" s="4">
        <v>12</v>
      </c>
      <c r="F409" s="5" t="s">
        <v>32</v>
      </c>
      <c r="G409" s="6">
        <v>288</v>
      </c>
      <c r="H409" s="33"/>
      <c r="I409" s="18">
        <v>1</v>
      </c>
    </row>
    <row r="410" spans="1:9" ht="13">
      <c r="A410" s="14" t="s">
        <v>906</v>
      </c>
      <c r="B410" s="5" t="s">
        <v>903</v>
      </c>
      <c r="C410" s="28" t="s">
        <v>67</v>
      </c>
      <c r="D410" s="2">
        <v>2023</v>
      </c>
      <c r="E410" s="4">
        <v>12</v>
      </c>
      <c r="F410" s="5" t="s">
        <v>32</v>
      </c>
      <c r="G410" s="6">
        <v>192</v>
      </c>
      <c r="H410" s="26"/>
      <c r="I410" s="18">
        <v>1</v>
      </c>
    </row>
    <row r="411" spans="1:9" ht="18">
      <c r="A411" s="695" t="s">
        <v>907</v>
      </c>
      <c r="B411" s="689"/>
      <c r="C411" s="689"/>
      <c r="D411" s="689"/>
      <c r="E411" s="689"/>
      <c r="F411" s="689"/>
      <c r="G411" s="689"/>
      <c r="H411" s="689"/>
      <c r="I411" s="690"/>
    </row>
    <row r="412" spans="1:9" ht="13">
      <c r="A412" s="1" t="s">
        <v>908</v>
      </c>
      <c r="B412" s="2" t="s">
        <v>909</v>
      </c>
      <c r="C412" s="28" t="s">
        <v>4</v>
      </c>
      <c r="D412" s="2">
        <v>2022</v>
      </c>
      <c r="E412" s="4">
        <v>12</v>
      </c>
      <c r="F412" s="5" t="s">
        <v>32</v>
      </c>
      <c r="G412" s="6">
        <v>258</v>
      </c>
      <c r="H412" s="26"/>
      <c r="I412" s="111"/>
    </row>
    <row r="413" spans="1:9" ht="13">
      <c r="A413" s="1" t="s">
        <v>910</v>
      </c>
      <c r="B413" s="2" t="s">
        <v>911</v>
      </c>
      <c r="C413" s="28" t="s">
        <v>4</v>
      </c>
      <c r="D413" s="2">
        <v>2022</v>
      </c>
      <c r="E413" s="4">
        <v>12</v>
      </c>
      <c r="F413" s="5" t="s">
        <v>32</v>
      </c>
      <c r="G413" s="6">
        <v>276</v>
      </c>
      <c r="H413" s="26"/>
      <c r="I413" s="112"/>
    </row>
    <row r="414" spans="1:9" ht="13">
      <c r="A414" s="1" t="s">
        <v>912</v>
      </c>
      <c r="B414" s="2" t="s">
        <v>913</v>
      </c>
      <c r="C414" s="28" t="s">
        <v>612</v>
      </c>
      <c r="D414" s="2">
        <v>2022</v>
      </c>
      <c r="E414" s="4">
        <v>12</v>
      </c>
      <c r="F414" s="5" t="s">
        <v>32</v>
      </c>
      <c r="G414" s="6">
        <v>216</v>
      </c>
      <c r="H414" s="38"/>
      <c r="I414" s="112"/>
    </row>
    <row r="415" spans="1:9" ht="13">
      <c r="A415" s="1" t="s">
        <v>914</v>
      </c>
      <c r="B415" s="2" t="s">
        <v>915</v>
      </c>
      <c r="C415" s="28" t="s">
        <v>4</v>
      </c>
      <c r="D415" s="2">
        <v>2022</v>
      </c>
      <c r="E415" s="4">
        <v>12</v>
      </c>
      <c r="F415" s="5" t="s">
        <v>32</v>
      </c>
      <c r="G415" s="6">
        <v>246</v>
      </c>
      <c r="H415" s="38"/>
      <c r="I415" s="112"/>
    </row>
    <row r="416" spans="1:9" ht="13">
      <c r="A416" s="1" t="s">
        <v>916</v>
      </c>
      <c r="B416" s="2" t="s">
        <v>917</v>
      </c>
      <c r="C416" s="28" t="s">
        <v>4</v>
      </c>
      <c r="D416" s="2">
        <v>2022</v>
      </c>
      <c r="E416" s="4">
        <v>12</v>
      </c>
      <c r="F416" s="5" t="s">
        <v>32</v>
      </c>
      <c r="G416" s="6">
        <v>396</v>
      </c>
      <c r="H416" s="26"/>
      <c r="I416" s="111"/>
    </row>
    <row r="417" spans="1:9" ht="13">
      <c r="A417" s="1" t="s">
        <v>918</v>
      </c>
      <c r="B417" s="2" t="s">
        <v>919</v>
      </c>
      <c r="C417" s="28" t="s">
        <v>4</v>
      </c>
      <c r="D417" s="2">
        <v>2022</v>
      </c>
      <c r="E417" s="4">
        <v>12</v>
      </c>
      <c r="F417" s="5" t="s">
        <v>32</v>
      </c>
      <c r="G417" s="6">
        <v>606</v>
      </c>
      <c r="H417" s="26"/>
      <c r="I417" s="111"/>
    </row>
    <row r="418" spans="1:9" ht="13">
      <c r="A418" s="1" t="s">
        <v>920</v>
      </c>
      <c r="B418" s="2" t="s">
        <v>921</v>
      </c>
      <c r="C418" s="28" t="s">
        <v>4</v>
      </c>
      <c r="D418" s="2">
        <v>2020</v>
      </c>
      <c r="E418" s="4">
        <v>12</v>
      </c>
      <c r="F418" s="5" t="s">
        <v>32</v>
      </c>
      <c r="G418" s="6">
        <v>546</v>
      </c>
      <c r="H418" s="38"/>
      <c r="I418" s="112"/>
    </row>
    <row r="419" spans="1:9" ht="13">
      <c r="A419" s="1" t="s">
        <v>922</v>
      </c>
      <c r="B419" s="2" t="s">
        <v>923</v>
      </c>
      <c r="C419" s="28" t="s">
        <v>4</v>
      </c>
      <c r="D419" s="2">
        <v>2022</v>
      </c>
      <c r="E419" s="4">
        <v>12</v>
      </c>
      <c r="F419" s="5" t="s">
        <v>32</v>
      </c>
      <c r="G419" s="6">
        <v>558</v>
      </c>
      <c r="H419" s="26"/>
      <c r="I419" s="111"/>
    </row>
    <row r="420" spans="1:9" ht="13">
      <c r="A420" s="1" t="s">
        <v>924</v>
      </c>
      <c r="B420" s="2" t="s">
        <v>925</v>
      </c>
      <c r="C420" s="28" t="s">
        <v>4</v>
      </c>
      <c r="D420" s="2">
        <v>2022</v>
      </c>
      <c r="E420" s="4">
        <v>12</v>
      </c>
      <c r="F420" s="5" t="s">
        <v>32</v>
      </c>
      <c r="G420" s="6">
        <v>528</v>
      </c>
      <c r="H420" s="26"/>
      <c r="I420" s="111"/>
    </row>
    <row r="421" spans="1:9" ht="13">
      <c r="A421" s="14" t="s">
        <v>926</v>
      </c>
      <c r="B421" s="2" t="s">
        <v>927</v>
      </c>
      <c r="C421" s="28" t="s">
        <v>463</v>
      </c>
      <c r="D421" s="2">
        <v>2020</v>
      </c>
      <c r="E421" s="4">
        <v>12</v>
      </c>
      <c r="F421" s="5" t="s">
        <v>32</v>
      </c>
      <c r="G421" s="6">
        <v>240</v>
      </c>
      <c r="H421" s="38"/>
      <c r="I421" s="111"/>
    </row>
    <row r="422" spans="1:9" ht="13">
      <c r="A422" s="14" t="s">
        <v>928</v>
      </c>
      <c r="B422" s="2" t="s">
        <v>929</v>
      </c>
      <c r="C422" s="28" t="s">
        <v>463</v>
      </c>
      <c r="D422" s="2">
        <v>2021</v>
      </c>
      <c r="E422" s="4">
        <v>12</v>
      </c>
      <c r="F422" s="5" t="s">
        <v>32</v>
      </c>
      <c r="G422" s="6">
        <v>240</v>
      </c>
      <c r="H422" s="38"/>
      <c r="I422" s="111"/>
    </row>
    <row r="423" spans="1:9" ht="13">
      <c r="A423" s="14" t="s">
        <v>930</v>
      </c>
      <c r="B423" s="2" t="s">
        <v>931</v>
      </c>
      <c r="C423" s="28" t="s">
        <v>463</v>
      </c>
      <c r="D423" s="2">
        <v>2022</v>
      </c>
      <c r="E423" s="4">
        <v>12</v>
      </c>
      <c r="F423" s="5" t="s">
        <v>32</v>
      </c>
      <c r="G423" s="6">
        <v>258</v>
      </c>
      <c r="H423" s="26"/>
      <c r="I423" s="112"/>
    </row>
    <row r="424" spans="1:9" ht="13">
      <c r="A424" s="14" t="s">
        <v>932</v>
      </c>
      <c r="B424" s="2" t="s">
        <v>933</v>
      </c>
      <c r="C424" s="28" t="s">
        <v>463</v>
      </c>
      <c r="D424" s="2">
        <v>2022</v>
      </c>
      <c r="E424" s="4">
        <v>12</v>
      </c>
      <c r="F424" s="5" t="s">
        <v>32</v>
      </c>
      <c r="G424" s="6">
        <v>372</v>
      </c>
      <c r="H424" s="26"/>
      <c r="I424" s="111"/>
    </row>
    <row r="425" spans="1:9" ht="13">
      <c r="A425" s="14" t="s">
        <v>934</v>
      </c>
      <c r="B425" s="2" t="s">
        <v>935</v>
      </c>
      <c r="C425" s="28" t="s">
        <v>463</v>
      </c>
      <c r="D425" s="2">
        <v>2022</v>
      </c>
      <c r="E425" s="4">
        <v>12</v>
      </c>
      <c r="F425" s="5" t="s">
        <v>32</v>
      </c>
      <c r="G425" s="6">
        <v>336</v>
      </c>
      <c r="H425" s="26"/>
      <c r="I425" s="112"/>
    </row>
    <row r="426" spans="1:9" ht="13">
      <c r="A426" s="14" t="s">
        <v>936</v>
      </c>
      <c r="B426" s="2" t="s">
        <v>937</v>
      </c>
      <c r="C426" s="28" t="s">
        <v>463</v>
      </c>
      <c r="D426" s="2">
        <v>2022</v>
      </c>
      <c r="E426" s="4">
        <v>12</v>
      </c>
      <c r="F426" s="5" t="s">
        <v>32</v>
      </c>
      <c r="G426" s="6">
        <v>444</v>
      </c>
      <c r="H426" s="26"/>
      <c r="I426" s="111"/>
    </row>
    <row r="427" spans="1:9" ht="13">
      <c r="A427" s="14" t="s">
        <v>938</v>
      </c>
      <c r="B427" s="2" t="s">
        <v>939</v>
      </c>
      <c r="C427" s="28" t="s">
        <v>463</v>
      </c>
      <c r="D427" s="2">
        <v>2022</v>
      </c>
      <c r="E427" s="4">
        <v>12</v>
      </c>
      <c r="F427" s="5" t="s">
        <v>32</v>
      </c>
      <c r="G427" s="6">
        <v>606</v>
      </c>
      <c r="H427" s="26"/>
      <c r="I427" s="111"/>
    </row>
    <row r="428" spans="1:9" ht="13">
      <c r="A428" s="14" t="s">
        <v>940</v>
      </c>
      <c r="B428" s="2" t="s">
        <v>941</v>
      </c>
      <c r="C428" s="28" t="s">
        <v>463</v>
      </c>
      <c r="D428" s="2">
        <v>2022</v>
      </c>
      <c r="E428" s="4">
        <v>12</v>
      </c>
      <c r="F428" s="5" t="s">
        <v>32</v>
      </c>
      <c r="G428" s="6">
        <v>852</v>
      </c>
      <c r="H428" s="38"/>
      <c r="I428" s="112"/>
    </row>
    <row r="429" spans="1:9" ht="18">
      <c r="A429" s="695" t="s">
        <v>942</v>
      </c>
      <c r="B429" s="689"/>
      <c r="C429" s="689"/>
      <c r="D429" s="689"/>
      <c r="E429" s="689"/>
      <c r="F429" s="689"/>
      <c r="G429" s="689"/>
      <c r="H429" s="689"/>
      <c r="I429" s="690"/>
    </row>
    <row r="430" spans="1:9" ht="13">
      <c r="A430" s="1" t="s">
        <v>943</v>
      </c>
      <c r="B430" s="2" t="s">
        <v>944</v>
      </c>
      <c r="C430" s="28" t="s">
        <v>945</v>
      </c>
      <c r="D430" s="2">
        <v>2022</v>
      </c>
      <c r="E430" s="4">
        <v>12</v>
      </c>
      <c r="F430" s="5" t="s">
        <v>32</v>
      </c>
      <c r="G430" s="6">
        <v>220</v>
      </c>
      <c r="H430" s="33"/>
      <c r="I430" s="112"/>
    </row>
    <row r="431" spans="1:9" ht="13">
      <c r="A431" s="10" t="s">
        <v>946</v>
      </c>
      <c r="B431" s="2" t="s">
        <v>947</v>
      </c>
      <c r="C431" s="28" t="s">
        <v>718</v>
      </c>
      <c r="D431" s="2">
        <v>2022</v>
      </c>
      <c r="E431" s="4">
        <v>12</v>
      </c>
      <c r="F431" s="5" t="s">
        <v>32</v>
      </c>
      <c r="G431" s="6">
        <v>228</v>
      </c>
      <c r="H431" s="33"/>
      <c r="I431" s="112"/>
    </row>
    <row r="432" spans="1:9" ht="13">
      <c r="A432" s="37" t="s">
        <v>948</v>
      </c>
      <c r="B432" s="2" t="s">
        <v>949</v>
      </c>
      <c r="C432" s="28" t="s">
        <v>950</v>
      </c>
      <c r="D432" s="2">
        <v>2023</v>
      </c>
      <c r="E432" s="4">
        <v>12</v>
      </c>
      <c r="F432" s="5" t="s">
        <v>32</v>
      </c>
      <c r="G432" s="6">
        <v>204</v>
      </c>
      <c r="H432" s="26"/>
      <c r="I432" s="111"/>
    </row>
    <row r="433" spans="1:9" ht="13">
      <c r="A433" s="1" t="s">
        <v>951</v>
      </c>
      <c r="B433" s="2" t="s">
        <v>952</v>
      </c>
      <c r="C433" s="28" t="s">
        <v>612</v>
      </c>
      <c r="D433" s="2">
        <v>2022</v>
      </c>
      <c r="E433" s="4">
        <v>12</v>
      </c>
      <c r="F433" s="5" t="s">
        <v>32</v>
      </c>
      <c r="G433" s="6">
        <v>220</v>
      </c>
      <c r="H433" s="26"/>
      <c r="I433" s="112"/>
    </row>
    <row r="434" spans="1:9" ht="13">
      <c r="A434" s="1" t="s">
        <v>953</v>
      </c>
      <c r="B434" s="2" t="s">
        <v>954</v>
      </c>
      <c r="C434" s="28" t="s">
        <v>4</v>
      </c>
      <c r="D434" s="2">
        <v>2022</v>
      </c>
      <c r="E434" s="4">
        <v>12</v>
      </c>
      <c r="F434" s="5" t="s">
        <v>32</v>
      </c>
      <c r="G434" s="6">
        <v>252</v>
      </c>
      <c r="H434" s="26"/>
      <c r="I434" s="111"/>
    </row>
    <row r="435" spans="1:9" ht="13">
      <c r="A435" s="1" t="s">
        <v>955</v>
      </c>
      <c r="B435" s="2" t="s">
        <v>956</v>
      </c>
      <c r="C435" s="28" t="s">
        <v>4</v>
      </c>
      <c r="D435" s="2">
        <v>2023</v>
      </c>
      <c r="E435" s="4">
        <v>12</v>
      </c>
      <c r="F435" s="5" t="s">
        <v>32</v>
      </c>
      <c r="G435" s="6">
        <v>234</v>
      </c>
      <c r="H435" s="26"/>
      <c r="I435" s="111"/>
    </row>
    <row r="436" spans="1:9" ht="13">
      <c r="A436" s="1" t="s">
        <v>957</v>
      </c>
      <c r="B436" s="2" t="s">
        <v>958</v>
      </c>
      <c r="C436" s="28" t="s">
        <v>4</v>
      </c>
      <c r="D436" s="2">
        <v>2021</v>
      </c>
      <c r="E436" s="4">
        <v>12</v>
      </c>
      <c r="F436" s="5" t="s">
        <v>32</v>
      </c>
      <c r="G436" s="6">
        <v>252</v>
      </c>
      <c r="H436" s="26"/>
      <c r="I436" s="111"/>
    </row>
    <row r="437" spans="1:9" ht="13">
      <c r="A437" s="1" t="s">
        <v>959</v>
      </c>
      <c r="B437" s="2" t="s">
        <v>960</v>
      </c>
      <c r="C437" s="28" t="s">
        <v>4</v>
      </c>
      <c r="D437" s="2">
        <v>2020</v>
      </c>
      <c r="E437" s="4">
        <v>12</v>
      </c>
      <c r="F437" s="5" t="s">
        <v>32</v>
      </c>
      <c r="G437" s="6">
        <v>342</v>
      </c>
      <c r="H437" s="26"/>
      <c r="I437" s="111"/>
    </row>
    <row r="438" spans="1:9" ht="13">
      <c r="A438" s="1" t="s">
        <v>961</v>
      </c>
      <c r="B438" s="2" t="s">
        <v>962</v>
      </c>
      <c r="C438" s="28" t="s">
        <v>612</v>
      </c>
      <c r="D438" s="2">
        <v>2018</v>
      </c>
      <c r="E438" s="4">
        <v>12</v>
      </c>
      <c r="F438" s="5" t="s">
        <v>32</v>
      </c>
      <c r="G438" s="6">
        <v>420</v>
      </c>
      <c r="H438" s="33"/>
      <c r="I438" s="111"/>
    </row>
    <row r="439" spans="1:9" ht="13">
      <c r="A439" s="1" t="s">
        <v>963</v>
      </c>
      <c r="B439" s="2" t="s">
        <v>964</v>
      </c>
      <c r="C439" s="28" t="s">
        <v>4</v>
      </c>
      <c r="D439" s="2">
        <v>2018</v>
      </c>
      <c r="E439" s="4">
        <v>12</v>
      </c>
      <c r="F439" s="5" t="s">
        <v>32</v>
      </c>
      <c r="G439" s="6">
        <v>456</v>
      </c>
      <c r="H439" s="33"/>
      <c r="I439" s="111"/>
    </row>
    <row r="440" spans="1:9" ht="13">
      <c r="A440" s="1" t="s">
        <v>965</v>
      </c>
      <c r="B440" s="2" t="s">
        <v>966</v>
      </c>
      <c r="C440" s="28" t="s">
        <v>4</v>
      </c>
      <c r="D440" s="2">
        <v>2016</v>
      </c>
      <c r="E440" s="4">
        <v>12</v>
      </c>
      <c r="F440" s="5" t="s">
        <v>32</v>
      </c>
      <c r="G440" s="6">
        <v>540</v>
      </c>
      <c r="H440" s="33"/>
      <c r="I440" s="111"/>
    </row>
    <row r="441" spans="1:9" ht="13">
      <c r="A441" s="10" t="s">
        <v>967</v>
      </c>
      <c r="B441" s="2" t="s">
        <v>968</v>
      </c>
      <c r="C441" s="28" t="s">
        <v>969</v>
      </c>
      <c r="D441" s="2">
        <v>2022</v>
      </c>
      <c r="E441" s="4">
        <v>12</v>
      </c>
      <c r="F441" s="5" t="s">
        <v>32</v>
      </c>
      <c r="G441" s="6">
        <v>246</v>
      </c>
      <c r="H441" s="26"/>
      <c r="I441" s="111"/>
    </row>
    <row r="442" spans="1:9" ht="13">
      <c r="A442" s="10" t="s">
        <v>970</v>
      </c>
      <c r="B442" s="2" t="s">
        <v>971</v>
      </c>
      <c r="C442" s="28" t="s">
        <v>718</v>
      </c>
      <c r="D442" s="2">
        <v>2022</v>
      </c>
      <c r="E442" s="4">
        <v>12</v>
      </c>
      <c r="F442" s="5" t="s">
        <v>32</v>
      </c>
      <c r="G442" s="6">
        <v>288</v>
      </c>
      <c r="H442" s="33"/>
      <c r="I442" s="111"/>
    </row>
    <row r="443" spans="1:9" ht="13">
      <c r="A443" s="14" t="s">
        <v>972</v>
      </c>
      <c r="B443" s="2" t="s">
        <v>973</v>
      </c>
      <c r="C443" s="28" t="s">
        <v>463</v>
      </c>
      <c r="D443" s="2">
        <v>2022</v>
      </c>
      <c r="E443" s="4">
        <v>12</v>
      </c>
      <c r="F443" s="5" t="s">
        <v>32</v>
      </c>
      <c r="G443" s="6">
        <v>252</v>
      </c>
      <c r="H443" s="26"/>
      <c r="I443" s="111"/>
    </row>
    <row r="444" spans="1:9" ht="13">
      <c r="A444" s="14" t="s">
        <v>974</v>
      </c>
      <c r="B444" s="2" t="s">
        <v>975</v>
      </c>
      <c r="C444" s="28" t="s">
        <v>463</v>
      </c>
      <c r="D444" s="2">
        <v>2023</v>
      </c>
      <c r="E444" s="4">
        <v>12</v>
      </c>
      <c r="F444" s="5" t="s">
        <v>32</v>
      </c>
      <c r="G444" s="6">
        <v>234</v>
      </c>
      <c r="H444" s="33"/>
      <c r="I444" s="111"/>
    </row>
    <row r="445" spans="1:9" ht="13">
      <c r="A445" s="14" t="s">
        <v>976</v>
      </c>
      <c r="B445" s="2" t="s">
        <v>977</v>
      </c>
      <c r="C445" s="28" t="s">
        <v>463</v>
      </c>
      <c r="D445" s="2">
        <v>2022</v>
      </c>
      <c r="E445" s="4">
        <v>12</v>
      </c>
      <c r="F445" s="5" t="s">
        <v>32</v>
      </c>
      <c r="G445" s="6">
        <v>258</v>
      </c>
      <c r="H445" s="26"/>
      <c r="I445" s="112"/>
    </row>
    <row r="446" spans="1:9" ht="13">
      <c r="A446" s="14" t="s">
        <v>978</v>
      </c>
      <c r="B446" s="2" t="s">
        <v>979</v>
      </c>
      <c r="C446" s="28" t="s">
        <v>463</v>
      </c>
      <c r="D446" s="2">
        <v>2022</v>
      </c>
      <c r="E446" s="4">
        <v>12</v>
      </c>
      <c r="F446" s="5" t="s">
        <v>32</v>
      </c>
      <c r="G446" s="6">
        <v>378</v>
      </c>
      <c r="H446" s="26"/>
      <c r="I446" s="111"/>
    </row>
    <row r="447" spans="1:9" ht="13">
      <c r="A447" s="14" t="s">
        <v>980</v>
      </c>
      <c r="B447" s="2" t="s">
        <v>981</v>
      </c>
      <c r="C447" s="28" t="s">
        <v>541</v>
      </c>
      <c r="D447" s="2">
        <v>2023</v>
      </c>
      <c r="E447" s="4">
        <v>12</v>
      </c>
      <c r="F447" s="5" t="s">
        <v>32</v>
      </c>
      <c r="G447" s="6">
        <v>186</v>
      </c>
      <c r="H447" s="33"/>
      <c r="I447" s="111"/>
    </row>
    <row r="448" spans="1:9" ht="13">
      <c r="A448" s="14" t="s">
        <v>982</v>
      </c>
      <c r="B448" s="2" t="s">
        <v>983</v>
      </c>
      <c r="C448" s="28" t="s">
        <v>155</v>
      </c>
      <c r="D448" s="2">
        <v>2022</v>
      </c>
      <c r="E448" s="4">
        <v>12</v>
      </c>
      <c r="F448" s="5" t="s">
        <v>32</v>
      </c>
      <c r="G448" s="6">
        <v>180</v>
      </c>
      <c r="H448" s="33"/>
      <c r="I448" s="111"/>
    </row>
    <row r="449" spans="1:9" ht="13">
      <c r="A449" s="14" t="s">
        <v>984</v>
      </c>
      <c r="B449" s="2" t="s">
        <v>985</v>
      </c>
      <c r="C449" s="28" t="s">
        <v>155</v>
      </c>
      <c r="D449" s="2">
        <v>2022</v>
      </c>
      <c r="E449" s="4">
        <v>12</v>
      </c>
      <c r="F449" s="5" t="s">
        <v>32</v>
      </c>
      <c r="G449" s="6">
        <v>180</v>
      </c>
      <c r="H449" s="33"/>
      <c r="I449" s="112"/>
    </row>
    <row r="450" spans="1:9" ht="18">
      <c r="A450" s="694" t="s">
        <v>986</v>
      </c>
      <c r="B450" s="689"/>
      <c r="C450" s="689"/>
      <c r="D450" s="689"/>
      <c r="E450" s="689"/>
      <c r="F450" s="689"/>
      <c r="G450" s="689"/>
      <c r="H450" s="689"/>
      <c r="I450" s="690"/>
    </row>
    <row r="451" spans="1:9" ht="13">
      <c r="A451" s="1" t="s">
        <v>987</v>
      </c>
      <c r="B451" s="2" t="s">
        <v>988</v>
      </c>
      <c r="C451" s="28" t="s">
        <v>612</v>
      </c>
      <c r="D451" s="2">
        <v>2020</v>
      </c>
      <c r="E451" s="4">
        <v>12</v>
      </c>
      <c r="F451" s="5" t="s">
        <v>32</v>
      </c>
      <c r="G451" s="6">
        <v>270</v>
      </c>
      <c r="H451" s="26"/>
      <c r="I451" s="112"/>
    </row>
    <row r="452" spans="1:9" ht="13">
      <c r="A452" s="1" t="s">
        <v>989</v>
      </c>
      <c r="B452" s="2" t="s">
        <v>988</v>
      </c>
      <c r="C452" s="28" t="s">
        <v>612</v>
      </c>
      <c r="D452" s="2">
        <v>2021</v>
      </c>
      <c r="E452" s="4">
        <v>12</v>
      </c>
      <c r="F452" s="5" t="s">
        <v>32</v>
      </c>
      <c r="G452" s="6">
        <v>276</v>
      </c>
      <c r="H452" s="26"/>
      <c r="I452" s="112"/>
    </row>
    <row r="453" spans="1:9" ht="13">
      <c r="A453" s="1" t="s">
        <v>990</v>
      </c>
      <c r="B453" s="2" t="s">
        <v>991</v>
      </c>
      <c r="C453" s="28" t="s">
        <v>4</v>
      </c>
      <c r="D453" s="2">
        <v>2021</v>
      </c>
      <c r="E453" s="4">
        <v>12</v>
      </c>
      <c r="F453" s="5" t="s">
        <v>32</v>
      </c>
      <c r="G453" s="6">
        <v>312</v>
      </c>
      <c r="H453" s="26"/>
      <c r="I453" s="112"/>
    </row>
    <row r="454" spans="1:9" ht="13">
      <c r="A454" s="1" t="s">
        <v>992</v>
      </c>
      <c r="B454" s="2" t="s">
        <v>993</v>
      </c>
      <c r="C454" s="28" t="s">
        <v>4</v>
      </c>
      <c r="D454" s="2">
        <v>2021</v>
      </c>
      <c r="E454" s="4">
        <v>12</v>
      </c>
      <c r="F454" s="5" t="s">
        <v>32</v>
      </c>
      <c r="G454" s="6">
        <v>312</v>
      </c>
      <c r="H454" s="26"/>
      <c r="I454" s="112"/>
    </row>
    <row r="455" spans="1:9" ht="13">
      <c r="A455" s="1" t="s">
        <v>994</v>
      </c>
      <c r="B455" s="2" t="s">
        <v>995</v>
      </c>
      <c r="C455" s="28" t="s">
        <v>4</v>
      </c>
      <c r="D455" s="2">
        <v>2020</v>
      </c>
      <c r="E455" s="4">
        <v>12</v>
      </c>
      <c r="F455" s="5" t="s">
        <v>32</v>
      </c>
      <c r="G455" s="6">
        <v>312</v>
      </c>
      <c r="H455" s="26"/>
      <c r="I455" s="112"/>
    </row>
    <row r="456" spans="1:9" ht="13">
      <c r="A456" s="1" t="s">
        <v>996</v>
      </c>
      <c r="B456" s="2" t="s">
        <v>997</v>
      </c>
      <c r="C456" s="28" t="s">
        <v>4</v>
      </c>
      <c r="D456" s="2">
        <v>2020</v>
      </c>
      <c r="E456" s="4">
        <v>12</v>
      </c>
      <c r="F456" s="5" t="s">
        <v>32</v>
      </c>
      <c r="G456" s="6">
        <v>444</v>
      </c>
      <c r="H456" s="26"/>
      <c r="I456" s="112"/>
    </row>
    <row r="457" spans="1:9" ht="13">
      <c r="A457" s="1" t="s">
        <v>998</v>
      </c>
      <c r="B457" s="2" t="s">
        <v>999</v>
      </c>
      <c r="C457" s="28" t="s">
        <v>4</v>
      </c>
      <c r="D457" s="2">
        <v>2020</v>
      </c>
      <c r="E457" s="4">
        <v>12</v>
      </c>
      <c r="F457" s="5" t="s">
        <v>32</v>
      </c>
      <c r="G457" s="6">
        <v>498</v>
      </c>
      <c r="H457" s="26"/>
      <c r="I457" s="112"/>
    </row>
    <row r="458" spans="1:9" ht="13">
      <c r="A458" s="1" t="s">
        <v>1000</v>
      </c>
      <c r="B458" s="2" t="s">
        <v>1001</v>
      </c>
      <c r="C458" s="28" t="s">
        <v>4</v>
      </c>
      <c r="D458" s="2">
        <v>2021</v>
      </c>
      <c r="E458" s="4">
        <v>12</v>
      </c>
      <c r="F458" s="5" t="s">
        <v>32</v>
      </c>
      <c r="G458" s="6">
        <v>528</v>
      </c>
      <c r="H458" s="26"/>
      <c r="I458" s="112"/>
    </row>
    <row r="459" spans="1:9" ht="13">
      <c r="A459" s="1" t="s">
        <v>1002</v>
      </c>
      <c r="B459" s="2" t="s">
        <v>1003</v>
      </c>
      <c r="C459" s="28" t="s">
        <v>4</v>
      </c>
      <c r="D459" s="2">
        <v>2020</v>
      </c>
      <c r="E459" s="4">
        <v>12</v>
      </c>
      <c r="F459" s="5" t="s">
        <v>32</v>
      </c>
      <c r="G459" s="6">
        <v>624</v>
      </c>
      <c r="H459" s="26"/>
      <c r="I459" s="112"/>
    </row>
    <row r="460" spans="1:9" ht="13">
      <c r="A460" s="14" t="s">
        <v>1004</v>
      </c>
      <c r="B460" s="2" t="s">
        <v>1005</v>
      </c>
      <c r="C460" s="28" t="s">
        <v>155</v>
      </c>
      <c r="D460" s="2">
        <v>2021</v>
      </c>
      <c r="E460" s="4">
        <v>12</v>
      </c>
      <c r="F460" s="5" t="s">
        <v>32</v>
      </c>
      <c r="G460" s="6">
        <v>252</v>
      </c>
      <c r="H460" s="26"/>
      <c r="I460" s="112"/>
    </row>
    <row r="461" spans="1:9" ht="13">
      <c r="A461" s="14" t="s">
        <v>1006</v>
      </c>
      <c r="B461" s="2" t="s">
        <v>981</v>
      </c>
      <c r="C461" s="28" t="s">
        <v>463</v>
      </c>
      <c r="D461" s="2">
        <v>2021</v>
      </c>
      <c r="E461" s="4">
        <v>12</v>
      </c>
      <c r="F461" s="5" t="s">
        <v>32</v>
      </c>
      <c r="G461" s="6">
        <v>246</v>
      </c>
      <c r="H461" s="26"/>
      <c r="I461" s="112"/>
    </row>
    <row r="462" spans="1:9" ht="13">
      <c r="A462" s="14" t="s">
        <v>1007</v>
      </c>
      <c r="B462" s="2" t="s">
        <v>1008</v>
      </c>
      <c r="C462" s="28" t="s">
        <v>463</v>
      </c>
      <c r="D462" s="2">
        <v>2020</v>
      </c>
      <c r="E462" s="4">
        <v>12</v>
      </c>
      <c r="F462" s="5" t="s">
        <v>32</v>
      </c>
      <c r="G462" s="6">
        <v>312</v>
      </c>
      <c r="H462" s="26"/>
      <c r="I462" s="112"/>
    </row>
    <row r="463" spans="1:9" ht="13">
      <c r="A463" s="14" t="s">
        <v>1009</v>
      </c>
      <c r="B463" s="2" t="s">
        <v>875</v>
      </c>
      <c r="C463" s="28" t="s">
        <v>463</v>
      </c>
      <c r="D463" s="2">
        <v>2020</v>
      </c>
      <c r="E463" s="4">
        <v>12</v>
      </c>
      <c r="F463" s="5" t="s">
        <v>32</v>
      </c>
      <c r="G463" s="6">
        <v>408</v>
      </c>
      <c r="H463" s="26"/>
      <c r="I463" s="112"/>
    </row>
    <row r="464" spans="1:9" ht="13">
      <c r="A464" s="14" t="s">
        <v>1010</v>
      </c>
      <c r="B464" s="2" t="s">
        <v>1011</v>
      </c>
      <c r="C464" s="28" t="s">
        <v>463</v>
      </c>
      <c r="D464" s="2">
        <v>2020</v>
      </c>
      <c r="E464" s="4">
        <v>12</v>
      </c>
      <c r="F464" s="5" t="s">
        <v>32</v>
      </c>
      <c r="G464" s="6">
        <v>408</v>
      </c>
      <c r="H464" s="26"/>
      <c r="I464" s="112"/>
    </row>
    <row r="465" spans="1:9" ht="13">
      <c r="A465" s="14" t="s">
        <v>1012</v>
      </c>
      <c r="B465" s="2" t="s">
        <v>1011</v>
      </c>
      <c r="C465" s="28" t="s">
        <v>463</v>
      </c>
      <c r="D465" s="2">
        <v>2021</v>
      </c>
      <c r="E465" s="4">
        <v>12</v>
      </c>
      <c r="F465" s="5" t="s">
        <v>32</v>
      </c>
      <c r="G465" s="6">
        <v>408</v>
      </c>
      <c r="H465" s="26"/>
      <c r="I465" s="112"/>
    </row>
    <row r="466" spans="1:9" ht="13">
      <c r="A466" s="14" t="s">
        <v>1013</v>
      </c>
      <c r="B466" s="2" t="s">
        <v>884</v>
      </c>
      <c r="C466" s="28" t="s">
        <v>463</v>
      </c>
      <c r="D466" s="2">
        <v>2020</v>
      </c>
      <c r="E466" s="4">
        <v>12</v>
      </c>
      <c r="F466" s="5" t="s">
        <v>32</v>
      </c>
      <c r="G466" s="6">
        <v>726</v>
      </c>
      <c r="H466" s="26"/>
      <c r="I466" s="112"/>
    </row>
    <row r="467" spans="1:9" ht="18">
      <c r="A467" s="694" t="s">
        <v>1014</v>
      </c>
      <c r="B467" s="689"/>
      <c r="C467" s="689"/>
      <c r="D467" s="689"/>
      <c r="E467" s="689"/>
      <c r="F467" s="689"/>
      <c r="G467" s="689"/>
      <c r="H467" s="689"/>
      <c r="I467" s="690"/>
    </row>
    <row r="468" spans="1:9" ht="13">
      <c r="A468" s="1" t="s">
        <v>1015</v>
      </c>
      <c r="B468" s="2" t="s">
        <v>715</v>
      </c>
      <c r="C468" s="28" t="s">
        <v>612</v>
      </c>
      <c r="D468" s="2">
        <v>2021</v>
      </c>
      <c r="E468" s="4">
        <v>6</v>
      </c>
      <c r="F468" s="5" t="s">
        <v>32</v>
      </c>
      <c r="G468" s="6">
        <v>117</v>
      </c>
      <c r="H468" s="33"/>
      <c r="I468" s="112"/>
    </row>
    <row r="469" spans="1:9" ht="13">
      <c r="A469" s="1" t="s">
        <v>1016</v>
      </c>
      <c r="B469" s="2" t="s">
        <v>623</v>
      </c>
      <c r="C469" s="28" t="s">
        <v>4</v>
      </c>
      <c r="D469" s="2">
        <v>2022</v>
      </c>
      <c r="E469" s="4">
        <v>6</v>
      </c>
      <c r="F469" s="5" t="s">
        <v>32</v>
      </c>
      <c r="G469" s="6">
        <v>159</v>
      </c>
      <c r="H469" s="26"/>
      <c r="I469" s="18">
        <v>1</v>
      </c>
    </row>
    <row r="470" spans="1:9" ht="13">
      <c r="A470" s="10" t="s">
        <v>1017</v>
      </c>
      <c r="B470" s="2" t="s">
        <v>1018</v>
      </c>
      <c r="C470" s="28" t="s">
        <v>1019</v>
      </c>
      <c r="D470" s="2">
        <v>2014</v>
      </c>
      <c r="E470" s="4">
        <v>12</v>
      </c>
      <c r="F470" s="5" t="s">
        <v>32</v>
      </c>
      <c r="G470" s="6">
        <v>240</v>
      </c>
      <c r="H470" s="33"/>
      <c r="I470" s="112"/>
    </row>
    <row r="471" spans="1:9" ht="13">
      <c r="A471" s="1" t="s">
        <v>1020</v>
      </c>
      <c r="B471" s="2" t="s">
        <v>1021</v>
      </c>
      <c r="C471" s="28" t="s">
        <v>4</v>
      </c>
      <c r="D471" s="2">
        <v>2021</v>
      </c>
      <c r="E471" s="4">
        <v>6</v>
      </c>
      <c r="F471" s="5" t="s">
        <v>32</v>
      </c>
      <c r="G471" s="6">
        <v>189</v>
      </c>
      <c r="H471" s="33"/>
      <c r="I471" s="112"/>
    </row>
    <row r="472" spans="1:9" ht="13">
      <c r="A472" s="1" t="s">
        <v>1022</v>
      </c>
      <c r="B472" s="2" t="s">
        <v>1023</v>
      </c>
      <c r="C472" s="28" t="s">
        <v>4</v>
      </c>
      <c r="D472" s="2">
        <v>2020</v>
      </c>
      <c r="E472" s="4">
        <v>12</v>
      </c>
      <c r="F472" s="5" t="s">
        <v>32</v>
      </c>
      <c r="G472" s="6">
        <v>348</v>
      </c>
      <c r="H472" s="33"/>
      <c r="I472" s="112"/>
    </row>
    <row r="473" spans="1:9" ht="13">
      <c r="A473" s="1" t="s">
        <v>1024</v>
      </c>
      <c r="B473" s="2" t="s">
        <v>1025</v>
      </c>
      <c r="C473" s="28" t="s">
        <v>4</v>
      </c>
      <c r="D473" s="2">
        <v>2020</v>
      </c>
      <c r="E473" s="4">
        <v>12</v>
      </c>
      <c r="F473" s="5" t="s">
        <v>32</v>
      </c>
      <c r="G473" s="6">
        <v>366</v>
      </c>
      <c r="H473" s="33"/>
      <c r="I473" s="112"/>
    </row>
    <row r="474" spans="1:9" ht="13">
      <c r="A474" s="1" t="s">
        <v>1026</v>
      </c>
      <c r="B474" s="2" t="s">
        <v>1027</v>
      </c>
      <c r="C474" s="28" t="s">
        <v>4</v>
      </c>
      <c r="D474" s="2">
        <v>2020</v>
      </c>
      <c r="E474" s="4">
        <v>12</v>
      </c>
      <c r="F474" s="5" t="s">
        <v>32</v>
      </c>
      <c r="G474" s="6">
        <v>384</v>
      </c>
      <c r="H474" s="33"/>
      <c r="I474" s="112"/>
    </row>
    <row r="475" spans="1:9" ht="13">
      <c r="A475" s="1" t="s">
        <v>1028</v>
      </c>
      <c r="B475" s="2" t="s">
        <v>1029</v>
      </c>
      <c r="C475" s="28" t="s">
        <v>4</v>
      </c>
      <c r="D475" s="2">
        <v>2021</v>
      </c>
      <c r="E475" s="4">
        <v>6</v>
      </c>
      <c r="F475" s="5" t="s">
        <v>32</v>
      </c>
      <c r="G475" s="6">
        <v>1140</v>
      </c>
      <c r="H475" s="33"/>
      <c r="I475" s="112"/>
    </row>
    <row r="476" spans="1:9" ht="13">
      <c r="A476" s="14" t="s">
        <v>1030</v>
      </c>
      <c r="B476" s="2" t="s">
        <v>1031</v>
      </c>
      <c r="C476" s="28" t="s">
        <v>155</v>
      </c>
      <c r="D476" s="2">
        <v>2020</v>
      </c>
      <c r="E476" s="4">
        <v>12</v>
      </c>
      <c r="F476" s="5" t="s">
        <v>32</v>
      </c>
      <c r="G476" s="6">
        <v>186</v>
      </c>
      <c r="H476" s="33"/>
      <c r="I476" s="112"/>
    </row>
    <row r="477" spans="1:9" ht="13">
      <c r="A477" s="14" t="s">
        <v>1032</v>
      </c>
      <c r="B477" s="2" t="s">
        <v>1033</v>
      </c>
      <c r="C477" s="28" t="s">
        <v>155</v>
      </c>
      <c r="D477" s="2">
        <v>2020</v>
      </c>
      <c r="E477" s="4">
        <v>6</v>
      </c>
      <c r="F477" s="2" t="s">
        <v>304</v>
      </c>
      <c r="G477" s="6">
        <v>204</v>
      </c>
      <c r="H477" s="33"/>
      <c r="I477" s="112"/>
    </row>
    <row r="478" spans="1:9" ht="13">
      <c r="A478" s="14" t="s">
        <v>1034</v>
      </c>
      <c r="B478" s="2" t="s">
        <v>1035</v>
      </c>
      <c r="C478" s="28" t="s">
        <v>1036</v>
      </c>
      <c r="D478" s="2">
        <v>2019</v>
      </c>
      <c r="E478" s="4">
        <v>12</v>
      </c>
      <c r="F478" s="5" t="s">
        <v>32</v>
      </c>
      <c r="G478" s="6">
        <v>240</v>
      </c>
      <c r="H478" s="33"/>
      <c r="I478" s="18">
        <v>1</v>
      </c>
    </row>
    <row r="479" spans="1:9" ht="13">
      <c r="A479" s="14" t="s">
        <v>1037</v>
      </c>
      <c r="B479" s="2" t="s">
        <v>1035</v>
      </c>
      <c r="C479" s="28" t="s">
        <v>1036</v>
      </c>
      <c r="D479" s="2">
        <v>2020</v>
      </c>
      <c r="E479" s="4">
        <v>12</v>
      </c>
      <c r="F479" s="5" t="s">
        <v>32</v>
      </c>
      <c r="G479" s="6">
        <v>252</v>
      </c>
      <c r="H479" s="33"/>
      <c r="I479" s="18">
        <v>1</v>
      </c>
    </row>
    <row r="480" spans="1:9" ht="13">
      <c r="A480" s="14" t="s">
        <v>1038</v>
      </c>
      <c r="B480" s="2" t="s">
        <v>1039</v>
      </c>
      <c r="C480" s="28" t="s">
        <v>1036</v>
      </c>
      <c r="D480" s="2">
        <v>2020</v>
      </c>
      <c r="E480" s="4">
        <v>6</v>
      </c>
      <c r="F480" s="2" t="s">
        <v>304</v>
      </c>
      <c r="G480" s="6">
        <v>264</v>
      </c>
      <c r="H480" s="33"/>
      <c r="I480" s="19"/>
    </row>
    <row r="481" spans="1:9" ht="13">
      <c r="A481" s="14" t="s">
        <v>1040</v>
      </c>
      <c r="B481" s="2" t="s">
        <v>1041</v>
      </c>
      <c r="C481" s="28" t="s">
        <v>463</v>
      </c>
      <c r="D481" s="2">
        <v>2021</v>
      </c>
      <c r="E481" s="4">
        <v>6</v>
      </c>
      <c r="F481" s="5" t="s">
        <v>32</v>
      </c>
      <c r="G481" s="6">
        <v>126</v>
      </c>
      <c r="H481" s="33"/>
      <c r="I481" s="112"/>
    </row>
    <row r="482" spans="1:9" ht="13">
      <c r="A482" s="14" t="s">
        <v>1042</v>
      </c>
      <c r="B482" s="2" t="s">
        <v>877</v>
      </c>
      <c r="C482" s="28" t="s">
        <v>463</v>
      </c>
      <c r="D482" s="2">
        <v>2022</v>
      </c>
      <c r="E482" s="4">
        <v>6</v>
      </c>
      <c r="F482" s="5" t="s">
        <v>32</v>
      </c>
      <c r="G482" s="6">
        <v>186</v>
      </c>
      <c r="H482" s="26"/>
      <c r="I482" s="18">
        <v>1</v>
      </c>
    </row>
    <row r="483" spans="1:9" ht="13">
      <c r="A483" s="14" t="s">
        <v>1043</v>
      </c>
      <c r="B483" s="2" t="s">
        <v>1044</v>
      </c>
      <c r="C483" s="28" t="s">
        <v>463</v>
      </c>
      <c r="D483" s="2">
        <v>2018</v>
      </c>
      <c r="E483" s="4">
        <v>6</v>
      </c>
      <c r="F483" s="2" t="s">
        <v>304</v>
      </c>
      <c r="G483" s="6">
        <v>330</v>
      </c>
      <c r="H483" s="33"/>
      <c r="I483" s="112"/>
    </row>
    <row r="484" spans="1:9" ht="13">
      <c r="A484" s="14" t="s">
        <v>1045</v>
      </c>
      <c r="B484" s="2" t="s">
        <v>1046</v>
      </c>
      <c r="C484" s="28" t="s">
        <v>463</v>
      </c>
      <c r="D484" s="2">
        <v>2021</v>
      </c>
      <c r="E484" s="4">
        <v>6</v>
      </c>
      <c r="F484" s="5" t="s">
        <v>32</v>
      </c>
      <c r="G484" s="6">
        <v>321</v>
      </c>
      <c r="H484" s="33"/>
      <c r="I484" s="112"/>
    </row>
    <row r="485" spans="1:9" ht="13">
      <c r="A485" s="14" t="s">
        <v>1047</v>
      </c>
      <c r="B485" s="2" t="s">
        <v>1048</v>
      </c>
      <c r="C485" s="28" t="s">
        <v>463</v>
      </c>
      <c r="D485" s="2">
        <v>2022</v>
      </c>
      <c r="E485" s="4">
        <v>6</v>
      </c>
      <c r="F485" s="5" t="s">
        <v>32</v>
      </c>
      <c r="G485" s="6">
        <v>258</v>
      </c>
      <c r="H485" s="26"/>
      <c r="I485" s="18">
        <v>1</v>
      </c>
    </row>
    <row r="486" spans="1:9" ht="13">
      <c r="A486" s="14" t="s">
        <v>1049</v>
      </c>
      <c r="B486" s="2" t="s">
        <v>1050</v>
      </c>
      <c r="C486" s="28" t="s">
        <v>463</v>
      </c>
      <c r="D486" s="2">
        <v>2018</v>
      </c>
      <c r="E486" s="4">
        <v>12</v>
      </c>
      <c r="F486" s="5" t="s">
        <v>32</v>
      </c>
      <c r="G486" s="6">
        <v>984</v>
      </c>
      <c r="H486" s="33"/>
      <c r="I486" s="112"/>
    </row>
    <row r="487" spans="1:9" ht="13">
      <c r="A487" s="14" t="s">
        <v>1051</v>
      </c>
      <c r="B487" s="2" t="s">
        <v>1052</v>
      </c>
      <c r="C487" s="28" t="s">
        <v>463</v>
      </c>
      <c r="D487" s="2">
        <v>2021</v>
      </c>
      <c r="E487" s="4">
        <v>6</v>
      </c>
      <c r="F487" s="5" t="s">
        <v>32</v>
      </c>
      <c r="G487" s="6">
        <v>576</v>
      </c>
      <c r="H487" s="33"/>
      <c r="I487" s="112"/>
    </row>
    <row r="488" spans="1:9" ht="23">
      <c r="A488" s="693" t="s">
        <v>1053</v>
      </c>
      <c r="B488" s="689"/>
      <c r="C488" s="689"/>
      <c r="D488" s="689"/>
      <c r="E488" s="689"/>
      <c r="F488" s="689"/>
      <c r="G488" s="689"/>
      <c r="H488" s="689"/>
      <c r="I488" s="690"/>
    </row>
    <row r="489" spans="1:9" ht="18">
      <c r="A489" s="694" t="s">
        <v>1054</v>
      </c>
      <c r="B489" s="689"/>
      <c r="C489" s="689"/>
      <c r="D489" s="689"/>
      <c r="E489" s="689"/>
      <c r="F489" s="689"/>
      <c r="G489" s="689"/>
      <c r="H489" s="689"/>
      <c r="I489" s="690"/>
    </row>
    <row r="490" spans="1:9" ht="13">
      <c r="A490" s="1" t="s">
        <v>1055</v>
      </c>
      <c r="B490" s="2" t="s">
        <v>1056</v>
      </c>
      <c r="C490" s="28" t="s">
        <v>4</v>
      </c>
      <c r="D490" s="2">
        <v>2019</v>
      </c>
      <c r="E490" s="4">
        <v>12</v>
      </c>
      <c r="F490" s="5" t="s">
        <v>32</v>
      </c>
      <c r="G490" s="6">
        <v>378</v>
      </c>
      <c r="H490" s="33"/>
      <c r="I490" s="30"/>
    </row>
    <row r="491" spans="1:9" ht="13">
      <c r="A491" s="1" t="s">
        <v>1057</v>
      </c>
      <c r="B491" s="2" t="s">
        <v>1058</v>
      </c>
      <c r="C491" s="28" t="s">
        <v>4</v>
      </c>
      <c r="D491" s="2">
        <v>2018</v>
      </c>
      <c r="E491" s="4">
        <v>12</v>
      </c>
      <c r="F491" s="5" t="s">
        <v>32</v>
      </c>
      <c r="G491" s="6">
        <v>408</v>
      </c>
      <c r="H491" s="33"/>
      <c r="I491" s="30"/>
    </row>
    <row r="492" spans="1:9" ht="13">
      <c r="A492" s="1" t="s">
        <v>1059</v>
      </c>
      <c r="B492" s="2" t="s">
        <v>1060</v>
      </c>
      <c r="C492" s="28" t="s">
        <v>4</v>
      </c>
      <c r="D492" s="2">
        <v>2016</v>
      </c>
      <c r="E492" s="4">
        <v>12</v>
      </c>
      <c r="F492" s="5" t="s">
        <v>32</v>
      </c>
      <c r="G492" s="34">
        <v>302</v>
      </c>
      <c r="H492" s="38"/>
      <c r="I492" s="30"/>
    </row>
    <row r="493" spans="1:9" ht="13">
      <c r="A493" s="1" t="s">
        <v>1061</v>
      </c>
      <c r="B493" s="2" t="s">
        <v>1062</v>
      </c>
      <c r="C493" s="28" t="s">
        <v>541</v>
      </c>
      <c r="D493" s="2">
        <v>2016</v>
      </c>
      <c r="E493" s="4">
        <v>12</v>
      </c>
      <c r="F493" s="5" t="s">
        <v>32</v>
      </c>
      <c r="G493" s="6">
        <v>260</v>
      </c>
      <c r="H493" s="33"/>
      <c r="I493" s="113"/>
    </row>
    <row r="494" spans="1:9" ht="13">
      <c r="A494" s="1" t="s">
        <v>1063</v>
      </c>
      <c r="B494" s="2" t="s">
        <v>1064</v>
      </c>
      <c r="C494" s="28" t="s">
        <v>4</v>
      </c>
      <c r="D494" s="2">
        <v>2014</v>
      </c>
      <c r="E494" s="4">
        <v>12</v>
      </c>
      <c r="F494" s="5" t="s">
        <v>32</v>
      </c>
      <c r="G494" s="6">
        <v>246</v>
      </c>
      <c r="H494" s="33"/>
      <c r="I494" s="112"/>
    </row>
    <row r="495" spans="1:9" ht="13">
      <c r="A495" s="1" t="s">
        <v>1065</v>
      </c>
      <c r="B495" s="2" t="s">
        <v>1066</v>
      </c>
      <c r="C495" s="28" t="s">
        <v>4</v>
      </c>
      <c r="D495" s="2">
        <v>2016</v>
      </c>
      <c r="E495" s="4">
        <v>12</v>
      </c>
      <c r="F495" s="5" t="s">
        <v>32</v>
      </c>
      <c r="G495" s="6">
        <v>288</v>
      </c>
      <c r="H495" s="33"/>
      <c r="I495" s="30"/>
    </row>
    <row r="496" spans="1:9" ht="18">
      <c r="A496" s="694" t="s">
        <v>1067</v>
      </c>
      <c r="B496" s="689"/>
      <c r="C496" s="689"/>
      <c r="D496" s="689"/>
      <c r="E496" s="689"/>
      <c r="F496" s="689"/>
      <c r="G496" s="689"/>
      <c r="H496" s="689"/>
      <c r="I496" s="690"/>
    </row>
    <row r="497" spans="1:9" ht="13">
      <c r="A497" s="14" t="s">
        <v>1068</v>
      </c>
      <c r="B497" s="2" t="s">
        <v>1069</v>
      </c>
      <c r="C497" s="28" t="s">
        <v>463</v>
      </c>
      <c r="D497" s="2">
        <v>2022</v>
      </c>
      <c r="E497" s="4">
        <v>12</v>
      </c>
      <c r="F497" s="5" t="s">
        <v>32</v>
      </c>
      <c r="G497" s="34">
        <v>408</v>
      </c>
      <c r="H497" s="38"/>
      <c r="I497" s="30"/>
    </row>
    <row r="498" spans="1:9" ht="18">
      <c r="A498" s="696" t="s">
        <v>1070</v>
      </c>
      <c r="B498" s="689"/>
      <c r="C498" s="689"/>
      <c r="D498" s="689"/>
      <c r="E498" s="689"/>
      <c r="F498" s="689"/>
      <c r="G498" s="689"/>
      <c r="H498" s="689"/>
      <c r="I498" s="690"/>
    </row>
    <row r="499" spans="1:9" ht="13">
      <c r="A499" s="15" t="s">
        <v>1071</v>
      </c>
      <c r="B499" s="5" t="s">
        <v>629</v>
      </c>
      <c r="C499" s="28" t="s">
        <v>4</v>
      </c>
      <c r="D499" s="5">
        <v>2020</v>
      </c>
      <c r="E499" s="4">
        <v>12</v>
      </c>
      <c r="F499" s="5" t="s">
        <v>32</v>
      </c>
      <c r="G499" s="29">
        <v>240</v>
      </c>
      <c r="H499" s="17"/>
      <c r="I499" s="13"/>
    </row>
    <row r="500" spans="1:9" ht="13">
      <c r="A500" s="1" t="s">
        <v>1072</v>
      </c>
      <c r="B500" s="5" t="s">
        <v>1073</v>
      </c>
      <c r="C500" s="28" t="s">
        <v>4</v>
      </c>
      <c r="D500" s="5" t="s">
        <v>1074</v>
      </c>
      <c r="E500" s="4">
        <v>6</v>
      </c>
      <c r="F500" s="5" t="s">
        <v>32</v>
      </c>
      <c r="G500" s="29">
        <v>174</v>
      </c>
      <c r="H500" s="17"/>
      <c r="I500" s="13"/>
    </row>
    <row r="501" spans="1:9" ht="13">
      <c r="A501" s="1" t="s">
        <v>1075</v>
      </c>
      <c r="B501" s="5" t="s">
        <v>1076</v>
      </c>
      <c r="C501" s="28" t="s">
        <v>4</v>
      </c>
      <c r="D501" s="5" t="s">
        <v>1074</v>
      </c>
      <c r="E501" s="4">
        <v>3</v>
      </c>
      <c r="F501" s="2" t="s">
        <v>304</v>
      </c>
      <c r="G501" s="29">
        <v>174</v>
      </c>
      <c r="H501" s="17"/>
      <c r="I501" s="13"/>
    </row>
    <row r="502" spans="1:9" ht="13">
      <c r="A502" s="1" t="s">
        <v>1077</v>
      </c>
      <c r="B502" s="5" t="s">
        <v>1078</v>
      </c>
      <c r="C502" s="28" t="s">
        <v>4</v>
      </c>
      <c r="D502" s="5">
        <v>2014</v>
      </c>
      <c r="E502" s="4">
        <v>12</v>
      </c>
      <c r="F502" s="5" t="s">
        <v>32</v>
      </c>
      <c r="G502" s="29">
        <v>372</v>
      </c>
      <c r="H502" s="17"/>
      <c r="I502" s="13"/>
    </row>
    <row r="503" spans="1:9" ht="13">
      <c r="A503" s="1" t="s">
        <v>1079</v>
      </c>
      <c r="B503" s="5" t="s">
        <v>1080</v>
      </c>
      <c r="C503" s="28" t="s">
        <v>4</v>
      </c>
      <c r="D503" s="5">
        <v>2013</v>
      </c>
      <c r="E503" s="4">
        <v>12</v>
      </c>
      <c r="F503" s="5" t="s">
        <v>32</v>
      </c>
      <c r="G503" s="29">
        <v>372</v>
      </c>
      <c r="H503" s="17"/>
      <c r="I503" s="13"/>
    </row>
    <row r="504" spans="1:9" ht="13">
      <c r="A504" s="15" t="s">
        <v>1081</v>
      </c>
      <c r="B504" s="5" t="s">
        <v>1082</v>
      </c>
      <c r="C504" s="28" t="s">
        <v>4</v>
      </c>
      <c r="D504" s="5" t="s">
        <v>1083</v>
      </c>
      <c r="E504" s="4">
        <v>6</v>
      </c>
      <c r="F504" s="5" t="s">
        <v>32</v>
      </c>
      <c r="G504" s="29">
        <v>249</v>
      </c>
      <c r="H504" s="17"/>
      <c r="I504" s="13"/>
    </row>
    <row r="505" spans="1:9" ht="13">
      <c r="A505" s="15" t="s">
        <v>1084</v>
      </c>
      <c r="B505" s="5" t="s">
        <v>1085</v>
      </c>
      <c r="C505" s="28" t="s">
        <v>4</v>
      </c>
      <c r="D505" s="5" t="s">
        <v>1083</v>
      </c>
      <c r="E505" s="4">
        <v>3</v>
      </c>
      <c r="F505" s="2" t="s">
        <v>304</v>
      </c>
      <c r="G505" s="29">
        <v>292.5</v>
      </c>
      <c r="H505" s="17"/>
      <c r="I505" s="13"/>
    </row>
    <row r="506" spans="1:9" ht="13">
      <c r="A506" s="15" t="s">
        <v>1086</v>
      </c>
      <c r="B506" s="5" t="s">
        <v>1087</v>
      </c>
      <c r="C506" s="28" t="s">
        <v>4</v>
      </c>
      <c r="D506" s="5" t="s">
        <v>5</v>
      </c>
      <c r="E506" s="4">
        <v>6</v>
      </c>
      <c r="F506" s="5" t="s">
        <v>32</v>
      </c>
      <c r="G506" s="29">
        <v>249</v>
      </c>
      <c r="H506" s="17"/>
      <c r="I506" s="13"/>
    </row>
    <row r="507" spans="1:9" ht="13">
      <c r="A507" s="15" t="s">
        <v>1088</v>
      </c>
      <c r="B507" s="5" t="s">
        <v>1089</v>
      </c>
      <c r="C507" s="28" t="s">
        <v>4</v>
      </c>
      <c r="D507" s="5" t="s">
        <v>5</v>
      </c>
      <c r="E507" s="4">
        <v>3</v>
      </c>
      <c r="F507" s="2" t="s">
        <v>304</v>
      </c>
      <c r="G507" s="29">
        <v>292.5</v>
      </c>
      <c r="H507" s="17"/>
      <c r="I507" s="13"/>
    </row>
    <row r="508" spans="1:9" ht="13">
      <c r="A508" s="1" t="s">
        <v>1090</v>
      </c>
      <c r="B508" s="5" t="s">
        <v>1091</v>
      </c>
      <c r="C508" s="28" t="s">
        <v>4</v>
      </c>
      <c r="D508" s="5">
        <v>2018</v>
      </c>
      <c r="E508" s="4">
        <v>6</v>
      </c>
      <c r="F508" s="5" t="s">
        <v>32</v>
      </c>
      <c r="G508" s="29">
        <v>240</v>
      </c>
      <c r="H508" s="17"/>
      <c r="I508" s="13"/>
    </row>
    <row r="509" spans="1:9" ht="13">
      <c r="A509" s="1" t="s">
        <v>1092</v>
      </c>
      <c r="B509" s="5" t="s">
        <v>1093</v>
      </c>
      <c r="C509" s="28" t="s">
        <v>4</v>
      </c>
      <c r="D509" s="5">
        <v>2018</v>
      </c>
      <c r="E509" s="4">
        <v>6</v>
      </c>
      <c r="F509" s="2" t="s">
        <v>304</v>
      </c>
      <c r="G509" s="29">
        <v>552</v>
      </c>
      <c r="H509" s="17"/>
      <c r="I509" s="13"/>
    </row>
    <row r="510" spans="1:9" ht="13">
      <c r="A510" s="1" t="s">
        <v>1094</v>
      </c>
      <c r="B510" s="5" t="s">
        <v>1095</v>
      </c>
      <c r="C510" s="28" t="s">
        <v>4</v>
      </c>
      <c r="D510" s="5" t="s">
        <v>5</v>
      </c>
      <c r="E510" s="4">
        <v>12</v>
      </c>
      <c r="F510" s="5" t="s">
        <v>32</v>
      </c>
      <c r="G510" s="29">
        <v>756</v>
      </c>
      <c r="H510" s="17"/>
      <c r="I510" s="13"/>
    </row>
    <row r="511" spans="1:9" ht="13">
      <c r="A511" s="15" t="s">
        <v>1096</v>
      </c>
      <c r="B511" s="5" t="s">
        <v>1097</v>
      </c>
      <c r="C511" s="28" t="s">
        <v>4</v>
      </c>
      <c r="D511" s="5" t="s">
        <v>5</v>
      </c>
      <c r="E511" s="4">
        <v>12</v>
      </c>
      <c r="F511" s="5" t="s">
        <v>32</v>
      </c>
      <c r="G511" s="29">
        <v>984</v>
      </c>
      <c r="H511" s="17"/>
      <c r="I511" s="13"/>
    </row>
    <row r="512" spans="1:9" ht="23">
      <c r="A512" s="693" t="s">
        <v>1098</v>
      </c>
      <c r="B512" s="689"/>
      <c r="C512" s="689"/>
      <c r="D512" s="689"/>
      <c r="E512" s="689"/>
      <c r="F512" s="689"/>
      <c r="G512" s="689"/>
      <c r="H512" s="689"/>
      <c r="I512" s="690"/>
    </row>
    <row r="513" spans="1:9" ht="18">
      <c r="A513" s="699" t="s">
        <v>1099</v>
      </c>
      <c r="B513" s="689"/>
      <c r="C513" s="689"/>
      <c r="D513" s="689"/>
      <c r="E513" s="689"/>
      <c r="F513" s="689"/>
      <c r="G513" s="689"/>
      <c r="H513" s="689"/>
      <c r="I513" s="690"/>
    </row>
    <row r="514" spans="1:9" ht="18">
      <c r="A514" s="37" t="s">
        <v>1100</v>
      </c>
      <c r="B514" s="2" t="s">
        <v>1101</v>
      </c>
      <c r="C514" s="28" t="s">
        <v>1102</v>
      </c>
      <c r="D514" s="2">
        <v>2022</v>
      </c>
      <c r="E514" s="4">
        <v>12</v>
      </c>
      <c r="F514" s="5" t="s">
        <v>32</v>
      </c>
      <c r="G514" s="6">
        <v>192</v>
      </c>
      <c r="H514" s="114"/>
      <c r="I514" s="115"/>
    </row>
    <row r="515" spans="1:9" ht="18">
      <c r="A515" s="14" t="s">
        <v>1103</v>
      </c>
      <c r="B515" s="2" t="s">
        <v>1104</v>
      </c>
      <c r="C515" s="28" t="s">
        <v>155</v>
      </c>
      <c r="D515" s="2">
        <v>2022</v>
      </c>
      <c r="E515" s="4">
        <v>12</v>
      </c>
      <c r="F515" s="5" t="s">
        <v>32</v>
      </c>
      <c r="G515" s="6">
        <v>132</v>
      </c>
      <c r="H515" s="114"/>
      <c r="I515" s="115"/>
    </row>
    <row r="516" spans="1:9" ht="18">
      <c r="A516" s="14" t="s">
        <v>1105</v>
      </c>
      <c r="B516" s="2" t="s">
        <v>1106</v>
      </c>
      <c r="C516" s="28" t="s">
        <v>155</v>
      </c>
      <c r="D516" s="2">
        <v>2022</v>
      </c>
      <c r="E516" s="4">
        <v>12</v>
      </c>
      <c r="F516" s="5" t="s">
        <v>32</v>
      </c>
      <c r="G516" s="6">
        <v>168</v>
      </c>
      <c r="H516" s="114"/>
      <c r="I516" s="115"/>
    </row>
    <row r="517" spans="1:9" ht="18">
      <c r="A517" s="696" t="s">
        <v>1107</v>
      </c>
      <c r="B517" s="689"/>
      <c r="C517" s="689"/>
      <c r="D517" s="689"/>
      <c r="E517" s="689"/>
      <c r="F517" s="689"/>
      <c r="G517" s="689"/>
      <c r="H517" s="689"/>
      <c r="I517" s="690"/>
    </row>
    <row r="518" spans="1:9" ht="13">
      <c r="A518" s="15" t="s">
        <v>1108</v>
      </c>
      <c r="B518" s="2" t="s">
        <v>1109</v>
      </c>
      <c r="C518" s="28" t="s">
        <v>4</v>
      </c>
      <c r="D518" s="2">
        <v>2022</v>
      </c>
      <c r="E518" s="4">
        <v>6</v>
      </c>
      <c r="F518" s="5" t="s">
        <v>32</v>
      </c>
      <c r="G518" s="6">
        <v>105</v>
      </c>
      <c r="H518" s="23"/>
      <c r="I518" s="19"/>
    </row>
    <row r="519" spans="1:9" ht="13">
      <c r="A519" s="14" t="s">
        <v>1110</v>
      </c>
      <c r="B519" s="2" t="s">
        <v>1111</v>
      </c>
      <c r="C519" s="28" t="s">
        <v>155</v>
      </c>
      <c r="D519" s="2">
        <v>2022</v>
      </c>
      <c r="E519" s="4">
        <v>6</v>
      </c>
      <c r="F519" s="5" t="s">
        <v>32</v>
      </c>
      <c r="G519" s="6">
        <v>90</v>
      </c>
      <c r="H519" s="23"/>
      <c r="I519" s="19"/>
    </row>
    <row r="520" spans="1:9" ht="13">
      <c r="A520" s="14" t="s">
        <v>1112</v>
      </c>
      <c r="B520" s="2" t="s">
        <v>1113</v>
      </c>
      <c r="C520" s="28" t="s">
        <v>155</v>
      </c>
      <c r="D520" s="2">
        <v>2022</v>
      </c>
      <c r="E520" s="4">
        <v>6</v>
      </c>
      <c r="F520" s="5" t="s">
        <v>32</v>
      </c>
      <c r="G520" s="6">
        <v>114</v>
      </c>
      <c r="H520" s="23"/>
      <c r="I520" s="19"/>
    </row>
    <row r="521" spans="1:9" ht="13">
      <c r="A521" s="14" t="s">
        <v>1114</v>
      </c>
      <c r="B521" s="2" t="s">
        <v>1115</v>
      </c>
      <c r="C521" s="28" t="s">
        <v>155</v>
      </c>
      <c r="D521" s="2">
        <v>2022</v>
      </c>
      <c r="E521" s="4">
        <v>6</v>
      </c>
      <c r="F521" s="5" t="s">
        <v>32</v>
      </c>
      <c r="G521" s="6">
        <v>123</v>
      </c>
      <c r="H521" s="23"/>
      <c r="I521" s="18"/>
    </row>
    <row r="522" spans="1:9" ht="13">
      <c r="A522" s="14" t="s">
        <v>1116</v>
      </c>
      <c r="B522" s="2" t="s">
        <v>1117</v>
      </c>
      <c r="C522" s="28" t="s">
        <v>155</v>
      </c>
      <c r="D522" s="2">
        <v>2021</v>
      </c>
      <c r="E522" s="4">
        <v>12</v>
      </c>
      <c r="F522" s="5" t="s">
        <v>32</v>
      </c>
      <c r="G522" s="6">
        <v>258</v>
      </c>
      <c r="H522" s="17"/>
      <c r="I522" s="18"/>
    </row>
    <row r="523" spans="1:9" ht="18">
      <c r="A523" s="694" t="s">
        <v>1118</v>
      </c>
      <c r="B523" s="689"/>
      <c r="C523" s="689"/>
      <c r="D523" s="689"/>
      <c r="E523" s="689"/>
      <c r="F523" s="689"/>
      <c r="G523" s="689"/>
      <c r="H523" s="689"/>
      <c r="I523" s="690"/>
    </row>
    <row r="524" spans="1:9" ht="13">
      <c r="A524" s="14" t="s">
        <v>1119</v>
      </c>
      <c r="B524" s="2" t="s">
        <v>1120</v>
      </c>
      <c r="C524" s="28" t="s">
        <v>155</v>
      </c>
      <c r="D524" s="2">
        <v>2022</v>
      </c>
      <c r="E524" s="4">
        <v>12</v>
      </c>
      <c r="F524" s="5" t="s">
        <v>32</v>
      </c>
      <c r="G524" s="6">
        <v>186</v>
      </c>
      <c r="H524" s="116"/>
      <c r="I524" s="18"/>
    </row>
    <row r="525" spans="1:9" ht="13">
      <c r="A525" s="14" t="s">
        <v>1121</v>
      </c>
      <c r="B525" s="2" t="s">
        <v>1120</v>
      </c>
      <c r="C525" s="28" t="s">
        <v>155</v>
      </c>
      <c r="D525" s="2">
        <v>2021</v>
      </c>
      <c r="E525" s="4">
        <v>12</v>
      </c>
      <c r="F525" s="5" t="s">
        <v>32</v>
      </c>
      <c r="G525" s="6">
        <v>186</v>
      </c>
      <c r="H525" s="117"/>
      <c r="I525" s="18"/>
    </row>
    <row r="526" spans="1:9" ht="13">
      <c r="A526" s="14" t="s">
        <v>1122</v>
      </c>
      <c r="B526" s="2" t="s">
        <v>1120</v>
      </c>
      <c r="C526" s="28" t="s">
        <v>155</v>
      </c>
      <c r="D526" s="2">
        <v>2020</v>
      </c>
      <c r="E526" s="4">
        <v>12</v>
      </c>
      <c r="F526" s="5" t="s">
        <v>32</v>
      </c>
      <c r="G526" s="6">
        <v>150</v>
      </c>
      <c r="H526" s="31"/>
      <c r="I526" s="18">
        <v>1</v>
      </c>
    </row>
    <row r="527" spans="1:9" ht="13">
      <c r="A527" s="14" t="s">
        <v>1123</v>
      </c>
      <c r="B527" s="2" t="s">
        <v>1124</v>
      </c>
      <c r="C527" s="28" t="s">
        <v>155</v>
      </c>
      <c r="D527" s="2">
        <v>2022</v>
      </c>
      <c r="E527" s="4">
        <v>12</v>
      </c>
      <c r="F527" s="5" t="s">
        <v>32</v>
      </c>
      <c r="G527" s="6">
        <v>234</v>
      </c>
      <c r="H527" s="116"/>
      <c r="I527" s="18"/>
    </row>
    <row r="528" spans="1:9" ht="13">
      <c r="A528" s="14" t="s">
        <v>1125</v>
      </c>
      <c r="B528" s="2" t="s">
        <v>1124</v>
      </c>
      <c r="C528" s="28" t="s">
        <v>155</v>
      </c>
      <c r="D528" s="2">
        <v>2021</v>
      </c>
      <c r="E528" s="4">
        <v>12</v>
      </c>
      <c r="F528" s="5" t="s">
        <v>32</v>
      </c>
      <c r="G528" s="6">
        <v>234</v>
      </c>
      <c r="H528" s="117"/>
      <c r="I528" s="18"/>
    </row>
    <row r="529" spans="1:9" ht="13">
      <c r="A529" s="14" t="s">
        <v>1126</v>
      </c>
      <c r="B529" s="2" t="s">
        <v>1124</v>
      </c>
      <c r="C529" s="28" t="s">
        <v>155</v>
      </c>
      <c r="D529" s="2">
        <v>2020</v>
      </c>
      <c r="E529" s="4">
        <v>12</v>
      </c>
      <c r="F529" s="5" t="s">
        <v>32</v>
      </c>
      <c r="G529" s="6">
        <v>240</v>
      </c>
      <c r="H529" s="31"/>
      <c r="I529" s="18">
        <v>1</v>
      </c>
    </row>
    <row r="530" spans="1:9" ht="13">
      <c r="A530" s="14" t="s">
        <v>1127</v>
      </c>
      <c r="B530" s="2" t="s">
        <v>1128</v>
      </c>
      <c r="C530" s="28" t="s">
        <v>155</v>
      </c>
      <c r="D530" s="2">
        <v>2022</v>
      </c>
      <c r="E530" s="4">
        <v>12</v>
      </c>
      <c r="F530" s="5" t="s">
        <v>32</v>
      </c>
      <c r="G530" s="6">
        <v>234</v>
      </c>
      <c r="H530" s="23"/>
      <c r="I530" s="18">
        <v>1</v>
      </c>
    </row>
    <row r="531" spans="1:9" ht="18">
      <c r="A531" s="694" t="s">
        <v>1129</v>
      </c>
      <c r="B531" s="689"/>
      <c r="C531" s="689"/>
      <c r="D531" s="689"/>
      <c r="E531" s="689"/>
      <c r="F531" s="689"/>
      <c r="G531" s="689"/>
      <c r="H531" s="689"/>
      <c r="I531" s="690"/>
    </row>
    <row r="532" spans="1:9" ht="13">
      <c r="A532" s="14" t="s">
        <v>1130</v>
      </c>
      <c r="B532" s="2" t="s">
        <v>1131</v>
      </c>
      <c r="C532" s="28" t="s">
        <v>155</v>
      </c>
      <c r="D532" s="2">
        <v>2019</v>
      </c>
      <c r="E532" s="4">
        <v>12</v>
      </c>
      <c r="F532" s="5" t="s">
        <v>32</v>
      </c>
      <c r="G532" s="6">
        <v>156</v>
      </c>
      <c r="H532" s="17"/>
      <c r="I532" s="30"/>
    </row>
    <row r="533" spans="1:9" ht="13">
      <c r="A533" s="14" t="s">
        <v>1132</v>
      </c>
      <c r="B533" s="2" t="s">
        <v>1133</v>
      </c>
      <c r="C533" s="28" t="s">
        <v>155</v>
      </c>
      <c r="D533" s="2">
        <v>2019</v>
      </c>
      <c r="E533" s="4">
        <v>12</v>
      </c>
      <c r="F533" s="5" t="s">
        <v>32</v>
      </c>
      <c r="G533" s="6">
        <v>204</v>
      </c>
      <c r="H533" s="17"/>
      <c r="I533" s="19"/>
    </row>
    <row r="534" spans="1:9" ht="13">
      <c r="A534" s="14" t="s">
        <v>1134</v>
      </c>
      <c r="B534" s="2" t="s">
        <v>1135</v>
      </c>
      <c r="C534" s="28" t="s">
        <v>155</v>
      </c>
      <c r="D534" s="2">
        <v>2019</v>
      </c>
      <c r="E534" s="4">
        <v>12</v>
      </c>
      <c r="F534" s="5" t="s">
        <v>32</v>
      </c>
      <c r="G534" s="6">
        <v>258</v>
      </c>
      <c r="H534" s="17"/>
      <c r="I534" s="30"/>
    </row>
    <row r="535" spans="1:9" ht="13">
      <c r="A535" s="14" t="s">
        <v>1136</v>
      </c>
      <c r="B535" s="2" t="s">
        <v>1137</v>
      </c>
      <c r="C535" s="28" t="s">
        <v>155</v>
      </c>
      <c r="D535" s="2">
        <v>2018</v>
      </c>
      <c r="E535" s="4">
        <v>12</v>
      </c>
      <c r="F535" s="5" t="s">
        <v>32</v>
      </c>
      <c r="G535" s="6">
        <v>252</v>
      </c>
      <c r="H535" s="17"/>
      <c r="I535" s="30"/>
    </row>
    <row r="536" spans="1:9" ht="13">
      <c r="A536" s="14" t="s">
        <v>1138</v>
      </c>
      <c r="B536" s="2" t="s">
        <v>1139</v>
      </c>
      <c r="C536" s="28" t="s">
        <v>155</v>
      </c>
      <c r="D536" s="2">
        <v>2019</v>
      </c>
      <c r="E536" s="4">
        <v>12</v>
      </c>
      <c r="F536" s="5" t="s">
        <v>32</v>
      </c>
      <c r="G536" s="46">
        <v>228</v>
      </c>
      <c r="H536" s="47" t="s">
        <v>1140</v>
      </c>
      <c r="I536" s="18">
        <v>1</v>
      </c>
    </row>
    <row r="537" spans="1:9" ht="18">
      <c r="A537" s="696" t="s">
        <v>1141</v>
      </c>
      <c r="B537" s="689"/>
      <c r="C537" s="689"/>
      <c r="D537" s="689"/>
      <c r="E537" s="689"/>
      <c r="F537" s="689"/>
      <c r="G537" s="689"/>
      <c r="H537" s="689"/>
      <c r="I537" s="690"/>
    </row>
    <row r="538" spans="1:9" ht="13">
      <c r="A538" s="25" t="s">
        <v>1142</v>
      </c>
      <c r="B538" s="5" t="s">
        <v>1143</v>
      </c>
      <c r="C538" s="28" t="s">
        <v>155</v>
      </c>
      <c r="D538" s="5">
        <v>2023</v>
      </c>
      <c r="E538" s="4">
        <v>12</v>
      </c>
      <c r="F538" s="5" t="s">
        <v>32</v>
      </c>
      <c r="G538" s="41">
        <v>192</v>
      </c>
      <c r="H538" s="23"/>
      <c r="I538" s="18"/>
    </row>
    <row r="539" spans="1:9" ht="13">
      <c r="A539" s="25" t="s">
        <v>1144</v>
      </c>
      <c r="B539" s="5" t="s">
        <v>1145</v>
      </c>
      <c r="C539" s="28" t="s">
        <v>155</v>
      </c>
      <c r="D539" s="5">
        <v>2023</v>
      </c>
      <c r="E539" s="4">
        <v>12</v>
      </c>
      <c r="F539" s="5" t="s">
        <v>32</v>
      </c>
      <c r="G539" s="41">
        <v>192</v>
      </c>
      <c r="H539" s="116"/>
      <c r="I539" s="18"/>
    </row>
    <row r="540" spans="1:9" ht="13">
      <c r="A540" s="25" t="s">
        <v>1146</v>
      </c>
      <c r="B540" s="5" t="s">
        <v>1145</v>
      </c>
      <c r="C540" s="28" t="s">
        <v>155</v>
      </c>
      <c r="D540" s="5">
        <v>2022</v>
      </c>
      <c r="E540" s="4">
        <v>12</v>
      </c>
      <c r="F540" s="5" t="s">
        <v>32</v>
      </c>
      <c r="G540" s="41">
        <v>192</v>
      </c>
      <c r="H540" s="117"/>
      <c r="I540" s="18"/>
    </row>
    <row r="541" spans="1:9" ht="13">
      <c r="A541" s="25" t="s">
        <v>1147</v>
      </c>
      <c r="B541" s="5" t="s">
        <v>1148</v>
      </c>
      <c r="C541" s="28" t="s">
        <v>155</v>
      </c>
      <c r="D541" s="5">
        <v>2020</v>
      </c>
      <c r="E541" s="4">
        <v>6</v>
      </c>
      <c r="F541" s="2" t="s">
        <v>304</v>
      </c>
      <c r="G541" s="41">
        <v>210</v>
      </c>
      <c r="H541" s="17"/>
      <c r="I541" s="19"/>
    </row>
    <row r="542" spans="1:9" ht="13">
      <c r="A542" s="25" t="s">
        <v>1149</v>
      </c>
      <c r="B542" s="5" t="s">
        <v>1150</v>
      </c>
      <c r="C542" s="28" t="s">
        <v>155</v>
      </c>
      <c r="D542" s="5">
        <v>2023</v>
      </c>
      <c r="E542" s="4">
        <v>6</v>
      </c>
      <c r="F542" s="2" t="s">
        <v>304</v>
      </c>
      <c r="G542" s="41">
        <v>237</v>
      </c>
      <c r="H542" s="116"/>
      <c r="I542" s="18"/>
    </row>
    <row r="543" spans="1:9" ht="13">
      <c r="A543" s="25" t="s">
        <v>1151</v>
      </c>
      <c r="B543" s="5" t="s">
        <v>1152</v>
      </c>
      <c r="C543" s="28" t="s">
        <v>155</v>
      </c>
      <c r="D543" s="5">
        <v>2014</v>
      </c>
      <c r="E543" s="4">
        <v>6</v>
      </c>
      <c r="F543" s="2" t="s">
        <v>304</v>
      </c>
      <c r="G543" s="29">
        <v>172</v>
      </c>
      <c r="H543" s="17"/>
      <c r="I543" s="13"/>
    </row>
    <row r="544" spans="1:9" ht="13">
      <c r="A544" s="25" t="s">
        <v>1153</v>
      </c>
      <c r="B544" s="5" t="s">
        <v>1154</v>
      </c>
      <c r="C544" s="28" t="s">
        <v>155</v>
      </c>
      <c r="D544" s="5" t="s">
        <v>5</v>
      </c>
      <c r="E544" s="4">
        <v>6</v>
      </c>
      <c r="F544" s="2" t="s">
        <v>304</v>
      </c>
      <c r="G544" s="41">
        <v>732</v>
      </c>
      <c r="H544" s="31"/>
      <c r="I544" s="13"/>
    </row>
    <row r="545" spans="1:9" ht="18">
      <c r="A545" s="696" t="s">
        <v>1155</v>
      </c>
      <c r="B545" s="689"/>
      <c r="C545" s="689"/>
      <c r="D545" s="689"/>
      <c r="E545" s="689"/>
      <c r="F545" s="689"/>
      <c r="G545" s="689"/>
      <c r="H545" s="689"/>
      <c r="I545" s="690"/>
    </row>
    <row r="546" spans="1:9" ht="13">
      <c r="A546" s="15" t="s">
        <v>1156</v>
      </c>
      <c r="B546" s="5" t="s">
        <v>1157</v>
      </c>
      <c r="C546" s="28" t="s">
        <v>4</v>
      </c>
      <c r="D546" s="5">
        <v>2018</v>
      </c>
      <c r="E546" s="4">
        <v>12</v>
      </c>
      <c r="F546" s="5" t="s">
        <v>32</v>
      </c>
      <c r="G546" s="60">
        <v>96</v>
      </c>
      <c r="H546" s="118" t="s">
        <v>1158</v>
      </c>
      <c r="I546" s="13"/>
    </row>
    <row r="547" spans="1:9" ht="13">
      <c r="A547" s="15" t="s">
        <v>1159</v>
      </c>
      <c r="B547" s="5" t="s">
        <v>1160</v>
      </c>
      <c r="C547" s="28" t="s">
        <v>4</v>
      </c>
      <c r="D547" s="5">
        <v>2017</v>
      </c>
      <c r="E547" s="4">
        <v>12</v>
      </c>
      <c r="F547" s="5" t="s">
        <v>32</v>
      </c>
      <c r="G547" s="29">
        <v>162</v>
      </c>
      <c r="H547" s="17"/>
      <c r="I547" s="13"/>
    </row>
    <row r="548" spans="1:9" ht="13">
      <c r="A548" s="39" t="s">
        <v>1161</v>
      </c>
      <c r="B548" s="5" t="s">
        <v>1162</v>
      </c>
      <c r="C548" s="28" t="s">
        <v>155</v>
      </c>
      <c r="D548" s="5">
        <v>2015</v>
      </c>
      <c r="E548" s="4">
        <v>12</v>
      </c>
      <c r="F548" s="5" t="s">
        <v>32</v>
      </c>
      <c r="G548" s="29">
        <v>110</v>
      </c>
      <c r="H548" s="17"/>
      <c r="I548" s="119"/>
    </row>
    <row r="549" spans="1:9" ht="13">
      <c r="A549" s="25" t="s">
        <v>1163</v>
      </c>
      <c r="B549" s="5" t="s">
        <v>1164</v>
      </c>
      <c r="C549" s="28" t="s">
        <v>155</v>
      </c>
      <c r="D549" s="5">
        <v>2016</v>
      </c>
      <c r="E549" s="4">
        <v>12</v>
      </c>
      <c r="F549" s="5" t="s">
        <v>32</v>
      </c>
      <c r="G549" s="29">
        <v>138</v>
      </c>
      <c r="H549" s="17"/>
      <c r="I549" s="13"/>
    </row>
    <row r="550" spans="1:9" ht="13">
      <c r="A550" s="25" t="s">
        <v>1165</v>
      </c>
      <c r="B550" s="5" t="s">
        <v>1166</v>
      </c>
      <c r="C550" s="28" t="s">
        <v>155</v>
      </c>
      <c r="D550" s="5">
        <v>2019</v>
      </c>
      <c r="E550" s="4">
        <v>12</v>
      </c>
      <c r="F550" s="5" t="s">
        <v>32</v>
      </c>
      <c r="G550" s="29">
        <v>156</v>
      </c>
      <c r="H550" s="120"/>
      <c r="I550" s="19"/>
    </row>
    <row r="551" spans="1:9" ht="13">
      <c r="A551" s="25" t="s">
        <v>1167</v>
      </c>
      <c r="B551" s="5" t="s">
        <v>1168</v>
      </c>
      <c r="C551" s="28" t="s">
        <v>155</v>
      </c>
      <c r="D551" s="5">
        <v>2019</v>
      </c>
      <c r="E551" s="4">
        <v>12</v>
      </c>
      <c r="F551" s="5" t="s">
        <v>32</v>
      </c>
      <c r="G551" s="29">
        <v>168</v>
      </c>
      <c r="H551" s="120"/>
      <c r="I551" s="19"/>
    </row>
    <row r="552" spans="1:9" ht="13">
      <c r="A552" s="25" t="s">
        <v>1169</v>
      </c>
      <c r="B552" s="5" t="s">
        <v>1170</v>
      </c>
      <c r="C552" s="28" t="s">
        <v>1171</v>
      </c>
      <c r="D552" s="5">
        <v>2019</v>
      </c>
      <c r="E552" s="4">
        <v>12</v>
      </c>
      <c r="F552" s="5" t="s">
        <v>32</v>
      </c>
      <c r="G552" s="29">
        <v>180</v>
      </c>
      <c r="H552" s="17"/>
      <c r="I552" s="119"/>
    </row>
    <row r="553" spans="1:9" ht="23">
      <c r="A553" s="693" t="s">
        <v>1172</v>
      </c>
      <c r="B553" s="689"/>
      <c r="C553" s="689"/>
      <c r="D553" s="689"/>
      <c r="E553" s="689"/>
      <c r="F553" s="689"/>
      <c r="G553" s="689"/>
      <c r="H553" s="689"/>
      <c r="I553" s="690"/>
    </row>
    <row r="554" spans="1:9" ht="18">
      <c r="A554" s="694" t="s">
        <v>1173</v>
      </c>
      <c r="B554" s="689"/>
      <c r="C554" s="689"/>
      <c r="D554" s="689"/>
      <c r="E554" s="689"/>
      <c r="F554" s="689"/>
      <c r="G554" s="689"/>
      <c r="H554" s="689"/>
      <c r="I554" s="690"/>
    </row>
    <row r="555" spans="1:9" ht="13">
      <c r="A555" s="1" t="s">
        <v>1174</v>
      </c>
      <c r="B555" s="2" t="s">
        <v>1175</v>
      </c>
      <c r="C555" s="28" t="s">
        <v>1176</v>
      </c>
      <c r="D555" s="2">
        <v>2021</v>
      </c>
      <c r="E555" s="4">
        <v>12</v>
      </c>
      <c r="F555" s="5" t="s">
        <v>32</v>
      </c>
      <c r="G555" s="6">
        <v>258</v>
      </c>
      <c r="H555" s="38"/>
      <c r="I555" s="74"/>
    </row>
    <row r="556" spans="1:9" ht="13">
      <c r="A556" s="37" t="s">
        <v>1177</v>
      </c>
      <c r="B556" s="2" t="s">
        <v>1178</v>
      </c>
      <c r="C556" s="28" t="s">
        <v>1179</v>
      </c>
      <c r="D556" s="2">
        <v>2022</v>
      </c>
      <c r="E556" s="4">
        <v>12</v>
      </c>
      <c r="F556" s="5" t="s">
        <v>32</v>
      </c>
      <c r="G556" s="6">
        <v>204</v>
      </c>
      <c r="H556" s="38"/>
      <c r="I556" s="19"/>
    </row>
    <row r="557" spans="1:9" ht="13">
      <c r="A557" s="1" t="s">
        <v>1180</v>
      </c>
      <c r="B557" s="2" t="s">
        <v>1181</v>
      </c>
      <c r="C557" s="28" t="s">
        <v>1182</v>
      </c>
      <c r="D557" s="2">
        <v>2023</v>
      </c>
      <c r="E557" s="4">
        <v>12</v>
      </c>
      <c r="F557" s="5" t="s">
        <v>32</v>
      </c>
      <c r="G557" s="6">
        <v>180</v>
      </c>
      <c r="H557" s="38"/>
      <c r="I557" s="19"/>
    </row>
    <row r="558" spans="1:9" ht="13">
      <c r="A558" s="1" t="s">
        <v>1183</v>
      </c>
      <c r="B558" s="2" t="s">
        <v>1184</v>
      </c>
      <c r="C558" s="28" t="s">
        <v>1185</v>
      </c>
      <c r="D558" s="2">
        <v>2020</v>
      </c>
      <c r="E558" s="4">
        <v>12</v>
      </c>
      <c r="F558" s="5" t="s">
        <v>32</v>
      </c>
      <c r="G558" s="6">
        <v>192</v>
      </c>
      <c r="H558" s="38"/>
      <c r="I558" s="74"/>
    </row>
    <row r="559" spans="1:9" ht="13">
      <c r="A559" s="1" t="s">
        <v>1186</v>
      </c>
      <c r="B559" s="2" t="s">
        <v>1187</v>
      </c>
      <c r="C559" s="28" t="s">
        <v>271</v>
      </c>
      <c r="D559" s="2">
        <v>2022</v>
      </c>
      <c r="E559" s="4">
        <v>12</v>
      </c>
      <c r="F559" s="5" t="s">
        <v>32</v>
      </c>
      <c r="G559" s="6">
        <v>156</v>
      </c>
      <c r="H559" s="38"/>
      <c r="I559" s="74"/>
    </row>
    <row r="560" spans="1:9" ht="13">
      <c r="A560" s="1" t="s">
        <v>1188</v>
      </c>
      <c r="B560" s="2" t="s">
        <v>1189</v>
      </c>
      <c r="C560" s="28" t="s">
        <v>4</v>
      </c>
      <c r="D560" s="2">
        <v>2021</v>
      </c>
      <c r="E560" s="4">
        <v>12</v>
      </c>
      <c r="F560" s="5" t="s">
        <v>32</v>
      </c>
      <c r="G560" s="6">
        <v>282</v>
      </c>
      <c r="H560" s="38"/>
      <c r="I560" s="19"/>
    </row>
    <row r="561" spans="1:9" ht="13">
      <c r="A561" s="10" t="s">
        <v>1190</v>
      </c>
      <c r="B561" s="2" t="s">
        <v>1191</v>
      </c>
      <c r="C561" s="28" t="s">
        <v>1192</v>
      </c>
      <c r="D561" s="2" t="s">
        <v>5</v>
      </c>
      <c r="E561" s="4">
        <v>12</v>
      </c>
      <c r="F561" s="5" t="s">
        <v>32</v>
      </c>
      <c r="G561" s="6">
        <v>192</v>
      </c>
      <c r="H561" s="38"/>
      <c r="I561" s="19"/>
    </row>
    <row r="562" spans="1:9" ht="13">
      <c r="A562" s="10" t="s">
        <v>1193</v>
      </c>
      <c r="B562" s="2" t="s">
        <v>1194</v>
      </c>
      <c r="C562" s="28" t="s">
        <v>1195</v>
      </c>
      <c r="D562" s="2">
        <v>2020</v>
      </c>
      <c r="E562" s="4">
        <v>12</v>
      </c>
      <c r="F562" s="5" t="s">
        <v>32</v>
      </c>
      <c r="G562" s="6">
        <v>252</v>
      </c>
      <c r="H562" s="38"/>
      <c r="I562" s="74"/>
    </row>
    <row r="563" spans="1:9" ht="13">
      <c r="A563" s="10" t="s">
        <v>1196</v>
      </c>
      <c r="B563" s="2" t="s">
        <v>1197</v>
      </c>
      <c r="C563" s="28" t="s">
        <v>1198</v>
      </c>
      <c r="D563" s="2">
        <v>2022</v>
      </c>
      <c r="E563" s="4">
        <v>12</v>
      </c>
      <c r="F563" s="5" t="s">
        <v>32</v>
      </c>
      <c r="G563" s="6">
        <v>210</v>
      </c>
      <c r="H563" s="38"/>
      <c r="I563" s="74"/>
    </row>
    <row r="564" spans="1:9" ht="13">
      <c r="A564" s="10" t="s">
        <v>1199</v>
      </c>
      <c r="B564" s="2" t="s">
        <v>1200</v>
      </c>
      <c r="C564" s="28" t="s">
        <v>1201</v>
      </c>
      <c r="D564" s="2">
        <v>2020</v>
      </c>
      <c r="E564" s="4">
        <v>12</v>
      </c>
      <c r="F564" s="5" t="s">
        <v>32</v>
      </c>
      <c r="G564" s="6">
        <v>426</v>
      </c>
      <c r="H564" s="38"/>
      <c r="I564" s="74"/>
    </row>
    <row r="565" spans="1:9" ht="13">
      <c r="A565" s="37" t="s">
        <v>1202</v>
      </c>
      <c r="B565" s="2" t="s">
        <v>1203</v>
      </c>
      <c r="C565" s="28" t="s">
        <v>463</v>
      </c>
      <c r="D565" s="2">
        <v>2022</v>
      </c>
      <c r="E565" s="4">
        <v>12</v>
      </c>
      <c r="F565" s="5" t="s">
        <v>32</v>
      </c>
      <c r="G565" s="6">
        <v>180</v>
      </c>
      <c r="H565" s="38"/>
      <c r="I565" s="19"/>
    </row>
    <row r="566" spans="1:9" ht="13">
      <c r="A566" s="14" t="s">
        <v>1204</v>
      </c>
      <c r="B566" s="2" t="s">
        <v>1205</v>
      </c>
      <c r="C566" s="28" t="s">
        <v>1206</v>
      </c>
      <c r="D566" s="2">
        <v>2014</v>
      </c>
      <c r="E566" s="4">
        <v>12</v>
      </c>
      <c r="F566" s="5" t="s">
        <v>32</v>
      </c>
      <c r="G566" s="6">
        <v>160</v>
      </c>
      <c r="H566" s="38"/>
      <c r="I566" s="74"/>
    </row>
    <row r="567" spans="1:9" ht="13">
      <c r="A567" s="14" t="s">
        <v>1207</v>
      </c>
      <c r="B567" s="2" t="s">
        <v>1208</v>
      </c>
      <c r="C567" s="28" t="s">
        <v>1209</v>
      </c>
      <c r="D567" s="2">
        <v>2021</v>
      </c>
      <c r="E567" s="4">
        <v>12</v>
      </c>
      <c r="F567" s="5" t="s">
        <v>32</v>
      </c>
      <c r="G567" s="6">
        <v>162</v>
      </c>
      <c r="H567" s="38"/>
      <c r="I567" s="74"/>
    </row>
    <row r="568" spans="1:9" ht="13">
      <c r="A568" s="14" t="s">
        <v>1210</v>
      </c>
      <c r="B568" s="2" t="s">
        <v>1211</v>
      </c>
      <c r="C568" s="28" t="s">
        <v>463</v>
      </c>
      <c r="D568" s="2">
        <v>2022</v>
      </c>
      <c r="E568" s="4">
        <v>12</v>
      </c>
      <c r="F568" s="5" t="s">
        <v>32</v>
      </c>
      <c r="G568" s="6">
        <v>186</v>
      </c>
      <c r="H568" s="38"/>
      <c r="I568" s="18"/>
    </row>
    <row r="569" spans="1:9" ht="13">
      <c r="A569" s="14" t="s">
        <v>1212</v>
      </c>
      <c r="B569" s="2" t="s">
        <v>1213</v>
      </c>
      <c r="C569" s="28" t="s">
        <v>1214</v>
      </c>
      <c r="D569" s="2">
        <v>2021</v>
      </c>
      <c r="E569" s="4">
        <v>12</v>
      </c>
      <c r="F569" s="5" t="s">
        <v>32</v>
      </c>
      <c r="G569" s="6">
        <v>264</v>
      </c>
      <c r="H569" s="38"/>
      <c r="I569" s="74"/>
    </row>
    <row r="570" spans="1:9" ht="13">
      <c r="A570" s="14" t="s">
        <v>1215</v>
      </c>
      <c r="B570" s="2" t="s">
        <v>1216</v>
      </c>
      <c r="C570" s="28" t="s">
        <v>784</v>
      </c>
      <c r="D570" s="2">
        <v>2022</v>
      </c>
      <c r="E570" s="4">
        <v>12</v>
      </c>
      <c r="F570" s="5" t="s">
        <v>32</v>
      </c>
      <c r="G570" s="6">
        <v>180</v>
      </c>
      <c r="H570" s="38"/>
      <c r="I570" s="19"/>
    </row>
    <row r="571" spans="1:9" ht="13">
      <c r="A571" s="14" t="s">
        <v>1217</v>
      </c>
      <c r="B571" s="2" t="s">
        <v>1218</v>
      </c>
      <c r="C571" s="28" t="s">
        <v>784</v>
      </c>
      <c r="D571" s="2">
        <v>2022</v>
      </c>
      <c r="E571" s="4">
        <v>12</v>
      </c>
      <c r="F571" s="5" t="s">
        <v>32</v>
      </c>
      <c r="G571" s="6">
        <v>228</v>
      </c>
      <c r="H571" s="38"/>
      <c r="I571" s="18"/>
    </row>
    <row r="572" spans="1:9" ht="13">
      <c r="A572" s="14" t="s">
        <v>1219</v>
      </c>
      <c r="B572" s="2" t="s">
        <v>1220</v>
      </c>
      <c r="C572" s="28" t="s">
        <v>463</v>
      </c>
      <c r="D572" s="2">
        <v>2018</v>
      </c>
      <c r="E572" s="4">
        <v>12</v>
      </c>
      <c r="F572" s="5" t="s">
        <v>32</v>
      </c>
      <c r="G572" s="6">
        <v>228</v>
      </c>
      <c r="H572" s="38"/>
      <c r="I572" s="18"/>
    </row>
    <row r="573" spans="1:9" ht="13">
      <c r="A573" s="14" t="s">
        <v>1221</v>
      </c>
      <c r="B573" s="2" t="s">
        <v>1222</v>
      </c>
      <c r="C573" s="28" t="s">
        <v>1206</v>
      </c>
      <c r="D573" s="2">
        <v>2022</v>
      </c>
      <c r="E573" s="4">
        <v>12</v>
      </c>
      <c r="F573" s="5" t="s">
        <v>32</v>
      </c>
      <c r="G573" s="6">
        <v>276</v>
      </c>
      <c r="H573" s="38"/>
      <c r="I573" s="18"/>
    </row>
    <row r="574" spans="1:9" ht="13">
      <c r="A574" s="14" t="s">
        <v>1223</v>
      </c>
      <c r="B574" s="2" t="s">
        <v>1224</v>
      </c>
      <c r="C574" s="28" t="s">
        <v>1225</v>
      </c>
      <c r="D574" s="2">
        <v>2022</v>
      </c>
      <c r="E574" s="4">
        <v>12</v>
      </c>
      <c r="F574" s="5" t="s">
        <v>32</v>
      </c>
      <c r="G574" s="6">
        <v>276</v>
      </c>
      <c r="H574" s="38"/>
      <c r="I574" s="18"/>
    </row>
    <row r="575" spans="1:9" ht="18">
      <c r="A575" s="694" t="s">
        <v>1226</v>
      </c>
      <c r="B575" s="689"/>
      <c r="C575" s="689"/>
      <c r="D575" s="689"/>
      <c r="E575" s="689"/>
      <c r="F575" s="689"/>
      <c r="G575" s="689"/>
      <c r="H575" s="689"/>
      <c r="I575" s="690"/>
    </row>
    <row r="576" spans="1:9" ht="13">
      <c r="A576" s="1" t="s">
        <v>1227</v>
      </c>
      <c r="B576" s="2" t="s">
        <v>1228</v>
      </c>
      <c r="C576" s="28" t="s">
        <v>1229</v>
      </c>
      <c r="D576" s="2">
        <v>2019</v>
      </c>
      <c r="E576" s="4">
        <v>12</v>
      </c>
      <c r="F576" s="5" t="s">
        <v>32</v>
      </c>
      <c r="G576" s="6">
        <v>276</v>
      </c>
      <c r="H576" s="33"/>
      <c r="I576" s="30"/>
    </row>
    <row r="577" spans="1:9" ht="13">
      <c r="A577" s="37" t="s">
        <v>1230</v>
      </c>
      <c r="B577" s="2" t="s">
        <v>1231</v>
      </c>
      <c r="C577" s="28" t="s">
        <v>1206</v>
      </c>
      <c r="D577" s="2">
        <v>2019</v>
      </c>
      <c r="E577" s="4">
        <v>12</v>
      </c>
      <c r="F577" s="5" t="s">
        <v>32</v>
      </c>
      <c r="G577" s="6">
        <v>276</v>
      </c>
      <c r="H577" s="33"/>
      <c r="I577" s="30"/>
    </row>
    <row r="578" spans="1:9" ht="13">
      <c r="A578" s="1" t="s">
        <v>1232</v>
      </c>
      <c r="B578" s="2" t="s">
        <v>1233</v>
      </c>
      <c r="C578" s="28" t="s">
        <v>1229</v>
      </c>
      <c r="D578" s="2">
        <v>2022</v>
      </c>
      <c r="E578" s="4">
        <v>12</v>
      </c>
      <c r="F578" s="5" t="s">
        <v>32</v>
      </c>
      <c r="G578" s="6">
        <v>204</v>
      </c>
      <c r="H578" s="33"/>
      <c r="I578" s="30"/>
    </row>
    <row r="579" spans="1:9" ht="13">
      <c r="A579" s="1" t="s">
        <v>1234</v>
      </c>
      <c r="B579" s="2" t="s">
        <v>1235</v>
      </c>
      <c r="C579" s="28" t="s">
        <v>4</v>
      </c>
      <c r="D579" s="2">
        <v>2022</v>
      </c>
      <c r="E579" s="4">
        <v>12</v>
      </c>
      <c r="F579" s="5" t="s">
        <v>32</v>
      </c>
      <c r="G579" s="6">
        <v>222</v>
      </c>
      <c r="H579" s="33"/>
      <c r="I579" s="30"/>
    </row>
    <row r="580" spans="1:9" ht="13">
      <c r="A580" s="1" t="s">
        <v>1236</v>
      </c>
      <c r="B580" s="2" t="s">
        <v>1237</v>
      </c>
      <c r="C580" s="28" t="s">
        <v>4</v>
      </c>
      <c r="D580" s="2">
        <v>2022</v>
      </c>
      <c r="E580" s="4">
        <v>12</v>
      </c>
      <c r="F580" s="5" t="s">
        <v>32</v>
      </c>
      <c r="G580" s="6">
        <v>246</v>
      </c>
      <c r="H580" s="33"/>
      <c r="I580" s="30"/>
    </row>
    <row r="581" spans="1:9" ht="13">
      <c r="A581" s="1" t="s">
        <v>1238</v>
      </c>
      <c r="B581" s="2" t="s">
        <v>1239</v>
      </c>
      <c r="C581" s="28" t="s">
        <v>133</v>
      </c>
      <c r="D581" s="2">
        <v>2023</v>
      </c>
      <c r="E581" s="4">
        <v>12</v>
      </c>
      <c r="F581" s="5" t="s">
        <v>32</v>
      </c>
      <c r="G581" s="6">
        <v>312</v>
      </c>
      <c r="H581" s="26"/>
      <c r="I581" s="30"/>
    </row>
    <row r="582" spans="1:9" ht="13">
      <c r="A582" s="121" t="s">
        <v>1240</v>
      </c>
      <c r="B582" s="2" t="s">
        <v>1241</v>
      </c>
      <c r="C582" s="28" t="s">
        <v>1242</v>
      </c>
      <c r="D582" s="2">
        <v>2016</v>
      </c>
      <c r="E582" s="4">
        <v>12</v>
      </c>
      <c r="F582" s="5" t="s">
        <v>564</v>
      </c>
      <c r="G582" s="6">
        <v>372</v>
      </c>
      <c r="H582" s="33"/>
      <c r="I582" s="30"/>
    </row>
    <row r="583" spans="1:9" ht="13">
      <c r="A583" s="37" t="s">
        <v>1243</v>
      </c>
      <c r="B583" s="2" t="s">
        <v>1244</v>
      </c>
      <c r="C583" s="28" t="s">
        <v>1206</v>
      </c>
      <c r="D583" s="2">
        <v>2023</v>
      </c>
      <c r="E583" s="4">
        <v>12</v>
      </c>
      <c r="F583" s="5" t="s">
        <v>32</v>
      </c>
      <c r="G583" s="6">
        <v>222</v>
      </c>
      <c r="H583" s="33"/>
      <c r="I583" s="30"/>
    </row>
    <row r="584" spans="1:9" ht="13">
      <c r="A584" s="37" t="s">
        <v>1245</v>
      </c>
      <c r="B584" s="2" t="s">
        <v>1246</v>
      </c>
      <c r="C584" s="28" t="s">
        <v>463</v>
      </c>
      <c r="D584" s="2">
        <v>2021</v>
      </c>
      <c r="E584" s="4">
        <v>12</v>
      </c>
      <c r="F584" s="5" t="s">
        <v>32</v>
      </c>
      <c r="G584" s="6">
        <v>216</v>
      </c>
      <c r="H584" s="33"/>
      <c r="I584" s="30"/>
    </row>
    <row r="585" spans="1:9" ht="13">
      <c r="A585" s="14" t="s">
        <v>1247</v>
      </c>
      <c r="B585" s="2" t="s">
        <v>1248</v>
      </c>
      <c r="C585" s="28" t="s">
        <v>463</v>
      </c>
      <c r="D585" s="2">
        <v>2019</v>
      </c>
      <c r="E585" s="4">
        <v>12</v>
      </c>
      <c r="F585" s="5" t="s">
        <v>32</v>
      </c>
      <c r="G585" s="6">
        <v>234</v>
      </c>
      <c r="H585" s="33"/>
      <c r="I585" s="30"/>
    </row>
    <row r="586" spans="1:9" ht="13">
      <c r="A586" s="14" t="s">
        <v>1249</v>
      </c>
      <c r="B586" s="2" t="s">
        <v>1250</v>
      </c>
      <c r="C586" s="28" t="s">
        <v>463</v>
      </c>
      <c r="D586" s="2">
        <v>2024</v>
      </c>
      <c r="E586" s="4">
        <v>12</v>
      </c>
      <c r="F586" s="5" t="s">
        <v>32</v>
      </c>
      <c r="G586" s="6">
        <v>234</v>
      </c>
      <c r="H586" s="26"/>
      <c r="I586" s="30"/>
    </row>
    <row r="587" spans="1:9" ht="13">
      <c r="A587" s="14" t="s">
        <v>1251</v>
      </c>
      <c r="B587" s="2" t="s">
        <v>1252</v>
      </c>
      <c r="C587" s="28" t="s">
        <v>1206</v>
      </c>
      <c r="D587" s="2">
        <v>2020</v>
      </c>
      <c r="E587" s="4">
        <v>12</v>
      </c>
      <c r="F587" s="5" t="s">
        <v>32</v>
      </c>
      <c r="G587" s="6">
        <v>174</v>
      </c>
      <c r="H587" s="33"/>
      <c r="I587" s="30"/>
    </row>
    <row r="588" spans="1:9" ht="13">
      <c r="A588" s="14" t="s">
        <v>1253</v>
      </c>
      <c r="B588" s="2" t="s">
        <v>1254</v>
      </c>
      <c r="C588" s="28" t="s">
        <v>1206</v>
      </c>
      <c r="D588" s="2">
        <v>2024</v>
      </c>
      <c r="E588" s="4">
        <v>12</v>
      </c>
      <c r="F588" s="5" t="s">
        <v>32</v>
      </c>
      <c r="G588" s="6">
        <v>234</v>
      </c>
      <c r="H588" s="26"/>
      <c r="I588" s="30"/>
    </row>
    <row r="589" spans="1:9" ht="13">
      <c r="A589" s="14" t="s">
        <v>1255</v>
      </c>
      <c r="B589" s="2" t="s">
        <v>1256</v>
      </c>
      <c r="C589" s="28" t="s">
        <v>1225</v>
      </c>
      <c r="D589" s="2">
        <v>2024</v>
      </c>
      <c r="E589" s="4">
        <v>12</v>
      </c>
      <c r="F589" s="5" t="s">
        <v>32</v>
      </c>
      <c r="G589" s="6">
        <v>234</v>
      </c>
      <c r="H589" s="26"/>
      <c r="I589" s="30"/>
    </row>
    <row r="590" spans="1:9" ht="13">
      <c r="A590" s="14" t="s">
        <v>1257</v>
      </c>
      <c r="B590" s="2" t="s">
        <v>1258</v>
      </c>
      <c r="C590" s="28" t="s">
        <v>1206</v>
      </c>
      <c r="D590" s="2">
        <v>2020</v>
      </c>
      <c r="E590" s="4">
        <v>12</v>
      </c>
      <c r="F590" s="5" t="s">
        <v>32</v>
      </c>
      <c r="G590" s="6">
        <v>246</v>
      </c>
      <c r="H590" s="33"/>
      <c r="I590" s="30"/>
    </row>
    <row r="591" spans="1:9" ht="13">
      <c r="A591" s="14" t="s">
        <v>1259</v>
      </c>
      <c r="B591" s="2" t="s">
        <v>1260</v>
      </c>
      <c r="C591" s="28" t="s">
        <v>1206</v>
      </c>
      <c r="D591" s="2">
        <v>2023</v>
      </c>
      <c r="E591" s="4">
        <v>12</v>
      </c>
      <c r="F591" s="5" t="s">
        <v>32</v>
      </c>
      <c r="G591" s="6">
        <v>270</v>
      </c>
      <c r="H591" s="26"/>
      <c r="I591" s="30"/>
    </row>
    <row r="592" spans="1:9" ht="18">
      <c r="A592" s="694" t="s">
        <v>1261</v>
      </c>
      <c r="B592" s="689"/>
      <c r="C592" s="689"/>
      <c r="D592" s="689"/>
      <c r="E592" s="689"/>
      <c r="F592" s="689"/>
      <c r="G592" s="689"/>
      <c r="H592" s="689"/>
      <c r="I592" s="690"/>
    </row>
    <row r="593" spans="1:9" ht="13">
      <c r="A593" s="1" t="s">
        <v>1262</v>
      </c>
      <c r="B593" s="2" t="s">
        <v>1263</v>
      </c>
      <c r="C593" s="28" t="s">
        <v>4</v>
      </c>
      <c r="D593" s="2">
        <v>2022</v>
      </c>
      <c r="E593" s="4">
        <v>6</v>
      </c>
      <c r="F593" s="5" t="s">
        <v>304</v>
      </c>
      <c r="G593" s="6">
        <v>771</v>
      </c>
      <c r="H593" s="38"/>
      <c r="I593" s="30"/>
    </row>
    <row r="594" spans="1:9" ht="13">
      <c r="A594" s="1" t="s">
        <v>1264</v>
      </c>
      <c r="B594" s="2" t="s">
        <v>1265</v>
      </c>
      <c r="C594" s="28" t="s">
        <v>4</v>
      </c>
      <c r="D594" s="2">
        <v>2022</v>
      </c>
      <c r="E594" s="4">
        <v>12</v>
      </c>
      <c r="F594" s="5" t="s">
        <v>32</v>
      </c>
      <c r="G594" s="6">
        <v>342</v>
      </c>
      <c r="H594" s="38"/>
      <c r="I594" s="30"/>
    </row>
    <row r="595" spans="1:9" ht="13">
      <c r="A595" s="1" t="s">
        <v>1266</v>
      </c>
      <c r="B595" s="2" t="s">
        <v>1267</v>
      </c>
      <c r="C595" s="28" t="s">
        <v>4</v>
      </c>
      <c r="D595" s="2">
        <v>2022</v>
      </c>
      <c r="E595" s="4">
        <v>12</v>
      </c>
      <c r="F595" s="5" t="s">
        <v>32</v>
      </c>
      <c r="G595" s="6">
        <v>294</v>
      </c>
      <c r="H595" s="33"/>
      <c r="I595" s="30"/>
    </row>
    <row r="596" spans="1:9" ht="13">
      <c r="A596" s="37" t="s">
        <v>1268</v>
      </c>
      <c r="B596" s="2" t="s">
        <v>1269</v>
      </c>
      <c r="C596" s="28" t="s">
        <v>1206</v>
      </c>
      <c r="D596" s="2">
        <v>2021</v>
      </c>
      <c r="E596" s="4">
        <v>12</v>
      </c>
      <c r="F596" s="5" t="s">
        <v>32</v>
      </c>
      <c r="G596" s="6">
        <v>192</v>
      </c>
      <c r="H596" s="33"/>
      <c r="I596" s="30"/>
    </row>
    <row r="597" spans="1:9" ht="13">
      <c r="A597" s="37" t="s">
        <v>1270</v>
      </c>
      <c r="B597" s="2" t="s">
        <v>1271</v>
      </c>
      <c r="C597" s="28" t="s">
        <v>463</v>
      </c>
      <c r="D597" s="2">
        <v>2021</v>
      </c>
      <c r="E597" s="4">
        <v>12</v>
      </c>
      <c r="F597" s="5" t="s">
        <v>32</v>
      </c>
      <c r="G597" s="6">
        <v>228</v>
      </c>
      <c r="H597" s="33"/>
      <c r="I597" s="30"/>
    </row>
    <row r="598" spans="1:9" ht="13">
      <c r="A598" s="14" t="s">
        <v>1272</v>
      </c>
      <c r="B598" s="2" t="s">
        <v>1273</v>
      </c>
      <c r="C598" s="122" t="s">
        <v>1274</v>
      </c>
      <c r="D598" s="2">
        <v>2022</v>
      </c>
      <c r="E598" s="4">
        <v>12</v>
      </c>
      <c r="F598" s="5" t="s">
        <v>32</v>
      </c>
      <c r="G598" s="6">
        <v>318</v>
      </c>
      <c r="H598" s="38"/>
      <c r="I598" s="30"/>
    </row>
    <row r="599" spans="1:9" ht="13">
      <c r="A599" s="14" t="s">
        <v>1275</v>
      </c>
      <c r="B599" s="2" t="s">
        <v>1276</v>
      </c>
      <c r="C599" s="122" t="s">
        <v>1206</v>
      </c>
      <c r="D599" s="2">
        <v>2022</v>
      </c>
      <c r="E599" s="4">
        <v>12</v>
      </c>
      <c r="F599" s="5" t="s">
        <v>32</v>
      </c>
      <c r="G599" s="6">
        <v>402</v>
      </c>
      <c r="H599" s="38"/>
      <c r="I599" s="30"/>
    </row>
    <row r="600" spans="1:9" ht="13">
      <c r="A600" s="14" t="s">
        <v>1277</v>
      </c>
      <c r="B600" s="2" t="s">
        <v>1278</v>
      </c>
      <c r="C600" s="28" t="s">
        <v>463</v>
      </c>
      <c r="D600" s="2">
        <v>2022</v>
      </c>
      <c r="E600" s="4">
        <v>12</v>
      </c>
      <c r="F600" s="5" t="s">
        <v>32</v>
      </c>
      <c r="G600" s="6">
        <v>402</v>
      </c>
      <c r="H600" s="38"/>
      <c r="I600" s="30"/>
    </row>
    <row r="601" spans="1:9" ht="13">
      <c r="A601" s="14" t="s">
        <v>1279</v>
      </c>
      <c r="B601" s="2" t="s">
        <v>1280</v>
      </c>
      <c r="C601" s="122" t="s">
        <v>1206</v>
      </c>
      <c r="D601" s="2">
        <v>2021</v>
      </c>
      <c r="E601" s="4">
        <v>12</v>
      </c>
      <c r="F601" s="5" t="s">
        <v>32</v>
      </c>
      <c r="G601" s="6">
        <v>234</v>
      </c>
      <c r="H601" s="33"/>
      <c r="I601" s="30"/>
    </row>
    <row r="602" spans="1:9" ht="13">
      <c r="A602" s="14" t="s">
        <v>1281</v>
      </c>
      <c r="B602" s="2" t="s">
        <v>1282</v>
      </c>
      <c r="C602" s="28" t="s">
        <v>463</v>
      </c>
      <c r="D602" s="2">
        <v>2021</v>
      </c>
      <c r="E602" s="4">
        <v>12</v>
      </c>
      <c r="F602" s="5" t="s">
        <v>32</v>
      </c>
      <c r="G602" s="6">
        <v>234</v>
      </c>
      <c r="H602" s="33"/>
      <c r="I602" s="30"/>
    </row>
    <row r="603" spans="1:9" ht="13">
      <c r="A603" s="14" t="s">
        <v>1283</v>
      </c>
      <c r="B603" s="2" t="s">
        <v>1284</v>
      </c>
      <c r="C603" s="28" t="s">
        <v>1285</v>
      </c>
      <c r="D603" s="2">
        <v>2021</v>
      </c>
      <c r="E603" s="4">
        <v>12</v>
      </c>
      <c r="F603" s="5" t="s">
        <v>32</v>
      </c>
      <c r="G603" s="6">
        <v>258</v>
      </c>
      <c r="H603" s="33"/>
      <c r="I603" s="30"/>
    </row>
    <row r="604" spans="1:9" ht="13">
      <c r="A604" s="14" t="s">
        <v>1286</v>
      </c>
      <c r="B604" s="2" t="s">
        <v>1287</v>
      </c>
      <c r="C604" s="28" t="s">
        <v>1206</v>
      </c>
      <c r="D604" s="2">
        <v>2021</v>
      </c>
      <c r="E604" s="4">
        <v>12</v>
      </c>
      <c r="F604" s="5" t="s">
        <v>32</v>
      </c>
      <c r="G604" s="6">
        <v>258</v>
      </c>
      <c r="H604" s="33"/>
      <c r="I604" s="30"/>
    </row>
    <row r="605" spans="1:9" ht="13">
      <c r="A605" s="14" t="s">
        <v>1288</v>
      </c>
      <c r="B605" s="2" t="s">
        <v>1289</v>
      </c>
      <c r="C605" s="28" t="s">
        <v>1206</v>
      </c>
      <c r="D605" s="2">
        <v>2021</v>
      </c>
      <c r="E605" s="4">
        <v>12</v>
      </c>
      <c r="F605" s="5" t="s">
        <v>32</v>
      </c>
      <c r="G605" s="6">
        <v>258</v>
      </c>
      <c r="H605" s="33"/>
      <c r="I605" s="30"/>
    </row>
    <row r="606" spans="1:9" ht="13">
      <c r="A606" s="14" t="s">
        <v>1290</v>
      </c>
      <c r="B606" s="2" t="s">
        <v>1291</v>
      </c>
      <c r="C606" s="28" t="s">
        <v>1206</v>
      </c>
      <c r="D606" s="2">
        <v>2022</v>
      </c>
      <c r="E606" s="4">
        <v>12</v>
      </c>
      <c r="F606" s="5" t="s">
        <v>32</v>
      </c>
      <c r="G606" s="6">
        <v>294</v>
      </c>
      <c r="H606" s="33"/>
      <c r="I606" s="30"/>
    </row>
    <row r="607" spans="1:9" ht="13">
      <c r="A607" s="14" t="s">
        <v>1292</v>
      </c>
      <c r="B607" s="2" t="s">
        <v>1293</v>
      </c>
      <c r="C607" s="28" t="s">
        <v>1206</v>
      </c>
      <c r="D607" s="2">
        <v>2022</v>
      </c>
      <c r="E607" s="4">
        <v>12</v>
      </c>
      <c r="F607" s="5" t="s">
        <v>32</v>
      </c>
      <c r="G607" s="6">
        <v>294</v>
      </c>
      <c r="H607" s="123"/>
      <c r="I607" s="30"/>
    </row>
    <row r="608" spans="1:9" ht="13">
      <c r="A608" s="14" t="s">
        <v>1294</v>
      </c>
      <c r="B608" s="2" t="s">
        <v>1295</v>
      </c>
      <c r="C608" s="28" t="s">
        <v>1206</v>
      </c>
      <c r="D608" s="2">
        <v>2021</v>
      </c>
      <c r="E608" s="4">
        <v>12</v>
      </c>
      <c r="F608" s="5" t="s">
        <v>32</v>
      </c>
      <c r="G608" s="6">
        <v>318</v>
      </c>
      <c r="H608" s="33"/>
      <c r="I608" s="30"/>
    </row>
    <row r="609" spans="1:9" ht="23">
      <c r="A609" s="693" t="s">
        <v>1296</v>
      </c>
      <c r="B609" s="689"/>
      <c r="C609" s="689"/>
      <c r="D609" s="689"/>
      <c r="E609" s="689"/>
      <c r="F609" s="689"/>
      <c r="G609" s="689"/>
      <c r="H609" s="689"/>
      <c r="I609" s="690"/>
    </row>
    <row r="610" spans="1:9" ht="18">
      <c r="A610" s="696" t="s">
        <v>1297</v>
      </c>
      <c r="B610" s="689"/>
      <c r="C610" s="689"/>
      <c r="D610" s="689"/>
      <c r="E610" s="689"/>
      <c r="F610" s="689"/>
      <c r="G610" s="689"/>
      <c r="H610" s="689"/>
      <c r="I610" s="690"/>
    </row>
    <row r="611" spans="1:9" ht="13">
      <c r="A611" s="15" t="s">
        <v>1298</v>
      </c>
      <c r="B611" s="5" t="s">
        <v>1299</v>
      </c>
      <c r="C611" s="28" t="s">
        <v>1300</v>
      </c>
      <c r="D611" s="5">
        <v>2024</v>
      </c>
      <c r="E611" s="4">
        <v>12</v>
      </c>
      <c r="F611" s="5" t="s">
        <v>32</v>
      </c>
      <c r="G611" s="29">
        <v>156</v>
      </c>
      <c r="H611" s="26"/>
      <c r="I611" s="18">
        <v>1</v>
      </c>
    </row>
    <row r="612" spans="1:9" ht="13">
      <c r="A612" s="25" t="s">
        <v>1301</v>
      </c>
      <c r="B612" s="5" t="s">
        <v>1302</v>
      </c>
      <c r="C612" s="28" t="s">
        <v>67</v>
      </c>
      <c r="D612" s="5">
        <v>2022</v>
      </c>
      <c r="E612" s="4">
        <v>12</v>
      </c>
      <c r="F612" s="5" t="s">
        <v>32</v>
      </c>
      <c r="G612" s="29">
        <v>138</v>
      </c>
      <c r="H612" s="44"/>
      <c r="I612" s="19"/>
    </row>
    <row r="613" spans="1:9" ht="13">
      <c r="A613" s="15" t="s">
        <v>1303</v>
      </c>
      <c r="B613" s="5" t="s">
        <v>1304</v>
      </c>
      <c r="C613" s="28" t="s">
        <v>765</v>
      </c>
      <c r="D613" s="5">
        <v>2022</v>
      </c>
      <c r="E613" s="4">
        <v>12</v>
      </c>
      <c r="F613" s="5" t="s">
        <v>32</v>
      </c>
      <c r="G613" s="29">
        <v>156</v>
      </c>
      <c r="H613" s="44"/>
      <c r="I613" s="18">
        <v>1</v>
      </c>
    </row>
    <row r="614" spans="1:9" ht="13">
      <c r="A614" s="15" t="s">
        <v>1305</v>
      </c>
      <c r="B614" s="5" t="s">
        <v>1306</v>
      </c>
      <c r="C614" s="28" t="s">
        <v>4</v>
      </c>
      <c r="D614" s="5">
        <v>2020</v>
      </c>
      <c r="E614" s="4">
        <v>12</v>
      </c>
      <c r="F614" s="5" t="s">
        <v>32</v>
      </c>
      <c r="G614" s="29">
        <v>174</v>
      </c>
      <c r="H614" s="44"/>
      <c r="I614" s="19"/>
    </row>
    <row r="615" spans="1:9" ht="13">
      <c r="A615" s="15" t="s">
        <v>1307</v>
      </c>
      <c r="B615" s="5" t="s">
        <v>1306</v>
      </c>
      <c r="C615" s="28" t="s">
        <v>4</v>
      </c>
      <c r="D615" s="5">
        <v>2021</v>
      </c>
      <c r="E615" s="4">
        <v>12</v>
      </c>
      <c r="F615" s="5" t="s">
        <v>32</v>
      </c>
      <c r="G615" s="29">
        <v>162</v>
      </c>
      <c r="H615" s="44"/>
      <c r="I615" s="19"/>
    </row>
    <row r="616" spans="1:9" ht="13">
      <c r="A616" s="39" t="s">
        <v>1308</v>
      </c>
      <c r="B616" s="5" t="s">
        <v>1309</v>
      </c>
      <c r="C616" s="28" t="s">
        <v>67</v>
      </c>
      <c r="D616" s="5">
        <v>2015</v>
      </c>
      <c r="E616" s="4">
        <v>12</v>
      </c>
      <c r="F616" s="5" t="s">
        <v>32</v>
      </c>
      <c r="G616" s="29">
        <v>98</v>
      </c>
      <c r="H616" s="44"/>
      <c r="I616" s="19"/>
    </row>
    <row r="617" spans="1:9" ht="13">
      <c r="A617" s="25" t="s">
        <v>1310</v>
      </c>
      <c r="B617" s="5" t="s">
        <v>1311</v>
      </c>
      <c r="C617" s="28" t="s">
        <v>1312</v>
      </c>
      <c r="D617" s="5">
        <v>2024</v>
      </c>
      <c r="E617" s="4">
        <v>12</v>
      </c>
      <c r="F617" s="5" t="s">
        <v>32</v>
      </c>
      <c r="G617" s="29">
        <v>120</v>
      </c>
      <c r="H617" s="26"/>
      <c r="I617" s="18">
        <v>1</v>
      </c>
    </row>
    <row r="618" spans="1:9" ht="13">
      <c r="A618" s="25" t="s">
        <v>1310</v>
      </c>
      <c r="B618" s="5" t="s">
        <v>1313</v>
      </c>
      <c r="C618" s="28" t="s">
        <v>1314</v>
      </c>
      <c r="D618" s="5">
        <v>2023</v>
      </c>
      <c r="E618" s="4">
        <v>12</v>
      </c>
      <c r="F618" s="5" t="s">
        <v>32</v>
      </c>
      <c r="G618" s="29">
        <v>138</v>
      </c>
      <c r="H618" s="26"/>
      <c r="I618" s="18">
        <v>1</v>
      </c>
    </row>
    <row r="619" spans="1:9" ht="13">
      <c r="A619" s="25" t="s">
        <v>1315</v>
      </c>
      <c r="B619" s="58" t="s">
        <v>1316</v>
      </c>
      <c r="C619" s="28" t="s">
        <v>61</v>
      </c>
      <c r="D619" s="5">
        <v>2021</v>
      </c>
      <c r="E619" s="4">
        <v>12</v>
      </c>
      <c r="F619" s="5" t="s">
        <v>32</v>
      </c>
      <c r="G619" s="29">
        <v>132</v>
      </c>
      <c r="H619" s="44"/>
      <c r="I619" s="19"/>
    </row>
    <row r="620" spans="1:9" ht="13">
      <c r="A620" s="25" t="s">
        <v>1317</v>
      </c>
      <c r="B620" s="5" t="s">
        <v>1318</v>
      </c>
      <c r="C620" s="28" t="s">
        <v>225</v>
      </c>
      <c r="D620" s="5">
        <v>2023</v>
      </c>
      <c r="E620" s="4">
        <v>12</v>
      </c>
      <c r="F620" s="5" t="s">
        <v>32</v>
      </c>
      <c r="G620" s="29">
        <v>156</v>
      </c>
      <c r="H620" s="26"/>
      <c r="I620" s="18">
        <v>1</v>
      </c>
    </row>
    <row r="621" spans="1:9" ht="13">
      <c r="A621" s="25" t="s">
        <v>1319</v>
      </c>
      <c r="B621" s="5" t="s">
        <v>1318</v>
      </c>
      <c r="C621" s="28" t="s">
        <v>225</v>
      </c>
      <c r="D621" s="5">
        <v>2022</v>
      </c>
      <c r="E621" s="4">
        <v>12</v>
      </c>
      <c r="F621" s="5" t="s">
        <v>32</v>
      </c>
      <c r="G621" s="29">
        <v>144</v>
      </c>
      <c r="H621" s="44"/>
      <c r="I621" s="18">
        <v>1</v>
      </c>
    </row>
    <row r="622" spans="1:9" ht="13">
      <c r="A622" s="25" t="s">
        <v>1320</v>
      </c>
      <c r="B622" s="5" t="s">
        <v>1321</v>
      </c>
      <c r="C622" s="28" t="s">
        <v>1322</v>
      </c>
      <c r="D622" s="5">
        <v>2021</v>
      </c>
      <c r="E622" s="4">
        <v>12</v>
      </c>
      <c r="F622" s="5" t="s">
        <v>32</v>
      </c>
      <c r="G622" s="29">
        <v>150</v>
      </c>
      <c r="H622" s="44"/>
      <c r="I622" s="19"/>
    </row>
    <row r="623" spans="1:9" ht="13">
      <c r="A623" s="25" t="s">
        <v>1323</v>
      </c>
      <c r="B623" s="5" t="s">
        <v>1324</v>
      </c>
      <c r="C623" s="28" t="s">
        <v>52</v>
      </c>
      <c r="D623" s="5">
        <v>2021</v>
      </c>
      <c r="E623" s="4">
        <v>12</v>
      </c>
      <c r="F623" s="5" t="s">
        <v>32</v>
      </c>
      <c r="G623" s="29">
        <v>150</v>
      </c>
      <c r="H623" s="44"/>
      <c r="I623" s="19"/>
    </row>
    <row r="624" spans="1:9" ht="18">
      <c r="A624" s="694" t="s">
        <v>1325</v>
      </c>
      <c r="B624" s="689"/>
      <c r="C624" s="689"/>
      <c r="D624" s="689"/>
      <c r="E624" s="689"/>
      <c r="F624" s="689"/>
      <c r="G624" s="689"/>
      <c r="H624" s="689"/>
      <c r="I624" s="690"/>
    </row>
    <row r="625" spans="1:9" ht="13">
      <c r="A625" s="1" t="s">
        <v>1326</v>
      </c>
      <c r="B625" s="2" t="s">
        <v>1327</v>
      </c>
      <c r="C625" s="28" t="s">
        <v>133</v>
      </c>
      <c r="D625" s="2" t="s">
        <v>5</v>
      </c>
      <c r="E625" s="4">
        <v>12</v>
      </c>
      <c r="F625" s="5" t="s">
        <v>32</v>
      </c>
      <c r="G625" s="6">
        <v>174</v>
      </c>
      <c r="H625" s="26"/>
      <c r="I625" s="32"/>
    </row>
    <row r="626" spans="1:9" ht="13">
      <c r="A626" s="1" t="s">
        <v>1328</v>
      </c>
      <c r="B626" s="2" t="s">
        <v>1329</v>
      </c>
      <c r="C626" s="28" t="s">
        <v>1330</v>
      </c>
      <c r="D626" s="2" t="s">
        <v>5</v>
      </c>
      <c r="E626" s="4">
        <v>12</v>
      </c>
      <c r="F626" s="5" t="s">
        <v>32</v>
      </c>
      <c r="G626" s="6">
        <v>156</v>
      </c>
      <c r="H626" s="33"/>
      <c r="I626" s="30"/>
    </row>
    <row r="627" spans="1:9" ht="13">
      <c r="A627" s="1" t="s">
        <v>1331</v>
      </c>
      <c r="B627" s="2" t="s">
        <v>1332</v>
      </c>
      <c r="C627" s="28" t="s">
        <v>4</v>
      </c>
      <c r="D627" s="2" t="s">
        <v>5</v>
      </c>
      <c r="E627" s="4">
        <v>12</v>
      </c>
      <c r="F627" s="5" t="s">
        <v>32</v>
      </c>
      <c r="G627" s="6">
        <v>144</v>
      </c>
      <c r="H627" s="33"/>
      <c r="I627" s="30"/>
    </row>
    <row r="628" spans="1:9" ht="13">
      <c r="A628" s="37" t="s">
        <v>1333</v>
      </c>
      <c r="B628" s="2" t="s">
        <v>1334</v>
      </c>
      <c r="C628" s="28" t="s">
        <v>1335</v>
      </c>
      <c r="D628" s="2">
        <v>2018</v>
      </c>
      <c r="E628" s="4">
        <v>6</v>
      </c>
      <c r="F628" s="2" t="s">
        <v>32</v>
      </c>
      <c r="G628" s="6">
        <v>66</v>
      </c>
      <c r="H628" s="33"/>
      <c r="I628" s="30"/>
    </row>
    <row r="629" spans="1:9" ht="13">
      <c r="A629" s="14" t="s">
        <v>1336</v>
      </c>
      <c r="B629" s="2" t="s">
        <v>1337</v>
      </c>
      <c r="C629" s="28" t="s">
        <v>67</v>
      </c>
      <c r="D629" s="2">
        <v>2020</v>
      </c>
      <c r="E629" s="4">
        <v>12</v>
      </c>
      <c r="F629" s="5" t="s">
        <v>32</v>
      </c>
      <c r="G629" s="6">
        <v>132</v>
      </c>
      <c r="H629" s="33"/>
      <c r="I629" s="30"/>
    </row>
    <row r="630" spans="1:9" ht="13">
      <c r="A630" s="14" t="s">
        <v>1338</v>
      </c>
      <c r="B630" s="2" t="s">
        <v>1339</v>
      </c>
      <c r="C630" s="28" t="s">
        <v>307</v>
      </c>
      <c r="D630" s="2" t="s">
        <v>5</v>
      </c>
      <c r="E630" s="4">
        <v>12</v>
      </c>
      <c r="F630" s="5" t="s">
        <v>32</v>
      </c>
      <c r="G630" s="6">
        <v>138</v>
      </c>
      <c r="H630" s="26"/>
      <c r="I630" s="32"/>
    </row>
    <row r="631" spans="1:9" ht="13">
      <c r="A631" s="14" t="s">
        <v>1340</v>
      </c>
      <c r="B631" s="2" t="s">
        <v>1341</v>
      </c>
      <c r="C631" s="28" t="s">
        <v>1342</v>
      </c>
      <c r="D631" s="2" t="s">
        <v>5</v>
      </c>
      <c r="E631" s="4">
        <v>12</v>
      </c>
      <c r="F631" s="5" t="s">
        <v>32</v>
      </c>
      <c r="G631" s="6">
        <v>144</v>
      </c>
      <c r="H631" s="33"/>
      <c r="I631" s="30"/>
    </row>
    <row r="632" spans="1:9" ht="13">
      <c r="A632" s="14" t="s">
        <v>1343</v>
      </c>
      <c r="B632" s="2" t="s">
        <v>1344</v>
      </c>
      <c r="C632" s="28" t="s">
        <v>1345</v>
      </c>
      <c r="D632" s="2" t="s">
        <v>5</v>
      </c>
      <c r="E632" s="4">
        <v>12</v>
      </c>
      <c r="F632" s="5" t="s">
        <v>32</v>
      </c>
      <c r="G632" s="6">
        <v>150</v>
      </c>
      <c r="H632" s="26"/>
      <c r="I632" s="32"/>
    </row>
    <row r="633" spans="1:9" ht="13">
      <c r="A633" s="14" t="s">
        <v>1346</v>
      </c>
      <c r="B633" s="2" t="s">
        <v>1347</v>
      </c>
      <c r="C633" s="28" t="s">
        <v>52</v>
      </c>
      <c r="D633" s="2">
        <v>2019</v>
      </c>
      <c r="E633" s="4">
        <v>12</v>
      </c>
      <c r="F633" s="2" t="s">
        <v>32</v>
      </c>
      <c r="G633" s="6">
        <v>168</v>
      </c>
      <c r="H633" s="33"/>
      <c r="I633" s="30"/>
    </row>
    <row r="634" spans="1:9" ht="13">
      <c r="A634" s="14" t="s">
        <v>1348</v>
      </c>
      <c r="B634" s="2" t="s">
        <v>1349</v>
      </c>
      <c r="C634" s="28" t="s">
        <v>346</v>
      </c>
      <c r="D634" s="2" t="s">
        <v>5</v>
      </c>
      <c r="E634" s="4">
        <v>12</v>
      </c>
      <c r="F634" s="5" t="s">
        <v>32</v>
      </c>
      <c r="G634" s="6">
        <v>132</v>
      </c>
      <c r="H634" s="26"/>
      <c r="I634" s="30"/>
    </row>
    <row r="635" spans="1:9" ht="18">
      <c r="A635" s="694" t="s">
        <v>1350</v>
      </c>
      <c r="B635" s="689"/>
      <c r="C635" s="689"/>
      <c r="D635" s="689"/>
      <c r="E635" s="689"/>
      <c r="F635" s="689"/>
      <c r="G635" s="689"/>
      <c r="H635" s="689"/>
      <c r="I635" s="690"/>
    </row>
    <row r="636" spans="1:9" ht="13">
      <c r="A636" s="39" t="s">
        <v>1351</v>
      </c>
      <c r="B636" s="5" t="s">
        <v>1352</v>
      </c>
      <c r="C636" s="28" t="s">
        <v>52</v>
      </c>
      <c r="D636" s="5">
        <v>2023</v>
      </c>
      <c r="E636" s="4">
        <v>12</v>
      </c>
      <c r="F636" s="5" t="s">
        <v>32</v>
      </c>
      <c r="G636" s="29">
        <v>234</v>
      </c>
      <c r="H636" s="26"/>
      <c r="I636" s="13"/>
    </row>
    <row r="637" spans="1:9" ht="13">
      <c r="A637" s="39" t="s">
        <v>1353</v>
      </c>
      <c r="B637" s="5" t="s">
        <v>1354</v>
      </c>
      <c r="C637" s="28" t="s">
        <v>1355</v>
      </c>
      <c r="D637" s="5">
        <v>2022</v>
      </c>
      <c r="E637" s="4">
        <v>12</v>
      </c>
      <c r="F637" s="5" t="s">
        <v>32</v>
      </c>
      <c r="G637" s="29">
        <v>186</v>
      </c>
      <c r="H637" s="17"/>
      <c r="I637" s="13"/>
    </row>
    <row r="638" spans="1:9" ht="13">
      <c r="A638" s="15" t="s">
        <v>1356</v>
      </c>
      <c r="B638" s="5" t="s">
        <v>1357</v>
      </c>
      <c r="C638" s="28" t="s">
        <v>1358</v>
      </c>
      <c r="D638" s="5">
        <v>2022</v>
      </c>
      <c r="E638" s="4">
        <v>12</v>
      </c>
      <c r="F638" s="5" t="s">
        <v>32</v>
      </c>
      <c r="G638" s="29">
        <v>228</v>
      </c>
      <c r="H638" s="17"/>
      <c r="I638" s="30"/>
    </row>
    <row r="639" spans="1:9" ht="13">
      <c r="A639" s="15" t="s">
        <v>1359</v>
      </c>
      <c r="B639" s="5" t="s">
        <v>1360</v>
      </c>
      <c r="C639" s="28" t="s">
        <v>1358</v>
      </c>
      <c r="D639" s="5">
        <v>2022</v>
      </c>
      <c r="E639" s="4">
        <v>6</v>
      </c>
      <c r="F639" s="5" t="s">
        <v>304</v>
      </c>
      <c r="G639" s="29">
        <v>225</v>
      </c>
      <c r="H639" s="17"/>
      <c r="I639" s="30"/>
    </row>
    <row r="640" spans="1:9" ht="13">
      <c r="A640" s="15" t="s">
        <v>1356</v>
      </c>
      <c r="B640" s="5" t="s">
        <v>1361</v>
      </c>
      <c r="C640" s="28" t="s">
        <v>1362</v>
      </c>
      <c r="D640" s="5">
        <v>2021</v>
      </c>
      <c r="E640" s="4">
        <v>12</v>
      </c>
      <c r="F640" s="5" t="s">
        <v>32</v>
      </c>
      <c r="G640" s="29">
        <v>228</v>
      </c>
      <c r="H640" s="17"/>
      <c r="I640" s="30"/>
    </row>
    <row r="641" spans="1:9" ht="13">
      <c r="A641" s="15" t="s">
        <v>1359</v>
      </c>
      <c r="B641" s="5" t="s">
        <v>1363</v>
      </c>
      <c r="C641" s="28" t="s">
        <v>1362</v>
      </c>
      <c r="D641" s="5">
        <v>2021</v>
      </c>
      <c r="E641" s="4">
        <v>6</v>
      </c>
      <c r="F641" s="5" t="s">
        <v>304</v>
      </c>
      <c r="G641" s="29">
        <v>234</v>
      </c>
      <c r="H641" s="17"/>
      <c r="I641" s="30"/>
    </row>
    <row r="642" spans="1:9" ht="13">
      <c r="A642" s="39" t="s">
        <v>1364</v>
      </c>
      <c r="B642" s="5" t="s">
        <v>1365</v>
      </c>
      <c r="C642" s="28" t="s">
        <v>1366</v>
      </c>
      <c r="D642" s="5">
        <v>2023</v>
      </c>
      <c r="E642" s="4">
        <v>12</v>
      </c>
      <c r="F642" s="5" t="s">
        <v>32</v>
      </c>
      <c r="G642" s="29">
        <v>168</v>
      </c>
      <c r="H642" s="26"/>
      <c r="I642" s="13"/>
    </row>
    <row r="643" spans="1:9" ht="13">
      <c r="A643" s="39" t="s">
        <v>1367</v>
      </c>
      <c r="B643" s="5" t="s">
        <v>1368</v>
      </c>
      <c r="C643" s="28" t="s">
        <v>1369</v>
      </c>
      <c r="D643" s="5">
        <v>2023</v>
      </c>
      <c r="E643" s="4">
        <v>12</v>
      </c>
      <c r="F643" s="5" t="s">
        <v>32</v>
      </c>
      <c r="G643" s="29">
        <v>228</v>
      </c>
      <c r="H643" s="26"/>
      <c r="I643" s="13"/>
    </row>
    <row r="644" spans="1:9" ht="13">
      <c r="A644" s="124" t="s">
        <v>1370</v>
      </c>
      <c r="B644" s="5" t="s">
        <v>1371</v>
      </c>
      <c r="C644" s="28" t="s">
        <v>1372</v>
      </c>
      <c r="D644" s="5">
        <v>2020</v>
      </c>
      <c r="E644" s="4">
        <v>12</v>
      </c>
      <c r="F644" s="5" t="s">
        <v>564</v>
      </c>
      <c r="G644" s="29">
        <v>360</v>
      </c>
      <c r="H644" s="26"/>
      <c r="I644" s="32"/>
    </row>
    <row r="645" spans="1:9" ht="13">
      <c r="A645" s="124" t="s">
        <v>1373</v>
      </c>
      <c r="B645" s="5" t="s">
        <v>1374</v>
      </c>
      <c r="C645" s="28" t="s">
        <v>1375</v>
      </c>
      <c r="D645" s="5">
        <v>2019</v>
      </c>
      <c r="E645" s="4">
        <v>12</v>
      </c>
      <c r="F645" s="5" t="s">
        <v>564</v>
      </c>
      <c r="G645" s="29">
        <v>444</v>
      </c>
      <c r="H645" s="26"/>
      <c r="I645" s="13"/>
    </row>
    <row r="646" spans="1:9" ht="13">
      <c r="A646" s="124" t="s">
        <v>1376</v>
      </c>
      <c r="B646" s="5" t="s">
        <v>1377</v>
      </c>
      <c r="C646" s="28" t="s">
        <v>1378</v>
      </c>
      <c r="D646" s="5">
        <v>2017</v>
      </c>
      <c r="E646" s="4">
        <v>12</v>
      </c>
      <c r="F646" s="5" t="s">
        <v>564</v>
      </c>
      <c r="G646" s="29">
        <v>528</v>
      </c>
      <c r="H646" s="26"/>
      <c r="I646" s="8"/>
    </row>
    <row r="647" spans="1:9" ht="13">
      <c r="A647" s="124" t="s">
        <v>1379</v>
      </c>
      <c r="B647" s="5" t="s">
        <v>1380</v>
      </c>
      <c r="C647" s="28" t="s">
        <v>709</v>
      </c>
      <c r="D647" s="5">
        <v>2013</v>
      </c>
      <c r="E647" s="4">
        <v>12</v>
      </c>
      <c r="F647" s="5" t="s">
        <v>564</v>
      </c>
      <c r="G647" s="29">
        <v>774</v>
      </c>
      <c r="H647" s="26"/>
      <c r="I647" s="13"/>
    </row>
    <row r="648" spans="1:9" ht="13">
      <c r="A648" s="124" t="s">
        <v>1381</v>
      </c>
      <c r="B648" s="5" t="s">
        <v>1382</v>
      </c>
      <c r="C648" s="28" t="s">
        <v>709</v>
      </c>
      <c r="D648" s="5">
        <v>2019</v>
      </c>
      <c r="E648" s="4">
        <v>12</v>
      </c>
      <c r="F648" s="5" t="s">
        <v>564</v>
      </c>
      <c r="G648" s="29">
        <v>444</v>
      </c>
      <c r="H648" s="17"/>
      <c r="I648" s="74"/>
    </row>
    <row r="649" spans="1:9" ht="13">
      <c r="A649" s="124" t="s">
        <v>1383</v>
      </c>
      <c r="B649" s="5" t="s">
        <v>1384</v>
      </c>
      <c r="C649" s="28" t="s">
        <v>1385</v>
      </c>
      <c r="D649" s="5">
        <v>2018</v>
      </c>
      <c r="E649" s="4">
        <v>12</v>
      </c>
      <c r="F649" s="5" t="s">
        <v>564</v>
      </c>
      <c r="G649" s="29">
        <v>528</v>
      </c>
      <c r="H649" s="17"/>
      <c r="I649" s="13"/>
    </row>
    <row r="650" spans="1:9" ht="13">
      <c r="A650" s="124" t="s">
        <v>1353</v>
      </c>
      <c r="B650" s="5" t="s">
        <v>1386</v>
      </c>
      <c r="C650" s="28" t="s">
        <v>1387</v>
      </c>
      <c r="D650" s="5">
        <v>2020</v>
      </c>
      <c r="E650" s="4">
        <v>12</v>
      </c>
      <c r="F650" s="5" t="s">
        <v>564</v>
      </c>
      <c r="G650" s="29">
        <v>276</v>
      </c>
      <c r="H650" s="17"/>
      <c r="I650" s="74"/>
    </row>
    <row r="651" spans="1:9" ht="13">
      <c r="A651" s="124" t="s">
        <v>1388</v>
      </c>
      <c r="B651" s="5" t="s">
        <v>1389</v>
      </c>
      <c r="C651" s="28" t="s">
        <v>1390</v>
      </c>
      <c r="D651" s="5">
        <v>2020</v>
      </c>
      <c r="E651" s="4">
        <v>12</v>
      </c>
      <c r="F651" s="5" t="s">
        <v>564</v>
      </c>
      <c r="G651" s="29">
        <v>444</v>
      </c>
      <c r="H651" s="17"/>
      <c r="I651" s="13"/>
    </row>
    <row r="652" spans="1:9" ht="13">
      <c r="A652" s="121" t="s">
        <v>1391</v>
      </c>
      <c r="B652" s="2" t="s">
        <v>1392</v>
      </c>
      <c r="C652" s="28" t="s">
        <v>1393</v>
      </c>
      <c r="D652" s="2">
        <v>2019</v>
      </c>
      <c r="E652" s="4">
        <v>12</v>
      </c>
      <c r="F652" s="5" t="s">
        <v>564</v>
      </c>
      <c r="G652" s="6">
        <v>360</v>
      </c>
      <c r="H652" s="33"/>
      <c r="I652" s="32"/>
    </row>
    <row r="653" spans="1:9" ht="13">
      <c r="A653" s="14" t="s">
        <v>1394</v>
      </c>
      <c r="B653" s="2" t="s">
        <v>1395</v>
      </c>
      <c r="C653" s="28" t="s">
        <v>67</v>
      </c>
      <c r="D653" s="2">
        <v>2022</v>
      </c>
      <c r="E653" s="4">
        <v>12</v>
      </c>
      <c r="F653" s="5" t="s">
        <v>32</v>
      </c>
      <c r="G653" s="6">
        <v>276</v>
      </c>
      <c r="H653" s="26"/>
      <c r="I653" s="30"/>
    </row>
    <row r="654" spans="1:9" ht="13">
      <c r="A654" s="14" t="s">
        <v>1396</v>
      </c>
      <c r="B654" s="2" t="s">
        <v>1397</v>
      </c>
      <c r="C654" s="28" t="s">
        <v>307</v>
      </c>
      <c r="D654" s="2">
        <v>2021</v>
      </c>
      <c r="E654" s="4">
        <v>12</v>
      </c>
      <c r="F654" s="5" t="s">
        <v>32</v>
      </c>
      <c r="G654" s="6">
        <v>276</v>
      </c>
      <c r="H654" s="33"/>
      <c r="I654" s="30"/>
    </row>
    <row r="655" spans="1:9" ht="13">
      <c r="A655" s="14" t="s">
        <v>1398</v>
      </c>
      <c r="B655" s="2" t="s">
        <v>1399</v>
      </c>
      <c r="C655" s="28" t="s">
        <v>1400</v>
      </c>
      <c r="D655" s="2">
        <v>2019</v>
      </c>
      <c r="E655" s="4">
        <v>12</v>
      </c>
      <c r="F655" s="5" t="s">
        <v>32</v>
      </c>
      <c r="G655" s="6">
        <v>276</v>
      </c>
      <c r="H655" s="33"/>
      <c r="I655" s="30"/>
    </row>
    <row r="656" spans="1:9" ht="13">
      <c r="A656" s="14" t="s">
        <v>1401</v>
      </c>
      <c r="B656" s="2" t="s">
        <v>1399</v>
      </c>
      <c r="C656" s="28" t="s">
        <v>1400</v>
      </c>
      <c r="D656" s="2">
        <v>2020</v>
      </c>
      <c r="E656" s="4">
        <v>12</v>
      </c>
      <c r="F656" s="5" t="s">
        <v>32</v>
      </c>
      <c r="G656" s="6">
        <v>276</v>
      </c>
      <c r="H656" s="33"/>
      <c r="I656" s="30"/>
    </row>
    <row r="657" spans="1:9" ht="18">
      <c r="A657" s="696" t="s">
        <v>1402</v>
      </c>
      <c r="B657" s="689"/>
      <c r="C657" s="689"/>
      <c r="D657" s="689"/>
      <c r="E657" s="689"/>
      <c r="F657" s="689"/>
      <c r="G657" s="689"/>
      <c r="H657" s="689"/>
      <c r="I657" s="690"/>
    </row>
    <row r="658" spans="1:9" ht="13">
      <c r="A658" s="1" t="s">
        <v>1403</v>
      </c>
      <c r="B658" s="5" t="s">
        <v>1404</v>
      </c>
      <c r="C658" s="28" t="s">
        <v>4</v>
      </c>
      <c r="D658" s="5">
        <v>2024</v>
      </c>
      <c r="E658" s="4">
        <v>12</v>
      </c>
      <c r="F658" s="5" t="s">
        <v>32</v>
      </c>
      <c r="G658" s="29">
        <v>138</v>
      </c>
      <c r="H658" s="26"/>
      <c r="I658" s="18"/>
    </row>
    <row r="659" spans="1:9" ht="13">
      <c r="A659" s="1" t="s">
        <v>1405</v>
      </c>
      <c r="B659" s="5" t="s">
        <v>1406</v>
      </c>
      <c r="C659" s="28" t="s">
        <v>765</v>
      </c>
      <c r="D659" s="5">
        <v>2023</v>
      </c>
      <c r="E659" s="4">
        <v>12</v>
      </c>
      <c r="F659" s="5" t="s">
        <v>32</v>
      </c>
      <c r="G659" s="29">
        <v>126</v>
      </c>
      <c r="H659" s="33"/>
      <c r="I659" s="19"/>
    </row>
    <row r="660" spans="1:9" ht="13">
      <c r="A660" s="1" t="s">
        <v>1407</v>
      </c>
      <c r="B660" s="5" t="s">
        <v>1408</v>
      </c>
      <c r="C660" s="28" t="s">
        <v>1409</v>
      </c>
      <c r="D660" s="5">
        <v>2022</v>
      </c>
      <c r="E660" s="4">
        <v>12</v>
      </c>
      <c r="F660" s="5" t="s">
        <v>32</v>
      </c>
      <c r="G660" s="29">
        <v>126</v>
      </c>
      <c r="H660" s="33"/>
      <c r="I660" s="19"/>
    </row>
    <row r="661" spans="1:9" ht="13">
      <c r="A661" s="39" t="s">
        <v>1410</v>
      </c>
      <c r="B661" s="5" t="s">
        <v>1411</v>
      </c>
      <c r="C661" s="28" t="s">
        <v>1412</v>
      </c>
      <c r="D661" s="5">
        <v>2024</v>
      </c>
      <c r="E661" s="4">
        <v>12</v>
      </c>
      <c r="F661" s="5" t="s">
        <v>32</v>
      </c>
      <c r="G661" s="29">
        <v>120</v>
      </c>
      <c r="H661" s="26"/>
      <c r="I661" s="18"/>
    </row>
    <row r="662" spans="1:9" ht="13">
      <c r="A662" s="39" t="s">
        <v>1413</v>
      </c>
      <c r="B662" s="5" t="s">
        <v>1414</v>
      </c>
      <c r="C662" s="28" t="s">
        <v>1415</v>
      </c>
      <c r="D662" s="5">
        <v>2023</v>
      </c>
      <c r="E662" s="4">
        <v>12</v>
      </c>
      <c r="F662" s="5" t="s">
        <v>32</v>
      </c>
      <c r="G662" s="29">
        <v>114</v>
      </c>
      <c r="H662" s="33"/>
      <c r="I662" s="19"/>
    </row>
    <row r="663" spans="1:9" ht="13">
      <c r="A663" s="14" t="s">
        <v>1416</v>
      </c>
      <c r="B663" s="5" t="s">
        <v>1417</v>
      </c>
      <c r="C663" s="28" t="s">
        <v>52</v>
      </c>
      <c r="D663" s="5">
        <v>2023</v>
      </c>
      <c r="E663" s="4">
        <v>12</v>
      </c>
      <c r="F663" s="5" t="s">
        <v>32</v>
      </c>
      <c r="G663" s="29">
        <v>138</v>
      </c>
      <c r="H663" s="26"/>
      <c r="I663" s="18"/>
    </row>
    <row r="664" spans="1:9" ht="13">
      <c r="A664" s="14" t="s">
        <v>1418</v>
      </c>
      <c r="B664" s="5" t="s">
        <v>1419</v>
      </c>
      <c r="C664" s="28" t="s">
        <v>67</v>
      </c>
      <c r="D664" s="5">
        <v>2023</v>
      </c>
      <c r="E664" s="4">
        <v>12</v>
      </c>
      <c r="F664" s="5" t="s">
        <v>32</v>
      </c>
      <c r="G664" s="29">
        <v>120</v>
      </c>
      <c r="H664" s="33"/>
      <c r="I664" s="19"/>
    </row>
    <row r="665" spans="1:9" ht="13">
      <c r="A665" s="14" t="s">
        <v>1420</v>
      </c>
      <c r="B665" s="5" t="s">
        <v>1421</v>
      </c>
      <c r="C665" s="28" t="s">
        <v>61</v>
      </c>
      <c r="D665" s="5">
        <v>2023</v>
      </c>
      <c r="E665" s="4">
        <v>12</v>
      </c>
      <c r="F665" s="5" t="s">
        <v>32</v>
      </c>
      <c r="G665" s="29">
        <v>120</v>
      </c>
      <c r="H665" s="33"/>
      <c r="I665" s="19"/>
    </row>
    <row r="666" spans="1:9" ht="23">
      <c r="A666" s="693" t="s">
        <v>1422</v>
      </c>
      <c r="B666" s="689"/>
      <c r="C666" s="689"/>
      <c r="D666" s="689"/>
      <c r="E666" s="689"/>
      <c r="F666" s="689"/>
      <c r="G666" s="689"/>
      <c r="H666" s="689"/>
      <c r="I666" s="690"/>
    </row>
    <row r="667" spans="1:9" ht="18">
      <c r="A667" s="694" t="s">
        <v>1423</v>
      </c>
      <c r="B667" s="689"/>
      <c r="C667" s="689"/>
      <c r="D667" s="689"/>
      <c r="E667" s="689"/>
      <c r="F667" s="689"/>
      <c r="G667" s="689"/>
      <c r="H667" s="689"/>
      <c r="I667" s="690"/>
    </row>
    <row r="668" spans="1:9" ht="13">
      <c r="A668" s="37" t="s">
        <v>1424</v>
      </c>
      <c r="B668" s="2" t="s">
        <v>1425</v>
      </c>
      <c r="C668" s="28" t="s">
        <v>111</v>
      </c>
      <c r="D668" s="2" t="s">
        <v>5</v>
      </c>
      <c r="E668" s="4">
        <v>12</v>
      </c>
      <c r="F668" s="5" t="s">
        <v>32</v>
      </c>
      <c r="G668" s="6">
        <v>156</v>
      </c>
      <c r="H668" s="33"/>
      <c r="I668" s="125"/>
    </row>
    <row r="669" spans="1:9" ht="13">
      <c r="A669" s="14" t="s">
        <v>1426</v>
      </c>
      <c r="B669" s="2" t="s">
        <v>1427</v>
      </c>
      <c r="C669" s="28" t="s">
        <v>1428</v>
      </c>
      <c r="D669" s="2" t="s">
        <v>5</v>
      </c>
      <c r="E669" s="4">
        <v>12</v>
      </c>
      <c r="F669" s="5" t="s">
        <v>32</v>
      </c>
      <c r="G669" s="6">
        <v>156</v>
      </c>
      <c r="H669" s="33"/>
      <c r="I669" s="126"/>
    </row>
    <row r="670" spans="1:9" ht="13">
      <c r="A670" s="14" t="s">
        <v>1429</v>
      </c>
      <c r="B670" s="2" t="s">
        <v>1430</v>
      </c>
      <c r="C670" s="28" t="s">
        <v>1431</v>
      </c>
      <c r="D670" s="2">
        <v>2018</v>
      </c>
      <c r="E670" s="4">
        <v>12</v>
      </c>
      <c r="F670" s="5" t="s">
        <v>32</v>
      </c>
      <c r="G670" s="6">
        <v>180</v>
      </c>
      <c r="H670" s="33"/>
      <c r="I670" s="126"/>
    </row>
    <row r="671" spans="1:9" ht="13">
      <c r="A671" s="14" t="s">
        <v>1432</v>
      </c>
      <c r="B671" s="2" t="s">
        <v>1433</v>
      </c>
      <c r="C671" s="28" t="s">
        <v>1431</v>
      </c>
      <c r="D671" s="2">
        <v>2021</v>
      </c>
      <c r="E671" s="4">
        <v>12</v>
      </c>
      <c r="F671" s="5" t="s">
        <v>32</v>
      </c>
      <c r="G671" s="6">
        <v>180</v>
      </c>
      <c r="H671" s="33"/>
      <c r="I671" s="18">
        <v>1</v>
      </c>
    </row>
    <row r="672" spans="1:9" ht="13">
      <c r="A672" s="14" t="s">
        <v>1434</v>
      </c>
      <c r="B672" s="2" t="s">
        <v>1435</v>
      </c>
      <c r="C672" s="28" t="s">
        <v>1431</v>
      </c>
      <c r="D672" s="2">
        <v>2023</v>
      </c>
      <c r="E672" s="4">
        <v>12</v>
      </c>
      <c r="F672" s="5" t="s">
        <v>32</v>
      </c>
      <c r="G672" s="6">
        <v>156</v>
      </c>
      <c r="H672" s="26"/>
      <c r="I672" s="18">
        <v>1</v>
      </c>
    </row>
    <row r="673" spans="1:9" ht="13">
      <c r="A673" s="14" t="s">
        <v>1436</v>
      </c>
      <c r="B673" s="2" t="s">
        <v>1435</v>
      </c>
      <c r="C673" s="28" t="s">
        <v>1431</v>
      </c>
      <c r="D673" s="2">
        <v>2022</v>
      </c>
      <c r="E673" s="4">
        <v>12</v>
      </c>
      <c r="F673" s="5" t="s">
        <v>32</v>
      </c>
      <c r="G673" s="6">
        <v>168</v>
      </c>
      <c r="H673" s="33"/>
      <c r="I673" s="18">
        <v>1</v>
      </c>
    </row>
    <row r="674" spans="1:9" ht="13">
      <c r="A674" s="37" t="s">
        <v>1437</v>
      </c>
      <c r="B674" s="2" t="s">
        <v>1438</v>
      </c>
      <c r="C674" s="28" t="s">
        <v>1439</v>
      </c>
      <c r="D674" s="2" t="s">
        <v>5</v>
      </c>
      <c r="E674" s="4">
        <v>12</v>
      </c>
      <c r="F674" s="5" t="s">
        <v>32</v>
      </c>
      <c r="G674" s="6">
        <v>174</v>
      </c>
      <c r="H674" s="33"/>
      <c r="I674" s="126"/>
    </row>
    <row r="675" spans="1:9" ht="13">
      <c r="A675" s="14" t="s">
        <v>1440</v>
      </c>
      <c r="B675" s="2" t="s">
        <v>1441</v>
      </c>
      <c r="C675" s="28" t="s">
        <v>61</v>
      </c>
      <c r="D675" s="2" t="s">
        <v>5</v>
      </c>
      <c r="E675" s="4">
        <v>12</v>
      </c>
      <c r="F675" s="5" t="s">
        <v>32</v>
      </c>
      <c r="G675" s="6">
        <v>156</v>
      </c>
      <c r="H675" s="33"/>
      <c r="I675" s="19"/>
    </row>
    <row r="676" spans="1:9" ht="13">
      <c r="A676" s="14" t="s">
        <v>1442</v>
      </c>
      <c r="B676" s="2" t="s">
        <v>1443</v>
      </c>
      <c r="C676" s="28" t="s">
        <v>111</v>
      </c>
      <c r="D676" s="2" t="s">
        <v>5</v>
      </c>
      <c r="E676" s="4">
        <v>12</v>
      </c>
      <c r="F676" s="5" t="s">
        <v>32</v>
      </c>
      <c r="G676" s="6">
        <v>198</v>
      </c>
      <c r="H676" s="33"/>
      <c r="I676" s="18">
        <v>1</v>
      </c>
    </row>
    <row r="677" spans="1:9" ht="13">
      <c r="A677" s="14" t="s">
        <v>1444</v>
      </c>
      <c r="B677" s="2" t="s">
        <v>1445</v>
      </c>
      <c r="C677" s="28" t="s">
        <v>96</v>
      </c>
      <c r="D677" s="2" t="s">
        <v>5</v>
      </c>
      <c r="E677" s="4">
        <v>12</v>
      </c>
      <c r="F677" s="5" t="s">
        <v>32</v>
      </c>
      <c r="G677" s="6">
        <v>258</v>
      </c>
      <c r="H677" s="33"/>
      <c r="I677" s="18">
        <v>1</v>
      </c>
    </row>
    <row r="678" spans="1:9" ht="13">
      <c r="A678" s="14" t="s">
        <v>1446</v>
      </c>
      <c r="B678" s="2" t="s">
        <v>1447</v>
      </c>
      <c r="C678" s="28" t="s">
        <v>96</v>
      </c>
      <c r="D678" s="2" t="s">
        <v>5</v>
      </c>
      <c r="E678" s="4">
        <v>12</v>
      </c>
      <c r="F678" s="5" t="s">
        <v>32</v>
      </c>
      <c r="G678" s="6">
        <v>234</v>
      </c>
      <c r="H678" s="33"/>
      <c r="I678" s="18">
        <v>1</v>
      </c>
    </row>
    <row r="679" spans="1:9" ht="13">
      <c r="A679" s="14" t="s">
        <v>1448</v>
      </c>
      <c r="B679" s="2" t="s">
        <v>1449</v>
      </c>
      <c r="C679" s="28" t="s">
        <v>1450</v>
      </c>
      <c r="D679" s="2" t="s">
        <v>5</v>
      </c>
      <c r="E679" s="4">
        <v>12</v>
      </c>
      <c r="F679" s="5" t="s">
        <v>32</v>
      </c>
      <c r="G679" s="6">
        <v>144</v>
      </c>
      <c r="H679" s="33"/>
      <c r="I679" s="126"/>
    </row>
    <row r="680" spans="1:9" ht="13">
      <c r="A680" s="37" t="s">
        <v>1451</v>
      </c>
      <c r="B680" s="2" t="s">
        <v>1452</v>
      </c>
      <c r="C680" s="28" t="s">
        <v>1453</v>
      </c>
      <c r="D680" s="2" t="s">
        <v>5</v>
      </c>
      <c r="E680" s="4">
        <v>12</v>
      </c>
      <c r="F680" s="5" t="s">
        <v>32</v>
      </c>
      <c r="G680" s="6">
        <v>144</v>
      </c>
      <c r="H680" s="33"/>
      <c r="I680" s="126"/>
    </row>
    <row r="681" spans="1:9" ht="13">
      <c r="A681" s="14" t="s">
        <v>1454</v>
      </c>
      <c r="B681" s="2" t="s">
        <v>1455</v>
      </c>
      <c r="C681" s="28" t="s">
        <v>1456</v>
      </c>
      <c r="D681" s="2" t="s">
        <v>5</v>
      </c>
      <c r="E681" s="4">
        <v>12</v>
      </c>
      <c r="F681" s="5" t="s">
        <v>32</v>
      </c>
      <c r="G681" s="6">
        <v>162</v>
      </c>
      <c r="H681" s="33"/>
      <c r="I681" s="126"/>
    </row>
    <row r="682" spans="1:9" ht="13">
      <c r="A682" s="37" t="s">
        <v>1457</v>
      </c>
      <c r="B682" s="2" t="s">
        <v>1458</v>
      </c>
      <c r="C682" s="28" t="s">
        <v>307</v>
      </c>
      <c r="D682" s="2" t="s">
        <v>5</v>
      </c>
      <c r="E682" s="4">
        <v>12</v>
      </c>
      <c r="F682" s="5" t="s">
        <v>32</v>
      </c>
      <c r="G682" s="6">
        <v>162</v>
      </c>
      <c r="H682" s="33"/>
      <c r="I682" s="126"/>
    </row>
    <row r="683" spans="1:9" ht="13">
      <c r="A683" s="1" t="s">
        <v>1459</v>
      </c>
      <c r="B683" s="2" t="s">
        <v>1460</v>
      </c>
      <c r="C683" s="28" t="s">
        <v>1461</v>
      </c>
      <c r="D683" s="2">
        <v>2022</v>
      </c>
      <c r="E683" s="4">
        <v>12</v>
      </c>
      <c r="F683" s="5" t="s">
        <v>32</v>
      </c>
      <c r="G683" s="6">
        <v>156</v>
      </c>
      <c r="H683" s="33"/>
      <c r="I683" s="126"/>
    </row>
    <row r="684" spans="1:9" ht="13">
      <c r="A684" s="10" t="s">
        <v>1462</v>
      </c>
      <c r="B684" s="2" t="s">
        <v>1463</v>
      </c>
      <c r="C684" s="28" t="s">
        <v>1464</v>
      </c>
      <c r="D684" s="2">
        <v>2024</v>
      </c>
      <c r="E684" s="4">
        <v>12</v>
      </c>
      <c r="F684" s="5" t="s">
        <v>32</v>
      </c>
      <c r="G684" s="6">
        <v>156</v>
      </c>
      <c r="H684" s="26"/>
      <c r="I684" s="127"/>
    </row>
    <row r="685" spans="1:9" ht="13">
      <c r="A685" s="14" t="s">
        <v>1465</v>
      </c>
      <c r="B685" s="2" t="s">
        <v>1466</v>
      </c>
      <c r="C685" s="28" t="s">
        <v>1467</v>
      </c>
      <c r="D685" s="2">
        <v>2023</v>
      </c>
      <c r="E685" s="4">
        <v>12</v>
      </c>
      <c r="F685" s="5" t="s">
        <v>32</v>
      </c>
      <c r="G685" s="6">
        <v>138</v>
      </c>
      <c r="H685" s="26"/>
      <c r="I685" s="127"/>
    </row>
    <row r="686" spans="1:9" ht="23">
      <c r="A686" s="711" t="s">
        <v>1468</v>
      </c>
      <c r="B686" s="689"/>
      <c r="C686" s="689"/>
      <c r="D686" s="689"/>
      <c r="E686" s="689"/>
      <c r="F686" s="689"/>
      <c r="G686" s="689"/>
      <c r="H686" s="689"/>
      <c r="I686" s="690"/>
    </row>
    <row r="687" spans="1:9" ht="18">
      <c r="A687" s="694" t="s">
        <v>1469</v>
      </c>
      <c r="B687" s="689"/>
      <c r="C687" s="689"/>
      <c r="D687" s="689"/>
      <c r="E687" s="689"/>
      <c r="F687" s="689"/>
      <c r="G687" s="689"/>
      <c r="H687" s="689"/>
      <c r="I687" s="690"/>
    </row>
    <row r="688" spans="1:9" ht="13">
      <c r="A688" s="1" t="s">
        <v>1470</v>
      </c>
      <c r="B688" s="5" t="s">
        <v>1471</v>
      </c>
      <c r="C688" s="128" t="s">
        <v>4</v>
      </c>
      <c r="D688" s="5">
        <v>2023</v>
      </c>
      <c r="E688" s="4">
        <v>12</v>
      </c>
      <c r="F688" s="5" t="s">
        <v>32</v>
      </c>
      <c r="G688" s="29">
        <v>276</v>
      </c>
      <c r="H688" s="23"/>
      <c r="I688" s="129"/>
    </row>
    <row r="689" spans="1:9" ht="13">
      <c r="A689" s="1" t="s">
        <v>1459</v>
      </c>
      <c r="B689" s="5" t="s">
        <v>1472</v>
      </c>
      <c r="C689" s="128" t="s">
        <v>1473</v>
      </c>
      <c r="D689" s="5">
        <v>2023</v>
      </c>
      <c r="E689" s="4">
        <v>12</v>
      </c>
      <c r="F689" s="5" t="s">
        <v>32</v>
      </c>
      <c r="G689" s="29">
        <v>276</v>
      </c>
      <c r="H689" s="23"/>
      <c r="I689" s="129"/>
    </row>
    <row r="690" spans="1:9" ht="13">
      <c r="A690" s="15" t="s">
        <v>1474</v>
      </c>
      <c r="B690" s="5" t="s">
        <v>1475</v>
      </c>
      <c r="C690" s="28" t="s">
        <v>133</v>
      </c>
      <c r="D690" s="5">
        <v>2023</v>
      </c>
      <c r="E690" s="4">
        <v>12</v>
      </c>
      <c r="F690" s="5" t="s">
        <v>32</v>
      </c>
      <c r="G690" s="29">
        <v>228</v>
      </c>
      <c r="H690" s="23"/>
      <c r="I690" s="129"/>
    </row>
    <row r="691" spans="1:9" ht="13">
      <c r="A691" s="15" t="s">
        <v>1476</v>
      </c>
      <c r="B691" s="5" t="s">
        <v>1477</v>
      </c>
      <c r="C691" s="28" t="s">
        <v>1478</v>
      </c>
      <c r="D691" s="5">
        <v>2023</v>
      </c>
      <c r="E691" s="4">
        <v>12</v>
      </c>
      <c r="F691" s="5" t="s">
        <v>32</v>
      </c>
      <c r="G691" s="29">
        <v>228</v>
      </c>
      <c r="H691" s="23"/>
      <c r="I691" s="129"/>
    </row>
    <row r="692" spans="1:9" ht="13">
      <c r="A692" s="54" t="s">
        <v>1479</v>
      </c>
      <c r="B692" s="5" t="s">
        <v>1480</v>
      </c>
      <c r="C692" s="128" t="s">
        <v>1481</v>
      </c>
      <c r="D692" s="5">
        <v>2021</v>
      </c>
      <c r="E692" s="4">
        <v>12</v>
      </c>
      <c r="F692" s="5" t="s">
        <v>32</v>
      </c>
      <c r="G692" s="29">
        <v>246</v>
      </c>
      <c r="H692" s="17"/>
      <c r="I692" s="130"/>
    </row>
    <row r="693" spans="1:9" ht="13">
      <c r="A693" s="54" t="s">
        <v>1482</v>
      </c>
      <c r="B693" s="5" t="s">
        <v>1483</v>
      </c>
      <c r="C693" s="28" t="s">
        <v>1484</v>
      </c>
      <c r="D693" s="5">
        <v>2023</v>
      </c>
      <c r="E693" s="4">
        <v>12</v>
      </c>
      <c r="F693" s="5" t="s">
        <v>32</v>
      </c>
      <c r="G693" s="29">
        <v>228</v>
      </c>
      <c r="H693" s="23"/>
      <c r="I693" s="129"/>
    </row>
    <row r="694" spans="1:9" ht="13">
      <c r="A694" s="54" t="s">
        <v>1485</v>
      </c>
      <c r="B694" s="5" t="s">
        <v>1486</v>
      </c>
      <c r="C694" s="28" t="s">
        <v>133</v>
      </c>
      <c r="D694" s="2">
        <v>2020</v>
      </c>
      <c r="E694" s="4">
        <v>12</v>
      </c>
      <c r="F694" s="5" t="s">
        <v>32</v>
      </c>
      <c r="G694" s="29">
        <v>288</v>
      </c>
      <c r="H694" s="17"/>
      <c r="I694" s="130"/>
    </row>
    <row r="695" spans="1:9" ht="13">
      <c r="A695" s="25" t="s">
        <v>1487</v>
      </c>
      <c r="B695" s="5" t="s">
        <v>1488</v>
      </c>
      <c r="C695" s="28" t="s">
        <v>1489</v>
      </c>
      <c r="D695" s="5">
        <v>2021</v>
      </c>
      <c r="E695" s="4">
        <v>12</v>
      </c>
      <c r="F695" s="5" t="s">
        <v>32</v>
      </c>
      <c r="G695" s="29">
        <v>246</v>
      </c>
      <c r="H695" s="17"/>
      <c r="I695" s="130"/>
    </row>
    <row r="696" spans="1:9" ht="13">
      <c r="A696" s="25" t="s">
        <v>1490</v>
      </c>
      <c r="B696" s="5" t="s">
        <v>1491</v>
      </c>
      <c r="C696" s="28" t="s">
        <v>1492</v>
      </c>
      <c r="D696" s="2">
        <v>2019</v>
      </c>
      <c r="E696" s="4">
        <v>12</v>
      </c>
      <c r="F696" s="5" t="s">
        <v>32</v>
      </c>
      <c r="G696" s="29">
        <v>282</v>
      </c>
      <c r="H696" s="17"/>
      <c r="I696" s="130"/>
    </row>
    <row r="697" spans="1:9" ht="13">
      <c r="A697" s="40" t="s">
        <v>1493</v>
      </c>
      <c r="B697" s="5" t="s">
        <v>1494</v>
      </c>
      <c r="C697" s="28" t="s">
        <v>111</v>
      </c>
      <c r="D697" s="5">
        <v>2023</v>
      </c>
      <c r="E697" s="4">
        <v>12</v>
      </c>
      <c r="F697" s="5" t="s">
        <v>32</v>
      </c>
      <c r="G697" s="29">
        <v>276</v>
      </c>
      <c r="H697" s="23"/>
      <c r="I697" s="19"/>
    </row>
    <row r="698" spans="1:9" ht="13">
      <c r="A698" s="25" t="s">
        <v>1495</v>
      </c>
      <c r="B698" s="5" t="s">
        <v>1496</v>
      </c>
      <c r="C698" s="28" t="s">
        <v>52</v>
      </c>
      <c r="D698" s="5">
        <v>2023</v>
      </c>
      <c r="E698" s="4">
        <v>12</v>
      </c>
      <c r="F698" s="5" t="s">
        <v>32</v>
      </c>
      <c r="G698" s="29">
        <v>276</v>
      </c>
      <c r="H698" s="23"/>
      <c r="I698" s="18"/>
    </row>
    <row r="699" spans="1:9" ht="13">
      <c r="A699" s="25" t="s">
        <v>1497</v>
      </c>
      <c r="B699" s="5" t="s">
        <v>1498</v>
      </c>
      <c r="C699" s="28" t="s">
        <v>225</v>
      </c>
      <c r="D699" s="5">
        <v>2021</v>
      </c>
      <c r="E699" s="4">
        <v>12</v>
      </c>
      <c r="F699" s="5" t="s">
        <v>32</v>
      </c>
      <c r="G699" s="29">
        <v>252</v>
      </c>
      <c r="H699" s="17"/>
      <c r="I699" s="130"/>
    </row>
    <row r="700" spans="1:9" ht="13">
      <c r="A700" s="25" t="s">
        <v>1499</v>
      </c>
      <c r="B700" s="5" t="s">
        <v>1500</v>
      </c>
      <c r="C700" s="28" t="s">
        <v>1501</v>
      </c>
      <c r="D700" s="2">
        <v>2020</v>
      </c>
      <c r="E700" s="4">
        <v>12</v>
      </c>
      <c r="F700" s="5" t="s">
        <v>32</v>
      </c>
      <c r="G700" s="29">
        <v>252</v>
      </c>
      <c r="H700" s="17"/>
      <c r="I700" s="130"/>
    </row>
    <row r="701" spans="1:9" ht="18">
      <c r="A701" s="694" t="s">
        <v>1502</v>
      </c>
      <c r="B701" s="689"/>
      <c r="C701" s="689"/>
      <c r="D701" s="689"/>
      <c r="E701" s="689"/>
      <c r="F701" s="689"/>
      <c r="G701" s="689"/>
      <c r="H701" s="689"/>
      <c r="I701" s="690"/>
    </row>
    <row r="702" spans="1:9" ht="13">
      <c r="A702" s="15" t="s">
        <v>1503</v>
      </c>
      <c r="B702" s="5" t="s">
        <v>1504</v>
      </c>
      <c r="C702" s="28" t="s">
        <v>1505</v>
      </c>
      <c r="D702" s="2">
        <v>2018</v>
      </c>
      <c r="E702" s="4">
        <v>12</v>
      </c>
      <c r="F702" s="5" t="s">
        <v>32</v>
      </c>
      <c r="G702" s="29">
        <v>246</v>
      </c>
      <c r="H702" s="44"/>
      <c r="I702" s="30"/>
    </row>
    <row r="703" spans="1:9" ht="13">
      <c r="A703" s="15" t="s">
        <v>1506</v>
      </c>
      <c r="B703" s="5" t="s">
        <v>1507</v>
      </c>
      <c r="C703" s="28" t="s">
        <v>1505</v>
      </c>
      <c r="D703" s="2">
        <v>2018</v>
      </c>
      <c r="E703" s="4">
        <v>6</v>
      </c>
      <c r="F703" s="2" t="s">
        <v>304</v>
      </c>
      <c r="G703" s="29">
        <v>258</v>
      </c>
      <c r="H703" s="44"/>
      <c r="I703" s="30"/>
    </row>
    <row r="704" spans="1:9" ht="13">
      <c r="A704" s="54" t="s">
        <v>1508</v>
      </c>
      <c r="B704" s="5" t="s">
        <v>1509</v>
      </c>
      <c r="C704" s="28" t="s">
        <v>1510</v>
      </c>
      <c r="D704" s="2">
        <v>2020</v>
      </c>
      <c r="E704" s="4">
        <v>12</v>
      </c>
      <c r="F704" s="5" t="s">
        <v>32</v>
      </c>
      <c r="G704" s="60">
        <v>144</v>
      </c>
      <c r="H704" s="104" t="s">
        <v>1511</v>
      </c>
      <c r="I704" s="13"/>
    </row>
    <row r="705" spans="1:9" ht="13">
      <c r="A705" s="54" t="s">
        <v>1512</v>
      </c>
      <c r="B705" s="5" t="s">
        <v>1513</v>
      </c>
      <c r="C705" s="28" t="s">
        <v>709</v>
      </c>
      <c r="D705" s="2">
        <v>2020</v>
      </c>
      <c r="E705" s="4">
        <v>12</v>
      </c>
      <c r="F705" s="5" t="s">
        <v>32</v>
      </c>
      <c r="G705" s="60">
        <v>180</v>
      </c>
      <c r="H705" s="104" t="s">
        <v>1514</v>
      </c>
      <c r="I705" s="13"/>
    </row>
    <row r="706" spans="1:9" ht="13">
      <c r="A706" s="35" t="s">
        <v>1515</v>
      </c>
      <c r="B706" s="2" t="s">
        <v>1516</v>
      </c>
      <c r="C706" s="28" t="s">
        <v>1517</v>
      </c>
      <c r="D706" s="2">
        <v>2018</v>
      </c>
      <c r="E706" s="4">
        <v>12</v>
      </c>
      <c r="F706" s="5" t="s">
        <v>32</v>
      </c>
      <c r="G706" s="60">
        <v>180</v>
      </c>
      <c r="H706" s="104" t="s">
        <v>1518</v>
      </c>
      <c r="I706" s="13"/>
    </row>
    <row r="707" spans="1:9" ht="13">
      <c r="A707" s="35" t="s">
        <v>1519</v>
      </c>
      <c r="B707" s="2" t="s">
        <v>1520</v>
      </c>
      <c r="C707" s="28" t="s">
        <v>1521</v>
      </c>
      <c r="D707" s="2">
        <v>2018</v>
      </c>
      <c r="E707" s="4">
        <v>12</v>
      </c>
      <c r="F707" s="5" t="s">
        <v>32</v>
      </c>
      <c r="G707" s="60">
        <v>240</v>
      </c>
      <c r="H707" s="104" t="s">
        <v>1522</v>
      </c>
      <c r="I707" s="19"/>
    </row>
    <row r="708" spans="1:9" ht="13">
      <c r="A708" s="35" t="s">
        <v>1523</v>
      </c>
      <c r="B708" s="2" t="s">
        <v>1524</v>
      </c>
      <c r="C708" s="28" t="s">
        <v>1521</v>
      </c>
      <c r="D708" s="2">
        <v>2018</v>
      </c>
      <c r="E708" s="4">
        <v>6</v>
      </c>
      <c r="F708" s="2" t="s">
        <v>304</v>
      </c>
      <c r="G708" s="6">
        <v>324</v>
      </c>
      <c r="H708" s="12"/>
      <c r="I708" s="13"/>
    </row>
    <row r="709" spans="1:9" ht="13">
      <c r="A709" s="35" t="s">
        <v>1525</v>
      </c>
      <c r="B709" s="2" t="s">
        <v>1526</v>
      </c>
      <c r="C709" s="28" t="s">
        <v>1527</v>
      </c>
      <c r="D709" s="2">
        <v>2018</v>
      </c>
      <c r="E709" s="4">
        <v>6</v>
      </c>
      <c r="F709" s="2" t="s">
        <v>304</v>
      </c>
      <c r="G709" s="60">
        <v>240</v>
      </c>
      <c r="H709" s="104" t="s">
        <v>1528</v>
      </c>
      <c r="I709" s="13"/>
    </row>
    <row r="710" spans="1:9" ht="13">
      <c r="A710" s="40" t="s">
        <v>1529</v>
      </c>
      <c r="B710" s="5" t="s">
        <v>1530</v>
      </c>
      <c r="C710" s="28" t="s">
        <v>1531</v>
      </c>
      <c r="D710" s="2">
        <v>2021</v>
      </c>
      <c r="E710" s="4">
        <v>6</v>
      </c>
      <c r="F710" s="5" t="s">
        <v>32</v>
      </c>
      <c r="G710" s="29">
        <v>108</v>
      </c>
      <c r="H710" s="131"/>
      <c r="I710" s="13"/>
    </row>
    <row r="711" spans="1:9" ht="13">
      <c r="A711" s="40" t="s">
        <v>1532</v>
      </c>
      <c r="B711" s="5" t="s">
        <v>1533</v>
      </c>
      <c r="C711" s="28" t="s">
        <v>23</v>
      </c>
      <c r="D711" s="2">
        <v>2021</v>
      </c>
      <c r="E711" s="4">
        <v>12</v>
      </c>
      <c r="F711" s="5" t="s">
        <v>32</v>
      </c>
      <c r="G711" s="29">
        <v>150</v>
      </c>
      <c r="H711" s="12"/>
      <c r="I711" s="19"/>
    </row>
    <row r="712" spans="1:9" ht="13">
      <c r="A712" s="40" t="s">
        <v>1534</v>
      </c>
      <c r="B712" s="5" t="s">
        <v>1535</v>
      </c>
      <c r="C712" s="28" t="s">
        <v>1536</v>
      </c>
      <c r="D712" s="2">
        <v>2021</v>
      </c>
      <c r="E712" s="4">
        <v>12</v>
      </c>
      <c r="F712" s="5" t="s">
        <v>32</v>
      </c>
      <c r="G712" s="29">
        <v>204</v>
      </c>
      <c r="H712" s="12"/>
      <c r="I712" s="13"/>
    </row>
    <row r="713" spans="1:9" ht="13">
      <c r="A713" s="40" t="s">
        <v>1537</v>
      </c>
      <c r="B713" s="5" t="s">
        <v>1538</v>
      </c>
      <c r="C713" s="28" t="s">
        <v>1539</v>
      </c>
      <c r="D713" s="2">
        <v>2020</v>
      </c>
      <c r="E713" s="4">
        <v>12</v>
      </c>
      <c r="F713" s="5" t="s">
        <v>32</v>
      </c>
      <c r="G713" s="6">
        <v>246</v>
      </c>
      <c r="H713" s="12"/>
      <c r="I713" s="13"/>
    </row>
    <row r="714" spans="1:9" ht="13">
      <c r="A714" s="40" t="s">
        <v>1540</v>
      </c>
      <c r="B714" s="5" t="s">
        <v>1541</v>
      </c>
      <c r="C714" s="28" t="s">
        <v>1542</v>
      </c>
      <c r="D714" s="5">
        <v>2018</v>
      </c>
      <c r="E714" s="4">
        <v>12</v>
      </c>
      <c r="F714" s="5" t="s">
        <v>32</v>
      </c>
      <c r="G714" s="60">
        <v>144</v>
      </c>
      <c r="H714" s="104" t="s">
        <v>1543</v>
      </c>
      <c r="I714" s="13"/>
    </row>
    <row r="715" spans="1:9" ht="13">
      <c r="A715" s="40" t="s">
        <v>1544</v>
      </c>
      <c r="B715" s="5" t="s">
        <v>1545</v>
      </c>
      <c r="C715" s="28" t="s">
        <v>1546</v>
      </c>
      <c r="D715" s="2" t="s">
        <v>5</v>
      </c>
      <c r="E715" s="4">
        <v>12</v>
      </c>
      <c r="F715" s="5" t="s">
        <v>32</v>
      </c>
      <c r="G715" s="60">
        <v>240</v>
      </c>
      <c r="H715" s="104" t="s">
        <v>1514</v>
      </c>
      <c r="I715" s="13"/>
    </row>
    <row r="716" spans="1:9" ht="13">
      <c r="A716" s="40" t="s">
        <v>1547</v>
      </c>
      <c r="B716" s="5" t="s">
        <v>1548</v>
      </c>
      <c r="C716" s="28" t="s">
        <v>1549</v>
      </c>
      <c r="D716" s="5">
        <v>2018</v>
      </c>
      <c r="E716" s="4">
        <v>6</v>
      </c>
      <c r="F716" s="5" t="s">
        <v>304</v>
      </c>
      <c r="G716" s="29">
        <v>282</v>
      </c>
      <c r="H716" s="44"/>
      <c r="I716" s="13"/>
    </row>
    <row r="717" spans="1:9" ht="13">
      <c r="A717" s="35" t="s">
        <v>1550</v>
      </c>
      <c r="B717" s="2" t="s">
        <v>1551</v>
      </c>
      <c r="C717" s="28" t="s">
        <v>1552</v>
      </c>
      <c r="D717" s="2">
        <v>2019</v>
      </c>
      <c r="E717" s="4">
        <v>12</v>
      </c>
      <c r="F717" s="5" t="s">
        <v>32</v>
      </c>
      <c r="G717" s="60">
        <v>300</v>
      </c>
      <c r="H717" s="104" t="s">
        <v>1553</v>
      </c>
      <c r="I717" s="19"/>
    </row>
    <row r="718" spans="1:9" ht="13">
      <c r="A718" s="25" t="s">
        <v>1554</v>
      </c>
      <c r="B718" s="5" t="s">
        <v>1555</v>
      </c>
      <c r="C718" s="28" t="s">
        <v>114</v>
      </c>
      <c r="D718" s="2">
        <v>2019</v>
      </c>
      <c r="E718" s="4">
        <v>12</v>
      </c>
      <c r="F718" s="5" t="s">
        <v>32</v>
      </c>
      <c r="G718" s="29">
        <v>138</v>
      </c>
      <c r="H718" s="12"/>
      <c r="I718" s="19"/>
    </row>
    <row r="719" spans="1:9" ht="13">
      <c r="A719" s="25" t="s">
        <v>1556</v>
      </c>
      <c r="B719" s="5" t="s">
        <v>1557</v>
      </c>
      <c r="C719" s="28" t="s">
        <v>61</v>
      </c>
      <c r="D719" s="2" t="s">
        <v>5</v>
      </c>
      <c r="E719" s="4">
        <v>12</v>
      </c>
      <c r="F719" s="5" t="s">
        <v>32</v>
      </c>
      <c r="G719" s="29">
        <v>222</v>
      </c>
      <c r="H719" s="61"/>
      <c r="I719" s="19"/>
    </row>
    <row r="720" spans="1:9" ht="13">
      <c r="A720" s="25" t="s">
        <v>1558</v>
      </c>
      <c r="B720" s="5" t="s">
        <v>1559</v>
      </c>
      <c r="C720" s="28" t="s">
        <v>1342</v>
      </c>
      <c r="D720" s="2">
        <v>2022</v>
      </c>
      <c r="E720" s="4">
        <v>6</v>
      </c>
      <c r="F720" s="5" t="s">
        <v>32</v>
      </c>
      <c r="G720" s="29">
        <v>81</v>
      </c>
      <c r="H720" s="61"/>
      <c r="I720" s="19"/>
    </row>
    <row r="721" spans="1:9" ht="13">
      <c r="A721" s="25" t="s">
        <v>1560</v>
      </c>
      <c r="B721" s="5" t="s">
        <v>1561</v>
      </c>
      <c r="C721" s="28" t="s">
        <v>1562</v>
      </c>
      <c r="D721" s="2" t="s">
        <v>5</v>
      </c>
      <c r="E721" s="4">
        <v>12</v>
      </c>
      <c r="F721" s="5" t="s">
        <v>32</v>
      </c>
      <c r="G721" s="29">
        <v>378</v>
      </c>
      <c r="H721" s="61"/>
      <c r="I721" s="19"/>
    </row>
    <row r="722" spans="1:9" ht="13">
      <c r="A722" s="25" t="s">
        <v>1563</v>
      </c>
      <c r="B722" s="5" t="s">
        <v>1564</v>
      </c>
      <c r="C722" s="28" t="s">
        <v>1565</v>
      </c>
      <c r="D722" s="2">
        <v>2019</v>
      </c>
      <c r="E722" s="4">
        <v>12</v>
      </c>
      <c r="F722" s="5" t="s">
        <v>32</v>
      </c>
      <c r="G722" s="29">
        <v>156</v>
      </c>
      <c r="H722" s="44"/>
      <c r="I722" s="19"/>
    </row>
    <row r="723" spans="1:9" ht="13">
      <c r="A723" s="25" t="s">
        <v>1566</v>
      </c>
      <c r="B723" s="5" t="s">
        <v>1567</v>
      </c>
      <c r="C723" s="28" t="s">
        <v>1568</v>
      </c>
      <c r="D723" s="2">
        <v>2020</v>
      </c>
      <c r="E723" s="4">
        <v>12</v>
      </c>
      <c r="F723" s="5" t="s">
        <v>32</v>
      </c>
      <c r="G723" s="29">
        <v>180</v>
      </c>
      <c r="H723" s="44"/>
      <c r="I723" s="19"/>
    </row>
    <row r="724" spans="1:9" ht="13">
      <c r="A724" s="14" t="s">
        <v>1569</v>
      </c>
      <c r="B724" s="2" t="s">
        <v>1570</v>
      </c>
      <c r="C724" s="28" t="s">
        <v>1571</v>
      </c>
      <c r="D724" s="2">
        <v>2017</v>
      </c>
      <c r="E724" s="4">
        <v>12</v>
      </c>
      <c r="F724" s="5" t="s">
        <v>32</v>
      </c>
      <c r="G724" s="6">
        <v>205</v>
      </c>
      <c r="H724" s="12"/>
      <c r="I724" s="19"/>
    </row>
    <row r="725" spans="1:9" ht="13">
      <c r="A725" s="25" t="s">
        <v>1572</v>
      </c>
      <c r="B725" s="5" t="s">
        <v>1573</v>
      </c>
      <c r="C725" s="28" t="s">
        <v>1574</v>
      </c>
      <c r="D725" s="2">
        <v>2020</v>
      </c>
      <c r="E725" s="4">
        <v>12</v>
      </c>
      <c r="F725" s="5" t="s">
        <v>32</v>
      </c>
      <c r="G725" s="29">
        <v>216</v>
      </c>
      <c r="H725" s="17"/>
      <c r="I725" s="19"/>
    </row>
    <row r="726" spans="1:9" ht="13">
      <c r="A726" s="14" t="s">
        <v>1575</v>
      </c>
      <c r="B726" s="2" t="s">
        <v>1576</v>
      </c>
      <c r="C726" s="28" t="s">
        <v>1577</v>
      </c>
      <c r="D726" s="2">
        <v>2017</v>
      </c>
      <c r="E726" s="4">
        <v>12</v>
      </c>
      <c r="F726" s="5" t="s">
        <v>32</v>
      </c>
      <c r="G726" s="6">
        <v>240</v>
      </c>
      <c r="H726" s="12"/>
      <c r="I726" s="19"/>
    </row>
    <row r="727" spans="1:9" ht="13">
      <c r="A727" s="25" t="s">
        <v>1578</v>
      </c>
      <c r="B727" s="5" t="s">
        <v>1579</v>
      </c>
      <c r="C727" s="28" t="s">
        <v>225</v>
      </c>
      <c r="D727" s="2">
        <v>2020</v>
      </c>
      <c r="E727" s="4">
        <v>12</v>
      </c>
      <c r="F727" s="5" t="s">
        <v>32</v>
      </c>
      <c r="G727" s="60">
        <v>144</v>
      </c>
      <c r="H727" s="104" t="s">
        <v>1518</v>
      </c>
      <c r="I727" s="19"/>
    </row>
    <row r="728" spans="1:9" ht="13">
      <c r="A728" s="14" t="s">
        <v>1580</v>
      </c>
      <c r="B728" s="2" t="s">
        <v>1581</v>
      </c>
      <c r="C728" s="28" t="s">
        <v>67</v>
      </c>
      <c r="D728" s="2">
        <v>2019</v>
      </c>
      <c r="E728" s="4">
        <v>12</v>
      </c>
      <c r="F728" s="5" t="s">
        <v>32</v>
      </c>
      <c r="G728" s="6">
        <v>246</v>
      </c>
      <c r="H728" s="12"/>
      <c r="I728" s="19"/>
    </row>
    <row r="729" spans="1:9" ht="13">
      <c r="A729" s="14" t="s">
        <v>1582</v>
      </c>
      <c r="B729" s="2" t="s">
        <v>1583</v>
      </c>
      <c r="C729" s="28" t="s">
        <v>67</v>
      </c>
      <c r="D729" s="2">
        <v>2019</v>
      </c>
      <c r="E729" s="4">
        <v>6</v>
      </c>
      <c r="F729" s="2" t="s">
        <v>304</v>
      </c>
      <c r="G729" s="6">
        <v>246</v>
      </c>
      <c r="H729" s="12"/>
      <c r="I729" s="19"/>
    </row>
    <row r="730" spans="1:9" ht="13">
      <c r="A730" s="14" t="s">
        <v>1584</v>
      </c>
      <c r="B730" s="2" t="s">
        <v>1585</v>
      </c>
      <c r="C730" s="28" t="s">
        <v>1586</v>
      </c>
      <c r="D730" s="2">
        <v>2019</v>
      </c>
      <c r="E730" s="4">
        <v>12</v>
      </c>
      <c r="F730" s="5" t="s">
        <v>32</v>
      </c>
      <c r="G730" s="60">
        <v>144</v>
      </c>
      <c r="H730" s="104" t="s">
        <v>800</v>
      </c>
      <c r="I730" s="19"/>
    </row>
    <row r="731" spans="1:9" ht="13">
      <c r="A731" s="25" t="s">
        <v>1587</v>
      </c>
      <c r="B731" s="5" t="s">
        <v>1588</v>
      </c>
      <c r="C731" s="28" t="s">
        <v>23</v>
      </c>
      <c r="D731" s="2">
        <v>2020</v>
      </c>
      <c r="E731" s="4">
        <v>12</v>
      </c>
      <c r="F731" s="5" t="s">
        <v>32</v>
      </c>
      <c r="G731" s="60">
        <v>240</v>
      </c>
      <c r="H731" s="104" t="s">
        <v>1514</v>
      </c>
      <c r="I731" s="19"/>
    </row>
    <row r="732" spans="1:9" ht="13">
      <c r="A732" s="14" t="s">
        <v>1589</v>
      </c>
      <c r="B732" s="2" t="s">
        <v>1590</v>
      </c>
      <c r="C732" s="28" t="s">
        <v>23</v>
      </c>
      <c r="D732" s="2">
        <v>2018</v>
      </c>
      <c r="E732" s="4">
        <v>1</v>
      </c>
      <c r="F732" s="5" t="s">
        <v>1591</v>
      </c>
      <c r="G732" s="6">
        <v>126</v>
      </c>
      <c r="H732" s="12"/>
      <c r="I732" s="19"/>
    </row>
    <row r="733" spans="1:9" ht="13">
      <c r="A733" s="14" t="s">
        <v>1592</v>
      </c>
      <c r="B733" s="2" t="s">
        <v>1593</v>
      </c>
      <c r="C733" s="28" t="s">
        <v>1594</v>
      </c>
      <c r="D733" s="2">
        <v>2019</v>
      </c>
      <c r="E733" s="4">
        <v>12</v>
      </c>
      <c r="F733" s="5" t="s">
        <v>32</v>
      </c>
      <c r="G733" s="6">
        <v>354</v>
      </c>
      <c r="H733" s="12"/>
      <c r="I733" s="19"/>
    </row>
    <row r="734" spans="1:9" ht="13">
      <c r="A734" s="14" t="s">
        <v>1595</v>
      </c>
      <c r="B734" s="2" t="s">
        <v>1596</v>
      </c>
      <c r="C734" s="28" t="s">
        <v>1597</v>
      </c>
      <c r="D734" s="2">
        <v>2020</v>
      </c>
      <c r="E734" s="4">
        <v>12</v>
      </c>
      <c r="F734" s="5" t="s">
        <v>32</v>
      </c>
      <c r="G734" s="6">
        <v>354</v>
      </c>
      <c r="H734" s="12"/>
      <c r="I734" s="19"/>
    </row>
    <row r="735" spans="1:9" ht="13">
      <c r="A735" s="25" t="s">
        <v>1598</v>
      </c>
      <c r="B735" s="5" t="s">
        <v>1599</v>
      </c>
      <c r="C735" s="28" t="s">
        <v>1600</v>
      </c>
      <c r="D735" s="2">
        <v>2020</v>
      </c>
      <c r="E735" s="4">
        <v>12</v>
      </c>
      <c r="F735" s="5" t="s">
        <v>32</v>
      </c>
      <c r="G735" s="60">
        <v>420</v>
      </c>
      <c r="H735" s="104" t="s">
        <v>1601</v>
      </c>
      <c r="I735" s="19"/>
    </row>
    <row r="736" spans="1:9" ht="13">
      <c r="A736" s="121" t="s">
        <v>1602</v>
      </c>
      <c r="B736" s="2" t="s">
        <v>1603</v>
      </c>
      <c r="C736" s="28" t="s">
        <v>1604</v>
      </c>
      <c r="D736" s="2" t="s">
        <v>5</v>
      </c>
      <c r="E736" s="4">
        <v>12</v>
      </c>
      <c r="F736" s="5" t="s">
        <v>32</v>
      </c>
      <c r="G736" s="6">
        <v>408</v>
      </c>
      <c r="H736" s="12"/>
      <c r="I736" s="19"/>
    </row>
    <row r="737" spans="1:9" ht="18">
      <c r="A737" s="694" t="s">
        <v>1605</v>
      </c>
      <c r="B737" s="689"/>
      <c r="C737" s="689"/>
      <c r="D737" s="689"/>
      <c r="E737" s="689"/>
      <c r="F737" s="689"/>
      <c r="G737" s="689"/>
      <c r="H737" s="689"/>
      <c r="I737" s="690"/>
    </row>
    <row r="738" spans="1:9" ht="13">
      <c r="A738" s="1" t="s">
        <v>1606</v>
      </c>
      <c r="B738" s="2" t="s">
        <v>1607</v>
      </c>
      <c r="C738" s="28" t="s">
        <v>1608</v>
      </c>
      <c r="D738" s="2">
        <v>2023</v>
      </c>
      <c r="E738" s="4">
        <v>12</v>
      </c>
      <c r="F738" s="5" t="s">
        <v>32</v>
      </c>
      <c r="G738" s="6">
        <v>204</v>
      </c>
      <c r="H738" s="33"/>
      <c r="I738" s="18">
        <v>1</v>
      </c>
    </row>
    <row r="739" spans="1:9" ht="13">
      <c r="A739" s="1" t="s">
        <v>1609</v>
      </c>
      <c r="B739" s="2" t="s">
        <v>1610</v>
      </c>
      <c r="C739" s="28" t="s">
        <v>1611</v>
      </c>
      <c r="D739" s="2">
        <v>2022</v>
      </c>
      <c r="E739" s="4">
        <v>12</v>
      </c>
      <c r="F739" s="5" t="s">
        <v>32</v>
      </c>
      <c r="G739" s="6">
        <v>204</v>
      </c>
      <c r="H739" s="33"/>
      <c r="I739" s="19"/>
    </row>
    <row r="740" spans="1:9" ht="13">
      <c r="A740" s="1" t="s">
        <v>1612</v>
      </c>
      <c r="B740" s="2" t="s">
        <v>1613</v>
      </c>
      <c r="C740" s="28" t="s">
        <v>1614</v>
      </c>
      <c r="D740" s="2">
        <v>2022</v>
      </c>
      <c r="E740" s="4">
        <v>12</v>
      </c>
      <c r="F740" s="5" t="s">
        <v>32</v>
      </c>
      <c r="G740" s="6">
        <v>180</v>
      </c>
      <c r="H740" s="33"/>
      <c r="I740" s="30"/>
    </row>
    <row r="741" spans="1:9" ht="13">
      <c r="A741" s="1" t="s">
        <v>1615</v>
      </c>
      <c r="B741" s="2" t="s">
        <v>1616</v>
      </c>
      <c r="C741" s="28" t="s">
        <v>1614</v>
      </c>
      <c r="D741" s="2">
        <v>2021</v>
      </c>
      <c r="E741" s="4">
        <v>12</v>
      </c>
      <c r="F741" s="5" t="s">
        <v>32</v>
      </c>
      <c r="G741" s="6">
        <v>168</v>
      </c>
      <c r="H741" s="33"/>
      <c r="I741" s="30"/>
    </row>
    <row r="742" spans="1:9" ht="13">
      <c r="A742" s="1" t="s">
        <v>1617</v>
      </c>
      <c r="B742" s="2" t="s">
        <v>1618</v>
      </c>
      <c r="C742" s="28" t="s">
        <v>1611</v>
      </c>
      <c r="D742" s="2">
        <v>2023</v>
      </c>
      <c r="E742" s="4">
        <v>12</v>
      </c>
      <c r="F742" s="5" t="s">
        <v>32</v>
      </c>
      <c r="G742" s="6">
        <v>192</v>
      </c>
      <c r="H742" s="33"/>
      <c r="I742" s="30"/>
    </row>
    <row r="743" spans="1:9" ht="13">
      <c r="A743" s="14" t="s">
        <v>1619</v>
      </c>
      <c r="B743" s="2" t="s">
        <v>1620</v>
      </c>
      <c r="C743" s="28" t="s">
        <v>61</v>
      </c>
      <c r="D743" s="2">
        <v>2020</v>
      </c>
      <c r="E743" s="4">
        <v>12</v>
      </c>
      <c r="F743" s="5" t="s">
        <v>32</v>
      </c>
      <c r="G743" s="6">
        <v>150</v>
      </c>
      <c r="H743" s="33"/>
      <c r="I743" s="32"/>
    </row>
    <row r="744" spans="1:9" ht="13">
      <c r="A744" s="14" t="s">
        <v>1621</v>
      </c>
      <c r="B744" s="2" t="s">
        <v>1622</v>
      </c>
      <c r="C744" s="28" t="s">
        <v>1623</v>
      </c>
      <c r="D744" s="2">
        <v>2020</v>
      </c>
      <c r="E744" s="4">
        <v>12</v>
      </c>
      <c r="F744" s="5" t="s">
        <v>32</v>
      </c>
      <c r="G744" s="6">
        <v>150</v>
      </c>
      <c r="H744" s="33"/>
      <c r="I744" s="30"/>
    </row>
    <row r="745" spans="1:9" ht="13">
      <c r="A745" s="14" t="s">
        <v>1624</v>
      </c>
      <c r="B745" s="2" t="s">
        <v>1625</v>
      </c>
      <c r="C745" s="28" t="s">
        <v>1626</v>
      </c>
      <c r="D745" s="2">
        <v>2023</v>
      </c>
      <c r="E745" s="4">
        <v>12</v>
      </c>
      <c r="F745" s="5" t="s">
        <v>32</v>
      </c>
      <c r="G745" s="6">
        <v>156</v>
      </c>
      <c r="H745" s="33"/>
      <c r="I745" s="30"/>
    </row>
    <row r="746" spans="1:9" ht="13">
      <c r="A746" s="14" t="s">
        <v>1627</v>
      </c>
      <c r="B746" s="2" t="s">
        <v>1628</v>
      </c>
      <c r="C746" s="28" t="s">
        <v>1629</v>
      </c>
      <c r="D746" s="2">
        <v>2023</v>
      </c>
      <c r="E746" s="4">
        <v>12</v>
      </c>
      <c r="F746" s="5" t="s">
        <v>32</v>
      </c>
      <c r="G746" s="6">
        <v>168</v>
      </c>
      <c r="H746" s="33"/>
      <c r="I746" s="30"/>
    </row>
    <row r="747" spans="1:9" ht="13">
      <c r="A747" s="14" t="s">
        <v>1630</v>
      </c>
      <c r="B747" s="2" t="s">
        <v>1631</v>
      </c>
      <c r="C747" s="28" t="s">
        <v>1632</v>
      </c>
      <c r="D747" s="2">
        <v>2020</v>
      </c>
      <c r="E747" s="4">
        <v>12</v>
      </c>
      <c r="F747" s="5" t="s">
        <v>32</v>
      </c>
      <c r="G747" s="6">
        <v>210</v>
      </c>
      <c r="H747" s="33"/>
      <c r="I747" s="30"/>
    </row>
    <row r="748" spans="1:9" ht="13">
      <c r="A748" s="14" t="s">
        <v>1633</v>
      </c>
      <c r="B748" s="2" t="s">
        <v>1634</v>
      </c>
      <c r="C748" s="28" t="s">
        <v>111</v>
      </c>
      <c r="D748" s="2">
        <v>2023</v>
      </c>
      <c r="E748" s="4">
        <v>12</v>
      </c>
      <c r="F748" s="5" t="s">
        <v>32</v>
      </c>
      <c r="G748" s="6">
        <v>246</v>
      </c>
      <c r="H748" s="33"/>
      <c r="I748" s="32"/>
    </row>
    <row r="749" spans="1:9" ht="13">
      <c r="A749" s="35" t="s">
        <v>1635</v>
      </c>
      <c r="B749" s="2" t="s">
        <v>1636</v>
      </c>
      <c r="C749" s="28" t="s">
        <v>23</v>
      </c>
      <c r="D749" s="2">
        <v>2022</v>
      </c>
      <c r="E749" s="4">
        <v>12</v>
      </c>
      <c r="F749" s="5" t="s">
        <v>32</v>
      </c>
      <c r="G749" s="6">
        <v>192</v>
      </c>
      <c r="H749" s="33"/>
      <c r="I749" s="19"/>
    </row>
    <row r="750" spans="1:9" ht="13">
      <c r="A750" s="35" t="s">
        <v>1637</v>
      </c>
      <c r="B750" s="2" t="s">
        <v>1638</v>
      </c>
      <c r="C750" s="28" t="s">
        <v>55</v>
      </c>
      <c r="D750" s="2">
        <v>2022</v>
      </c>
      <c r="E750" s="4">
        <v>12</v>
      </c>
      <c r="F750" s="5" t="s">
        <v>32</v>
      </c>
      <c r="G750" s="6">
        <v>192</v>
      </c>
      <c r="H750" s="33"/>
      <c r="I750" s="19"/>
    </row>
    <row r="751" spans="1:9" ht="13">
      <c r="A751" s="14" t="s">
        <v>1639</v>
      </c>
      <c r="B751" s="2" t="s">
        <v>1640</v>
      </c>
      <c r="C751" s="28" t="s">
        <v>1641</v>
      </c>
      <c r="D751" s="2">
        <v>2022</v>
      </c>
      <c r="E751" s="4">
        <v>12</v>
      </c>
      <c r="F751" s="5" t="s">
        <v>32</v>
      </c>
      <c r="G751" s="6">
        <v>246</v>
      </c>
      <c r="H751" s="33"/>
      <c r="I751" s="30"/>
    </row>
    <row r="752" spans="1:9" ht="13">
      <c r="A752" s="14" t="s">
        <v>1642</v>
      </c>
      <c r="B752" s="2" t="s">
        <v>1643</v>
      </c>
      <c r="C752" s="28" t="s">
        <v>1641</v>
      </c>
      <c r="D752" s="2">
        <v>2022</v>
      </c>
      <c r="E752" s="4">
        <v>12</v>
      </c>
      <c r="F752" s="5" t="s">
        <v>32</v>
      </c>
      <c r="G752" s="6">
        <v>258</v>
      </c>
      <c r="H752" s="33"/>
      <c r="I752" s="19"/>
    </row>
    <row r="753" spans="1:9" ht="18">
      <c r="A753" s="712" t="s">
        <v>1644</v>
      </c>
      <c r="B753" s="689"/>
      <c r="C753" s="689"/>
      <c r="D753" s="689"/>
      <c r="E753" s="689"/>
      <c r="F753" s="689"/>
      <c r="G753" s="689"/>
      <c r="H753" s="689"/>
      <c r="I753" s="690"/>
    </row>
    <row r="754" spans="1:9" ht="13">
      <c r="A754" s="65" t="s">
        <v>1645</v>
      </c>
      <c r="B754" s="58" t="s">
        <v>1646</v>
      </c>
      <c r="C754" s="68" t="s">
        <v>482</v>
      </c>
      <c r="D754" s="132">
        <v>2022</v>
      </c>
      <c r="E754" s="69">
        <v>6</v>
      </c>
      <c r="F754" s="70" t="s">
        <v>32</v>
      </c>
      <c r="G754" s="133">
        <v>66</v>
      </c>
      <c r="H754" s="26"/>
      <c r="I754" s="18">
        <v>1</v>
      </c>
    </row>
    <row r="755" spans="1:9" ht="13">
      <c r="A755" s="65" t="s">
        <v>1647</v>
      </c>
      <c r="B755" s="58" t="s">
        <v>1648</v>
      </c>
      <c r="C755" s="68" t="s">
        <v>1649</v>
      </c>
      <c r="D755" s="132">
        <v>2022</v>
      </c>
      <c r="E755" s="69">
        <v>6</v>
      </c>
      <c r="F755" s="70" t="s">
        <v>32</v>
      </c>
      <c r="G755" s="133">
        <v>84</v>
      </c>
      <c r="H755" s="26"/>
      <c r="I755" s="18">
        <v>1</v>
      </c>
    </row>
    <row r="756" spans="1:9" ht="13">
      <c r="A756" s="65" t="s">
        <v>1650</v>
      </c>
      <c r="B756" s="58" t="s">
        <v>1651</v>
      </c>
      <c r="C756" s="68" t="s">
        <v>1652</v>
      </c>
      <c r="D756" s="132">
        <v>2022</v>
      </c>
      <c r="E756" s="69">
        <v>6</v>
      </c>
      <c r="F756" s="70" t="s">
        <v>32</v>
      </c>
      <c r="G756" s="133">
        <v>54</v>
      </c>
      <c r="H756" s="33"/>
      <c r="I756" s="19"/>
    </row>
    <row r="757" spans="1:9" ht="18">
      <c r="A757" s="698" t="s">
        <v>1653</v>
      </c>
      <c r="B757" s="689"/>
      <c r="C757" s="689"/>
      <c r="D757" s="689"/>
      <c r="E757" s="689"/>
      <c r="F757" s="689"/>
      <c r="G757" s="689"/>
      <c r="H757" s="689"/>
      <c r="I757" s="690"/>
    </row>
    <row r="758" spans="1:9" ht="13">
      <c r="A758" s="57" t="s">
        <v>1654</v>
      </c>
      <c r="B758" s="58" t="s">
        <v>1655</v>
      </c>
      <c r="C758" s="68" t="s">
        <v>1656</v>
      </c>
      <c r="D758" s="132">
        <v>2021</v>
      </c>
      <c r="E758" s="69">
        <v>6</v>
      </c>
      <c r="F758" s="70" t="s">
        <v>32</v>
      </c>
      <c r="G758" s="133">
        <v>96</v>
      </c>
      <c r="H758" s="33"/>
      <c r="I758" s="19"/>
    </row>
    <row r="759" spans="1:9" ht="13">
      <c r="A759" s="57" t="s">
        <v>1657</v>
      </c>
      <c r="B759" s="58" t="s">
        <v>1658</v>
      </c>
      <c r="C759" s="68" t="s">
        <v>1659</v>
      </c>
      <c r="D759" s="132">
        <v>2021</v>
      </c>
      <c r="E759" s="69">
        <v>6</v>
      </c>
      <c r="F759" s="70" t="s">
        <v>32</v>
      </c>
      <c r="G759" s="133">
        <v>114</v>
      </c>
      <c r="H759" s="33"/>
      <c r="I759" s="18">
        <v>1</v>
      </c>
    </row>
    <row r="760" spans="1:9" ht="13">
      <c r="A760" s="56" t="s">
        <v>1660</v>
      </c>
      <c r="B760" s="63" t="s">
        <v>1661</v>
      </c>
      <c r="C760" s="68" t="s">
        <v>52</v>
      </c>
      <c r="D760" s="132">
        <v>2021</v>
      </c>
      <c r="E760" s="69">
        <v>6</v>
      </c>
      <c r="F760" s="70" t="s">
        <v>32</v>
      </c>
      <c r="G760" s="133">
        <v>96</v>
      </c>
      <c r="H760" s="33"/>
      <c r="I760" s="18">
        <v>1</v>
      </c>
    </row>
    <row r="761" spans="1:9" ht="13">
      <c r="A761" s="65" t="s">
        <v>1662</v>
      </c>
      <c r="B761" s="58" t="s">
        <v>1663</v>
      </c>
      <c r="C761" s="68" t="s">
        <v>1664</v>
      </c>
      <c r="D761" s="132">
        <v>2021</v>
      </c>
      <c r="E761" s="69">
        <v>6</v>
      </c>
      <c r="F761" s="70" t="s">
        <v>32</v>
      </c>
      <c r="G761" s="133">
        <v>78</v>
      </c>
      <c r="H761" s="33"/>
      <c r="I761" s="18">
        <v>1</v>
      </c>
    </row>
    <row r="762" spans="1:9" ht="13">
      <c r="A762" s="65" t="s">
        <v>1665</v>
      </c>
      <c r="B762" s="63" t="s">
        <v>1666</v>
      </c>
      <c r="C762" s="68" t="s">
        <v>482</v>
      </c>
      <c r="D762" s="132">
        <v>2021</v>
      </c>
      <c r="E762" s="69">
        <v>6</v>
      </c>
      <c r="F762" s="70" t="s">
        <v>32</v>
      </c>
      <c r="G762" s="133">
        <v>84</v>
      </c>
      <c r="H762" s="33"/>
      <c r="I762" s="18">
        <v>1</v>
      </c>
    </row>
    <row r="763" spans="1:9" ht="13">
      <c r="A763" s="65" t="s">
        <v>1667</v>
      </c>
      <c r="B763" s="58" t="s">
        <v>1668</v>
      </c>
      <c r="C763" s="68" t="s">
        <v>1669</v>
      </c>
      <c r="D763" s="132">
        <v>2021</v>
      </c>
      <c r="E763" s="69">
        <v>6</v>
      </c>
      <c r="F763" s="70" t="s">
        <v>32</v>
      </c>
      <c r="G763" s="133">
        <v>84</v>
      </c>
      <c r="H763" s="33"/>
      <c r="I763" s="19"/>
    </row>
    <row r="764" spans="1:9" ht="13">
      <c r="A764" s="65" t="s">
        <v>1670</v>
      </c>
      <c r="B764" s="58" t="s">
        <v>1671</v>
      </c>
      <c r="C764" s="68" t="s">
        <v>1672</v>
      </c>
      <c r="D764" s="132">
        <v>2020</v>
      </c>
      <c r="E764" s="69">
        <v>6</v>
      </c>
      <c r="F764" s="70" t="s">
        <v>32</v>
      </c>
      <c r="G764" s="133">
        <v>114</v>
      </c>
      <c r="H764" s="33"/>
      <c r="I764" s="19"/>
    </row>
    <row r="765" spans="1:9" ht="23">
      <c r="A765" s="693" t="s">
        <v>1673</v>
      </c>
      <c r="B765" s="689"/>
      <c r="C765" s="689"/>
      <c r="D765" s="689"/>
      <c r="E765" s="689"/>
      <c r="F765" s="689"/>
      <c r="G765" s="689"/>
      <c r="H765" s="689"/>
      <c r="I765" s="690"/>
    </row>
    <row r="766" spans="1:9" ht="18">
      <c r="A766" s="694" t="s">
        <v>1674</v>
      </c>
      <c r="B766" s="689"/>
      <c r="C766" s="689"/>
      <c r="D766" s="689"/>
      <c r="E766" s="689"/>
      <c r="F766" s="689"/>
      <c r="G766" s="689"/>
      <c r="H766" s="689"/>
      <c r="I766" s="690"/>
    </row>
    <row r="767" spans="1:9" ht="13">
      <c r="A767" s="15" t="s">
        <v>1675</v>
      </c>
      <c r="B767" s="2" t="s">
        <v>1676</v>
      </c>
      <c r="C767" s="28" t="s">
        <v>1677</v>
      </c>
      <c r="D767" s="2">
        <v>2022</v>
      </c>
      <c r="E767" s="4">
        <v>12</v>
      </c>
      <c r="F767" s="5" t="s">
        <v>32</v>
      </c>
      <c r="G767" s="6">
        <v>180</v>
      </c>
      <c r="H767" s="33"/>
      <c r="I767" s="19"/>
    </row>
    <row r="768" spans="1:9" ht="13">
      <c r="A768" s="37" t="s">
        <v>1678</v>
      </c>
      <c r="B768" s="2" t="s">
        <v>1679</v>
      </c>
      <c r="C768" s="28" t="s">
        <v>1680</v>
      </c>
      <c r="D768" s="2">
        <v>2018</v>
      </c>
      <c r="E768" s="4">
        <v>12</v>
      </c>
      <c r="F768" s="5" t="s">
        <v>32</v>
      </c>
      <c r="G768" s="6">
        <v>162</v>
      </c>
      <c r="H768" s="33"/>
      <c r="I768" s="19"/>
    </row>
    <row r="769" spans="1:9" ht="13">
      <c r="A769" s="14" t="s">
        <v>1681</v>
      </c>
      <c r="B769" s="2" t="s">
        <v>1682</v>
      </c>
      <c r="C769" s="28" t="s">
        <v>1680</v>
      </c>
      <c r="D769" s="2">
        <v>2022</v>
      </c>
      <c r="E769" s="4">
        <v>12</v>
      </c>
      <c r="F769" s="5" t="s">
        <v>32</v>
      </c>
      <c r="G769" s="6">
        <v>192</v>
      </c>
      <c r="H769" s="23"/>
      <c r="I769" s="8"/>
    </row>
    <row r="770" spans="1:9" ht="13">
      <c r="A770" s="15" t="s">
        <v>1683</v>
      </c>
      <c r="B770" s="5" t="s">
        <v>1684</v>
      </c>
      <c r="C770" s="28" t="s">
        <v>1685</v>
      </c>
      <c r="D770" s="5">
        <v>2023</v>
      </c>
      <c r="E770" s="4">
        <v>12</v>
      </c>
      <c r="F770" s="5" t="s">
        <v>32</v>
      </c>
      <c r="G770" s="29">
        <v>240</v>
      </c>
      <c r="H770" s="23"/>
      <c r="I770" s="8"/>
    </row>
    <row r="771" spans="1:9" ht="13">
      <c r="A771" s="39" t="s">
        <v>1686</v>
      </c>
      <c r="B771" s="5" t="s">
        <v>1687</v>
      </c>
      <c r="C771" s="28" t="s">
        <v>1688</v>
      </c>
      <c r="D771" s="5">
        <v>2022</v>
      </c>
      <c r="E771" s="4">
        <v>12</v>
      </c>
      <c r="F771" s="5" t="s">
        <v>32</v>
      </c>
      <c r="G771" s="29">
        <v>204</v>
      </c>
      <c r="H771" s="17"/>
      <c r="I771" s="30"/>
    </row>
    <row r="772" spans="1:9" ht="13">
      <c r="A772" s="14" t="s">
        <v>1689</v>
      </c>
      <c r="B772" s="2" t="s">
        <v>1690</v>
      </c>
      <c r="C772" s="28" t="s">
        <v>1688</v>
      </c>
      <c r="D772" s="2">
        <v>1998</v>
      </c>
      <c r="E772" s="4">
        <v>12</v>
      </c>
      <c r="F772" s="5" t="s">
        <v>32</v>
      </c>
      <c r="G772" s="6">
        <v>642</v>
      </c>
      <c r="H772" s="33"/>
      <c r="I772" s="19"/>
    </row>
    <row r="773" spans="1:9" ht="13">
      <c r="A773" s="14" t="s">
        <v>1691</v>
      </c>
      <c r="B773" s="2" t="s">
        <v>1690</v>
      </c>
      <c r="C773" s="28" t="s">
        <v>1688</v>
      </c>
      <c r="D773" s="2">
        <v>2000</v>
      </c>
      <c r="E773" s="4">
        <v>12</v>
      </c>
      <c r="F773" s="5" t="s">
        <v>32</v>
      </c>
      <c r="G773" s="6">
        <v>624</v>
      </c>
      <c r="H773" s="33"/>
      <c r="I773" s="19"/>
    </row>
    <row r="774" spans="1:9" ht="13">
      <c r="A774" s="14" t="s">
        <v>1692</v>
      </c>
      <c r="B774" s="2" t="s">
        <v>1690</v>
      </c>
      <c r="C774" s="28" t="s">
        <v>1688</v>
      </c>
      <c r="D774" s="2">
        <v>2007</v>
      </c>
      <c r="E774" s="4">
        <v>12</v>
      </c>
      <c r="F774" s="5" t="s">
        <v>32</v>
      </c>
      <c r="G774" s="6">
        <v>510</v>
      </c>
      <c r="H774" s="33"/>
      <c r="I774" s="19"/>
    </row>
    <row r="775" spans="1:9" ht="13">
      <c r="A775" s="14" t="s">
        <v>1693</v>
      </c>
      <c r="B775" s="2" t="s">
        <v>1690</v>
      </c>
      <c r="C775" s="28" t="s">
        <v>1688</v>
      </c>
      <c r="D775" s="2">
        <v>2012</v>
      </c>
      <c r="E775" s="4">
        <v>12</v>
      </c>
      <c r="F775" s="5" t="s">
        <v>32</v>
      </c>
      <c r="G775" s="6">
        <v>408</v>
      </c>
      <c r="H775" s="33"/>
      <c r="I775" s="19"/>
    </row>
    <row r="776" spans="1:9" ht="13">
      <c r="A776" s="14" t="s">
        <v>1694</v>
      </c>
      <c r="B776" s="2" t="s">
        <v>1690</v>
      </c>
      <c r="C776" s="28" t="s">
        <v>1688</v>
      </c>
      <c r="D776" s="2">
        <v>2018</v>
      </c>
      <c r="E776" s="4">
        <v>12</v>
      </c>
      <c r="F776" s="5" t="s">
        <v>32</v>
      </c>
      <c r="G776" s="6">
        <v>252</v>
      </c>
      <c r="H776" s="33"/>
      <c r="I776" s="19"/>
    </row>
    <row r="777" spans="1:9" ht="13">
      <c r="A777" s="14" t="s">
        <v>1695</v>
      </c>
      <c r="B777" s="2" t="s">
        <v>1690</v>
      </c>
      <c r="C777" s="28" t="s">
        <v>1688</v>
      </c>
      <c r="D777" s="2">
        <v>2020</v>
      </c>
      <c r="E777" s="4">
        <v>12</v>
      </c>
      <c r="F777" s="5" t="s">
        <v>32</v>
      </c>
      <c r="G777" s="6">
        <v>258</v>
      </c>
      <c r="H777" s="33"/>
      <c r="I777" s="19"/>
    </row>
    <row r="778" spans="1:9" ht="13">
      <c r="A778" s="14" t="s">
        <v>1696</v>
      </c>
      <c r="B778" s="2" t="s">
        <v>1697</v>
      </c>
      <c r="C778" s="28" t="s">
        <v>1688</v>
      </c>
      <c r="D778" s="2">
        <v>2016</v>
      </c>
      <c r="E778" s="4">
        <v>12</v>
      </c>
      <c r="F778" s="5" t="s">
        <v>32</v>
      </c>
      <c r="G778" s="6">
        <v>360</v>
      </c>
      <c r="H778" s="33"/>
      <c r="I778" s="30"/>
    </row>
    <row r="779" spans="1:9" ht="23">
      <c r="A779" s="693" t="s">
        <v>1698</v>
      </c>
      <c r="B779" s="689"/>
      <c r="C779" s="689"/>
      <c r="D779" s="689"/>
      <c r="E779" s="689"/>
      <c r="F779" s="689"/>
      <c r="G779" s="689"/>
      <c r="H779" s="689"/>
      <c r="I779" s="690"/>
    </row>
    <row r="780" spans="1:9" ht="18">
      <c r="A780" s="694" t="s">
        <v>1699</v>
      </c>
      <c r="B780" s="689"/>
      <c r="C780" s="689"/>
      <c r="D780" s="689"/>
      <c r="E780" s="689"/>
      <c r="F780" s="689"/>
      <c r="G780" s="689"/>
      <c r="H780" s="689"/>
      <c r="I780" s="690"/>
    </row>
    <row r="781" spans="1:9" ht="13">
      <c r="A781" s="1" t="s">
        <v>1700</v>
      </c>
      <c r="B781" s="5" t="s">
        <v>1701</v>
      </c>
      <c r="C781" s="28" t="s">
        <v>1611</v>
      </c>
      <c r="D781" s="5">
        <v>2023</v>
      </c>
      <c r="E781" s="4">
        <v>12</v>
      </c>
      <c r="F781" s="5" t="s">
        <v>32</v>
      </c>
      <c r="G781" s="29">
        <v>126</v>
      </c>
      <c r="H781" s="23"/>
      <c r="I781" s="8"/>
    </row>
    <row r="782" spans="1:9" ht="13">
      <c r="A782" s="1" t="s">
        <v>1702</v>
      </c>
      <c r="B782" s="5" t="s">
        <v>1703</v>
      </c>
      <c r="C782" s="28" t="s">
        <v>765</v>
      </c>
      <c r="D782" s="5">
        <v>2023</v>
      </c>
      <c r="E782" s="4">
        <v>12</v>
      </c>
      <c r="F782" s="5" t="s">
        <v>32</v>
      </c>
      <c r="G782" s="29">
        <v>138</v>
      </c>
      <c r="H782" s="23"/>
      <c r="I782" s="18"/>
    </row>
    <row r="783" spans="1:9" ht="13">
      <c r="A783" s="37" t="s">
        <v>1704</v>
      </c>
      <c r="B783" s="5" t="s">
        <v>1705</v>
      </c>
      <c r="C783" s="28" t="s">
        <v>52</v>
      </c>
      <c r="D783" s="5">
        <v>2022</v>
      </c>
      <c r="E783" s="4">
        <v>12</v>
      </c>
      <c r="F783" s="5" t="s">
        <v>32</v>
      </c>
      <c r="G783" s="29">
        <v>126</v>
      </c>
      <c r="H783" s="31"/>
      <c r="I783" s="13"/>
    </row>
    <row r="784" spans="1:9" ht="13">
      <c r="A784" s="14" t="s">
        <v>1706</v>
      </c>
      <c r="B784" s="5" t="s">
        <v>1707</v>
      </c>
      <c r="C784" s="28" t="s">
        <v>155</v>
      </c>
      <c r="D784" s="5">
        <v>2022</v>
      </c>
      <c r="E784" s="4">
        <v>12</v>
      </c>
      <c r="F784" s="5" t="s">
        <v>32</v>
      </c>
      <c r="G784" s="29">
        <v>114</v>
      </c>
      <c r="H784" s="31"/>
      <c r="I784" s="19"/>
    </row>
    <row r="785" spans="1:9" ht="13">
      <c r="A785" s="14" t="s">
        <v>1708</v>
      </c>
      <c r="B785" s="5" t="s">
        <v>1709</v>
      </c>
      <c r="C785" s="28" t="s">
        <v>52</v>
      </c>
      <c r="D785" s="5">
        <v>2023</v>
      </c>
      <c r="E785" s="4">
        <v>12</v>
      </c>
      <c r="F785" s="5" t="s">
        <v>32</v>
      </c>
      <c r="G785" s="29">
        <v>120</v>
      </c>
      <c r="H785" s="23"/>
      <c r="I785" s="18"/>
    </row>
    <row r="786" spans="1:9" ht="18">
      <c r="A786" s="694" t="s">
        <v>1710</v>
      </c>
      <c r="B786" s="689"/>
      <c r="C786" s="689"/>
      <c r="D786" s="689"/>
      <c r="E786" s="689"/>
      <c r="F786" s="689"/>
      <c r="G786" s="689"/>
      <c r="H786" s="689"/>
      <c r="I786" s="690"/>
    </row>
    <row r="787" spans="1:9" ht="13">
      <c r="A787" s="37" t="s">
        <v>1711</v>
      </c>
      <c r="B787" s="2" t="s">
        <v>1712</v>
      </c>
      <c r="C787" s="28" t="s">
        <v>67</v>
      </c>
      <c r="D787" s="2" t="s">
        <v>5</v>
      </c>
      <c r="E787" s="4">
        <v>12</v>
      </c>
      <c r="F787" s="5" t="s">
        <v>32</v>
      </c>
      <c r="G787" s="6">
        <v>126</v>
      </c>
      <c r="H787" s="26"/>
      <c r="I787" s="18"/>
    </row>
    <row r="788" spans="1:9" ht="13">
      <c r="A788" s="14" t="s">
        <v>1713</v>
      </c>
      <c r="B788" s="2" t="s">
        <v>1714</v>
      </c>
      <c r="C788" s="28" t="s">
        <v>225</v>
      </c>
      <c r="D788" s="2">
        <v>2023</v>
      </c>
      <c r="E788" s="4">
        <v>12</v>
      </c>
      <c r="F788" s="5" t="s">
        <v>32</v>
      </c>
      <c r="G788" s="6">
        <v>114</v>
      </c>
      <c r="H788" s="38"/>
      <c r="I788" s="13"/>
    </row>
    <row r="789" spans="1:9" ht="13">
      <c r="A789" s="14" t="s">
        <v>1715</v>
      </c>
      <c r="B789" s="2" t="s">
        <v>1716</v>
      </c>
      <c r="C789" s="28" t="s">
        <v>23</v>
      </c>
      <c r="D789" s="2">
        <v>2022</v>
      </c>
      <c r="E789" s="4">
        <v>12</v>
      </c>
      <c r="F789" s="5" t="s">
        <v>32</v>
      </c>
      <c r="G789" s="46">
        <v>96</v>
      </c>
      <c r="H789" s="104" t="s">
        <v>1717</v>
      </c>
      <c r="I789" s="18">
        <v>1</v>
      </c>
    </row>
    <row r="790" spans="1:9" ht="13">
      <c r="A790" s="14" t="s">
        <v>1718</v>
      </c>
      <c r="B790" s="2" t="s">
        <v>1719</v>
      </c>
      <c r="C790" s="28" t="s">
        <v>23</v>
      </c>
      <c r="D790" s="2">
        <v>2022</v>
      </c>
      <c r="E790" s="4">
        <v>12</v>
      </c>
      <c r="F790" s="5" t="s">
        <v>32</v>
      </c>
      <c r="G790" s="6">
        <v>144</v>
      </c>
      <c r="H790" s="38"/>
      <c r="I790" s="18">
        <v>1</v>
      </c>
    </row>
    <row r="791" spans="1:9" ht="13">
      <c r="A791" s="14" t="s">
        <v>1720</v>
      </c>
      <c r="B791" s="2" t="s">
        <v>1721</v>
      </c>
      <c r="C791" s="28" t="s">
        <v>1722</v>
      </c>
      <c r="D791" s="2">
        <v>2021</v>
      </c>
      <c r="E791" s="4">
        <v>12</v>
      </c>
      <c r="F791" s="5" t="s">
        <v>32</v>
      </c>
      <c r="G791" s="46">
        <v>108</v>
      </c>
      <c r="H791" s="104" t="s">
        <v>1723</v>
      </c>
      <c r="I791" s="18">
        <v>1</v>
      </c>
    </row>
    <row r="792" spans="1:9" ht="13">
      <c r="A792" s="14" t="s">
        <v>1724</v>
      </c>
      <c r="B792" s="2" t="s">
        <v>1721</v>
      </c>
      <c r="C792" s="28" t="s">
        <v>1722</v>
      </c>
      <c r="D792" s="2">
        <v>2022</v>
      </c>
      <c r="E792" s="4">
        <v>12</v>
      </c>
      <c r="F792" s="5" t="s">
        <v>32</v>
      </c>
      <c r="G792" s="6">
        <v>144</v>
      </c>
      <c r="H792" s="38"/>
      <c r="I792" s="18">
        <v>1</v>
      </c>
    </row>
    <row r="793" spans="1:9" ht="13">
      <c r="A793" s="14" t="s">
        <v>1725</v>
      </c>
      <c r="B793" s="2" t="s">
        <v>1726</v>
      </c>
      <c r="C793" s="28" t="s">
        <v>225</v>
      </c>
      <c r="D793" s="2">
        <v>2020</v>
      </c>
      <c r="E793" s="4">
        <v>12</v>
      </c>
      <c r="F793" s="5" t="s">
        <v>32</v>
      </c>
      <c r="G793" s="46">
        <v>120</v>
      </c>
      <c r="H793" s="104" t="s">
        <v>1727</v>
      </c>
      <c r="I793" s="18">
        <v>1</v>
      </c>
    </row>
    <row r="794" spans="1:9" ht="13">
      <c r="A794" s="14" t="s">
        <v>1728</v>
      </c>
      <c r="B794" s="2" t="s">
        <v>1726</v>
      </c>
      <c r="C794" s="28" t="s">
        <v>225</v>
      </c>
      <c r="D794" s="2">
        <v>2021</v>
      </c>
      <c r="E794" s="4">
        <v>12</v>
      </c>
      <c r="F794" s="5" t="s">
        <v>32</v>
      </c>
      <c r="G794" s="6">
        <v>156</v>
      </c>
      <c r="H794" s="38"/>
      <c r="I794" s="18">
        <v>1</v>
      </c>
    </row>
    <row r="795" spans="1:9" ht="13">
      <c r="A795" s="14" t="s">
        <v>1729</v>
      </c>
      <c r="B795" s="2" t="s">
        <v>1730</v>
      </c>
      <c r="C795" s="28" t="s">
        <v>23</v>
      </c>
      <c r="D795" s="2">
        <v>2019</v>
      </c>
      <c r="E795" s="4">
        <v>12</v>
      </c>
      <c r="F795" s="5" t="s">
        <v>32</v>
      </c>
      <c r="G795" s="46">
        <v>156</v>
      </c>
      <c r="H795" s="104" t="s">
        <v>492</v>
      </c>
      <c r="I795" s="18">
        <v>1</v>
      </c>
    </row>
    <row r="796" spans="1:9" ht="13">
      <c r="A796" s="14" t="s">
        <v>1731</v>
      </c>
      <c r="B796" s="2" t="s">
        <v>1732</v>
      </c>
      <c r="C796" s="28" t="s">
        <v>225</v>
      </c>
      <c r="D796" s="2">
        <v>2020</v>
      </c>
      <c r="E796" s="4">
        <v>12</v>
      </c>
      <c r="F796" s="5" t="s">
        <v>32</v>
      </c>
      <c r="G796" s="6">
        <v>180</v>
      </c>
      <c r="H796" s="38"/>
      <c r="I796" s="18"/>
    </row>
    <row r="797" spans="1:9" ht="18">
      <c r="A797" s="708" t="s">
        <v>1733</v>
      </c>
      <c r="B797" s="689"/>
      <c r="C797" s="689"/>
      <c r="D797" s="689"/>
      <c r="E797" s="689"/>
      <c r="F797" s="689"/>
      <c r="G797" s="689"/>
      <c r="H797" s="689"/>
      <c r="I797" s="690"/>
    </row>
    <row r="798" spans="1:9" ht="13">
      <c r="A798" s="1" t="s">
        <v>1734</v>
      </c>
      <c r="B798" s="5" t="s">
        <v>1735</v>
      </c>
      <c r="C798" s="28" t="s">
        <v>1736</v>
      </c>
      <c r="D798" s="5">
        <v>2024</v>
      </c>
      <c r="E798" s="4">
        <v>12</v>
      </c>
      <c r="F798" s="5" t="s">
        <v>32</v>
      </c>
      <c r="G798" s="29">
        <v>150</v>
      </c>
      <c r="H798" s="23"/>
      <c r="I798" s="18">
        <v>1</v>
      </c>
    </row>
    <row r="799" spans="1:9" ht="13">
      <c r="A799" s="37" t="s">
        <v>1737</v>
      </c>
      <c r="B799" s="5" t="s">
        <v>1738</v>
      </c>
      <c r="C799" s="28" t="s">
        <v>1739</v>
      </c>
      <c r="D799" s="5">
        <v>2024</v>
      </c>
      <c r="E799" s="4">
        <v>12</v>
      </c>
      <c r="F799" s="5" t="s">
        <v>32</v>
      </c>
      <c r="G799" s="29">
        <v>138</v>
      </c>
      <c r="H799" s="23"/>
      <c r="I799" s="18">
        <v>1</v>
      </c>
    </row>
    <row r="800" spans="1:9" ht="13">
      <c r="A800" s="14" t="s">
        <v>1740</v>
      </c>
      <c r="B800" s="5" t="s">
        <v>1741</v>
      </c>
      <c r="C800" s="28" t="s">
        <v>1742</v>
      </c>
      <c r="D800" s="5">
        <v>2023</v>
      </c>
      <c r="E800" s="4">
        <v>12</v>
      </c>
      <c r="F800" s="5" t="s">
        <v>32</v>
      </c>
      <c r="G800" s="29">
        <v>138</v>
      </c>
      <c r="H800" s="23"/>
      <c r="I800" s="18">
        <v>1</v>
      </c>
    </row>
    <row r="801" spans="1:9" ht="13">
      <c r="A801" s="14" t="s">
        <v>1743</v>
      </c>
      <c r="B801" s="5" t="s">
        <v>1744</v>
      </c>
      <c r="C801" s="28" t="s">
        <v>52</v>
      </c>
      <c r="D801" s="5">
        <v>2022</v>
      </c>
      <c r="E801" s="4">
        <v>12</v>
      </c>
      <c r="F801" s="5" t="s">
        <v>32</v>
      </c>
      <c r="G801" s="29">
        <v>120</v>
      </c>
      <c r="H801" s="38"/>
      <c r="I801" s="18">
        <v>1</v>
      </c>
    </row>
    <row r="802" spans="1:9" ht="13">
      <c r="A802" s="14" t="s">
        <v>1745</v>
      </c>
      <c r="B802" s="5" t="s">
        <v>1746</v>
      </c>
      <c r="C802" s="28" t="s">
        <v>1747</v>
      </c>
      <c r="D802" s="5">
        <v>2021</v>
      </c>
      <c r="E802" s="4">
        <v>12</v>
      </c>
      <c r="F802" s="5" t="s">
        <v>32</v>
      </c>
      <c r="G802" s="29">
        <v>144</v>
      </c>
      <c r="H802" s="38"/>
      <c r="I802" s="18">
        <v>1</v>
      </c>
    </row>
    <row r="803" spans="1:9" ht="13">
      <c r="A803" s="14" t="s">
        <v>1748</v>
      </c>
      <c r="B803" s="5" t="s">
        <v>1749</v>
      </c>
      <c r="C803" s="28" t="s">
        <v>1750</v>
      </c>
      <c r="D803" s="5">
        <v>2021</v>
      </c>
      <c r="E803" s="4">
        <v>12</v>
      </c>
      <c r="F803" s="5" t="s">
        <v>32</v>
      </c>
      <c r="G803" s="29">
        <v>156</v>
      </c>
      <c r="H803" s="38"/>
      <c r="I803" s="18">
        <v>1</v>
      </c>
    </row>
    <row r="804" spans="1:9" ht="13">
      <c r="A804" s="14" t="s">
        <v>1751</v>
      </c>
      <c r="B804" s="5" t="s">
        <v>1752</v>
      </c>
      <c r="C804" s="28" t="s">
        <v>67</v>
      </c>
      <c r="D804" s="5">
        <v>2021</v>
      </c>
      <c r="E804" s="4">
        <v>12</v>
      </c>
      <c r="F804" s="5" t="s">
        <v>32</v>
      </c>
      <c r="G804" s="29">
        <v>168</v>
      </c>
      <c r="H804" s="38"/>
      <c r="I804" s="18">
        <v>1</v>
      </c>
    </row>
    <row r="805" spans="1:9" ht="18">
      <c r="A805" s="708" t="s">
        <v>1753</v>
      </c>
      <c r="B805" s="689"/>
      <c r="C805" s="689"/>
      <c r="D805" s="689"/>
      <c r="E805" s="689"/>
      <c r="F805" s="689"/>
      <c r="G805" s="689"/>
      <c r="H805" s="689"/>
      <c r="I805" s="690"/>
    </row>
    <row r="806" spans="1:9" ht="13">
      <c r="A806" s="1" t="s">
        <v>1754</v>
      </c>
      <c r="B806" s="5" t="s">
        <v>1755</v>
      </c>
      <c r="C806" s="28" t="s">
        <v>1756</v>
      </c>
      <c r="D806" s="5">
        <v>2023</v>
      </c>
      <c r="E806" s="4">
        <v>12</v>
      </c>
      <c r="F806" s="5" t="s">
        <v>32</v>
      </c>
      <c r="G806" s="29">
        <v>144</v>
      </c>
      <c r="H806" s="38"/>
      <c r="I806" s="13"/>
    </row>
    <row r="807" spans="1:9" ht="13">
      <c r="A807" s="1" t="s">
        <v>1757</v>
      </c>
      <c r="B807" s="5" t="s">
        <v>1758</v>
      </c>
      <c r="C807" s="28" t="s">
        <v>31</v>
      </c>
      <c r="D807" s="5">
        <v>2023</v>
      </c>
      <c r="E807" s="4">
        <v>12</v>
      </c>
      <c r="F807" s="5" t="s">
        <v>32</v>
      </c>
      <c r="G807" s="29">
        <v>192</v>
      </c>
      <c r="H807" s="23"/>
      <c r="I807" s="18">
        <v>1</v>
      </c>
    </row>
    <row r="808" spans="1:9" ht="13">
      <c r="A808" s="10" t="s">
        <v>1759</v>
      </c>
      <c r="B808" s="5" t="s">
        <v>1760</v>
      </c>
      <c r="C808" s="28" t="s">
        <v>1761</v>
      </c>
      <c r="D808" s="5">
        <v>2023</v>
      </c>
      <c r="E808" s="4">
        <v>12</v>
      </c>
      <c r="F808" s="5" t="s">
        <v>32</v>
      </c>
      <c r="G808" s="29">
        <v>204</v>
      </c>
      <c r="H808" s="23"/>
      <c r="I808" s="18">
        <v>1</v>
      </c>
    </row>
    <row r="809" spans="1:9" ht="13">
      <c r="A809" s="37" t="s">
        <v>1762</v>
      </c>
      <c r="B809" s="5" t="s">
        <v>1763</v>
      </c>
      <c r="C809" s="28" t="s">
        <v>88</v>
      </c>
      <c r="D809" s="5">
        <v>2023</v>
      </c>
      <c r="E809" s="4">
        <v>12</v>
      </c>
      <c r="F809" s="5" t="s">
        <v>32</v>
      </c>
      <c r="G809" s="29">
        <v>144</v>
      </c>
      <c r="H809" s="38"/>
      <c r="I809" s="13"/>
    </row>
    <row r="810" spans="1:9" ht="13">
      <c r="A810" s="37" t="s">
        <v>1764</v>
      </c>
      <c r="B810" s="5" t="s">
        <v>1765</v>
      </c>
      <c r="C810" s="28" t="s">
        <v>1766</v>
      </c>
      <c r="D810" s="5">
        <v>2023</v>
      </c>
      <c r="E810" s="4">
        <v>12</v>
      </c>
      <c r="F810" s="5" t="s">
        <v>32</v>
      </c>
      <c r="G810" s="29">
        <v>156</v>
      </c>
      <c r="H810" s="23"/>
      <c r="I810" s="18">
        <v>1</v>
      </c>
    </row>
    <row r="811" spans="1:9" ht="13">
      <c r="A811" s="37" t="s">
        <v>1767</v>
      </c>
      <c r="B811" s="5" t="s">
        <v>1768</v>
      </c>
      <c r="C811" s="28" t="s">
        <v>61</v>
      </c>
      <c r="D811" s="5">
        <v>2023</v>
      </c>
      <c r="E811" s="4">
        <v>12</v>
      </c>
      <c r="F811" s="5" t="s">
        <v>32</v>
      </c>
      <c r="G811" s="29">
        <v>156</v>
      </c>
      <c r="H811" s="38"/>
      <c r="I811" s="13"/>
    </row>
    <row r="812" spans="1:9" ht="13">
      <c r="A812" s="14" t="s">
        <v>1769</v>
      </c>
      <c r="B812" s="5" t="s">
        <v>1770</v>
      </c>
      <c r="C812" s="28" t="s">
        <v>1771</v>
      </c>
      <c r="D812" s="5">
        <v>2023</v>
      </c>
      <c r="E812" s="4">
        <v>12</v>
      </c>
      <c r="F812" s="5" t="s">
        <v>32</v>
      </c>
      <c r="G812" s="29">
        <v>144</v>
      </c>
      <c r="H812" s="23"/>
      <c r="I812" s="18">
        <v>1</v>
      </c>
    </row>
    <row r="813" spans="1:9" ht="13">
      <c r="A813" s="14" t="s">
        <v>1772</v>
      </c>
      <c r="B813" s="5" t="s">
        <v>1773</v>
      </c>
      <c r="C813" s="28" t="s">
        <v>1623</v>
      </c>
      <c r="D813" s="5">
        <v>2023</v>
      </c>
      <c r="E813" s="4">
        <v>12</v>
      </c>
      <c r="F813" s="5" t="s">
        <v>32</v>
      </c>
      <c r="G813" s="29">
        <v>180</v>
      </c>
      <c r="H813" s="38"/>
      <c r="I813" s="13"/>
    </row>
    <row r="814" spans="1:9" ht="13">
      <c r="A814" s="14" t="s">
        <v>1774</v>
      </c>
      <c r="B814" s="5" t="s">
        <v>1775</v>
      </c>
      <c r="C814" s="28" t="s">
        <v>111</v>
      </c>
      <c r="D814" s="5">
        <v>2023</v>
      </c>
      <c r="E814" s="4">
        <v>12</v>
      </c>
      <c r="F814" s="5" t="s">
        <v>32</v>
      </c>
      <c r="G814" s="29">
        <v>180</v>
      </c>
      <c r="H814" s="23"/>
      <c r="I814" s="18">
        <v>1</v>
      </c>
    </row>
    <row r="815" spans="1:9" ht="13">
      <c r="A815" s="14" t="s">
        <v>1776</v>
      </c>
      <c r="B815" s="5" t="s">
        <v>1777</v>
      </c>
      <c r="C815" s="28" t="s">
        <v>61</v>
      </c>
      <c r="D815" s="5">
        <v>2021</v>
      </c>
      <c r="E815" s="4">
        <v>12</v>
      </c>
      <c r="F815" s="5" t="s">
        <v>32</v>
      </c>
      <c r="G815" s="29">
        <v>186</v>
      </c>
      <c r="H815" s="23"/>
      <c r="I815" s="18">
        <v>1</v>
      </c>
    </row>
    <row r="816" spans="1:9" ht="23">
      <c r="A816" s="693" t="s">
        <v>1778</v>
      </c>
      <c r="B816" s="689"/>
      <c r="C816" s="689"/>
      <c r="D816" s="689"/>
      <c r="E816" s="689"/>
      <c r="F816" s="689"/>
      <c r="G816" s="689"/>
      <c r="H816" s="689"/>
      <c r="I816" s="690"/>
    </row>
    <row r="817" spans="1:9" ht="18">
      <c r="A817" s="694" t="s">
        <v>1779</v>
      </c>
      <c r="B817" s="689"/>
      <c r="C817" s="689"/>
      <c r="D817" s="689"/>
      <c r="E817" s="689"/>
      <c r="F817" s="689"/>
      <c r="G817" s="689"/>
      <c r="H817" s="689"/>
      <c r="I817" s="690"/>
    </row>
    <row r="818" spans="1:9" ht="13">
      <c r="A818" s="1" t="s">
        <v>1780</v>
      </c>
      <c r="B818" s="2" t="s">
        <v>1781</v>
      </c>
      <c r="C818" s="28" t="s">
        <v>1782</v>
      </c>
      <c r="D818" s="2" t="s">
        <v>5</v>
      </c>
      <c r="E818" s="4">
        <v>6</v>
      </c>
      <c r="F818" s="5" t="s">
        <v>32</v>
      </c>
      <c r="G818" s="6">
        <v>96</v>
      </c>
      <c r="H818" s="26"/>
      <c r="I818" s="134"/>
    </row>
    <row r="819" spans="1:9" ht="13">
      <c r="A819" s="10" t="s">
        <v>1783</v>
      </c>
      <c r="B819" s="2" t="s">
        <v>1784</v>
      </c>
      <c r="C819" s="28" t="s">
        <v>1785</v>
      </c>
      <c r="D819" s="2">
        <v>2022</v>
      </c>
      <c r="E819" s="4">
        <v>12</v>
      </c>
      <c r="F819" s="5" t="s">
        <v>32</v>
      </c>
      <c r="G819" s="6">
        <v>246</v>
      </c>
      <c r="H819" s="26"/>
      <c r="I819" s="30"/>
    </row>
    <row r="820" spans="1:9" ht="13">
      <c r="A820" s="10" t="s">
        <v>1786</v>
      </c>
      <c r="B820" s="2" t="s">
        <v>1784</v>
      </c>
      <c r="C820" s="28" t="s">
        <v>1785</v>
      </c>
      <c r="D820" s="2">
        <v>2021</v>
      </c>
      <c r="E820" s="4">
        <v>12</v>
      </c>
      <c r="F820" s="5" t="s">
        <v>32</v>
      </c>
      <c r="G820" s="6">
        <v>240</v>
      </c>
      <c r="H820" s="33"/>
      <c r="I820" s="30"/>
    </row>
    <row r="821" spans="1:9" ht="13">
      <c r="A821" s="10" t="s">
        <v>1787</v>
      </c>
      <c r="B821" s="2" t="s">
        <v>1788</v>
      </c>
      <c r="C821" s="28" t="s">
        <v>1785</v>
      </c>
      <c r="D821" s="2">
        <v>2022</v>
      </c>
      <c r="E821" s="4">
        <v>12</v>
      </c>
      <c r="F821" s="5" t="s">
        <v>32</v>
      </c>
      <c r="G821" s="6">
        <v>276</v>
      </c>
      <c r="H821" s="26"/>
      <c r="I821" s="30"/>
    </row>
    <row r="822" spans="1:9" ht="13">
      <c r="A822" s="10" t="s">
        <v>1789</v>
      </c>
      <c r="B822" s="2" t="s">
        <v>1790</v>
      </c>
      <c r="C822" s="28" t="s">
        <v>1785</v>
      </c>
      <c r="D822" s="2">
        <v>2022</v>
      </c>
      <c r="E822" s="4">
        <v>12</v>
      </c>
      <c r="F822" s="5" t="s">
        <v>32</v>
      </c>
      <c r="G822" s="6">
        <v>294</v>
      </c>
      <c r="H822" s="26"/>
      <c r="I822" s="30"/>
    </row>
    <row r="823" spans="1:9" ht="13">
      <c r="A823" s="10" t="s">
        <v>1791</v>
      </c>
      <c r="B823" s="2" t="s">
        <v>1792</v>
      </c>
      <c r="C823" s="28" t="s">
        <v>1793</v>
      </c>
      <c r="D823" s="2">
        <v>2022</v>
      </c>
      <c r="E823" s="4">
        <v>12</v>
      </c>
      <c r="F823" s="5" t="s">
        <v>32</v>
      </c>
      <c r="G823" s="6">
        <v>444</v>
      </c>
      <c r="H823" s="26"/>
      <c r="I823" s="30"/>
    </row>
    <row r="824" spans="1:9" ht="13">
      <c r="A824" s="54" t="s">
        <v>1794</v>
      </c>
      <c r="B824" s="2" t="s">
        <v>1795</v>
      </c>
      <c r="C824" s="28" t="s">
        <v>1796</v>
      </c>
      <c r="D824" s="2">
        <v>2022</v>
      </c>
      <c r="E824" s="4">
        <v>12</v>
      </c>
      <c r="F824" s="5" t="s">
        <v>32</v>
      </c>
      <c r="G824" s="6">
        <v>324</v>
      </c>
      <c r="H824" s="26"/>
      <c r="I824" s="32"/>
    </row>
    <row r="825" spans="1:9" ht="13">
      <c r="A825" s="54" t="s">
        <v>1797</v>
      </c>
      <c r="B825" s="2" t="s">
        <v>1798</v>
      </c>
      <c r="C825" s="28" t="s">
        <v>1796</v>
      </c>
      <c r="D825" s="2">
        <v>2020</v>
      </c>
      <c r="E825" s="4">
        <v>12</v>
      </c>
      <c r="F825" s="5" t="s">
        <v>32</v>
      </c>
      <c r="G825" s="6">
        <v>426</v>
      </c>
      <c r="H825" s="26"/>
      <c r="I825" s="32"/>
    </row>
    <row r="826" spans="1:9" ht="13">
      <c r="A826" s="10" t="s">
        <v>1799</v>
      </c>
      <c r="B826" s="2" t="s">
        <v>1800</v>
      </c>
      <c r="C826" s="28" t="s">
        <v>1801</v>
      </c>
      <c r="D826" s="2">
        <v>2022</v>
      </c>
      <c r="E826" s="4">
        <v>12</v>
      </c>
      <c r="F826" s="5" t="s">
        <v>32</v>
      </c>
      <c r="G826" s="6">
        <v>246</v>
      </c>
      <c r="H826" s="26"/>
      <c r="I826" s="30"/>
    </row>
    <row r="827" spans="1:9" ht="13">
      <c r="A827" s="10" t="s">
        <v>1802</v>
      </c>
      <c r="B827" s="2" t="s">
        <v>1803</v>
      </c>
      <c r="C827" s="28" t="s">
        <v>1804</v>
      </c>
      <c r="D827" s="2">
        <v>2022</v>
      </c>
      <c r="E827" s="4">
        <v>12</v>
      </c>
      <c r="F827" s="5" t="s">
        <v>32</v>
      </c>
      <c r="G827" s="6">
        <v>360</v>
      </c>
      <c r="H827" s="26"/>
      <c r="I827" s="30"/>
    </row>
    <row r="828" spans="1:9" ht="13">
      <c r="A828" s="10" t="s">
        <v>1805</v>
      </c>
      <c r="B828" s="2" t="s">
        <v>1806</v>
      </c>
      <c r="C828" s="28" t="s">
        <v>1807</v>
      </c>
      <c r="D828" s="2">
        <v>2022</v>
      </c>
      <c r="E828" s="4">
        <v>12</v>
      </c>
      <c r="F828" s="5" t="s">
        <v>32</v>
      </c>
      <c r="G828" s="6">
        <v>444</v>
      </c>
      <c r="H828" s="26"/>
      <c r="I828" s="32"/>
    </row>
    <row r="829" spans="1:9" ht="13">
      <c r="A829" s="10" t="s">
        <v>1808</v>
      </c>
      <c r="B829" s="2" t="s">
        <v>1809</v>
      </c>
      <c r="C829" s="28" t="s">
        <v>1810</v>
      </c>
      <c r="D829" s="2">
        <v>2022</v>
      </c>
      <c r="E829" s="4">
        <v>12</v>
      </c>
      <c r="F829" s="5" t="s">
        <v>32</v>
      </c>
      <c r="G829" s="6">
        <v>528</v>
      </c>
      <c r="H829" s="26"/>
      <c r="I829" s="32"/>
    </row>
    <row r="830" spans="1:9" ht="13">
      <c r="A830" s="10" t="s">
        <v>1811</v>
      </c>
      <c r="B830" s="2" t="s">
        <v>1812</v>
      </c>
      <c r="C830" s="28" t="s">
        <v>1813</v>
      </c>
      <c r="D830" s="2">
        <v>2022</v>
      </c>
      <c r="E830" s="4">
        <v>6</v>
      </c>
      <c r="F830" s="2" t="s">
        <v>304</v>
      </c>
      <c r="G830" s="6">
        <v>276</v>
      </c>
      <c r="H830" s="26"/>
      <c r="I830" s="30"/>
    </row>
    <row r="831" spans="1:9" ht="13">
      <c r="A831" s="14" t="s">
        <v>1814</v>
      </c>
      <c r="B831" s="2" t="s">
        <v>1815</v>
      </c>
      <c r="C831" s="28" t="s">
        <v>1816</v>
      </c>
      <c r="D831" s="2">
        <v>2022</v>
      </c>
      <c r="E831" s="4">
        <v>12</v>
      </c>
      <c r="F831" s="5" t="s">
        <v>32</v>
      </c>
      <c r="G831" s="6">
        <v>192</v>
      </c>
      <c r="H831" s="26"/>
      <c r="I831" s="30"/>
    </row>
    <row r="832" spans="1:9" ht="13">
      <c r="A832" s="14" t="s">
        <v>1817</v>
      </c>
      <c r="B832" s="2" t="s">
        <v>1818</v>
      </c>
      <c r="C832" s="28" t="s">
        <v>1816</v>
      </c>
      <c r="D832" s="2">
        <v>2022</v>
      </c>
      <c r="E832" s="4">
        <v>12</v>
      </c>
      <c r="F832" s="5" t="s">
        <v>32</v>
      </c>
      <c r="G832" s="6">
        <v>276</v>
      </c>
      <c r="H832" s="26"/>
      <c r="I832" s="30"/>
    </row>
    <row r="833" spans="1:9" ht="13">
      <c r="A833" s="14" t="s">
        <v>1819</v>
      </c>
      <c r="B833" s="2" t="s">
        <v>1820</v>
      </c>
      <c r="C833" s="28" t="s">
        <v>1816</v>
      </c>
      <c r="D833" s="2">
        <v>2022</v>
      </c>
      <c r="E833" s="4">
        <v>12</v>
      </c>
      <c r="F833" s="5" t="s">
        <v>32</v>
      </c>
      <c r="G833" s="6">
        <v>312</v>
      </c>
      <c r="H833" s="26"/>
      <c r="I833" s="30"/>
    </row>
    <row r="834" spans="1:9" ht="13">
      <c r="A834" s="14" t="s">
        <v>1821</v>
      </c>
      <c r="B834" s="2" t="s">
        <v>1822</v>
      </c>
      <c r="C834" s="28" t="s">
        <v>1816</v>
      </c>
      <c r="D834" s="2">
        <v>2018</v>
      </c>
      <c r="E834" s="4">
        <v>12</v>
      </c>
      <c r="F834" s="5" t="s">
        <v>32</v>
      </c>
      <c r="G834" s="6">
        <v>396</v>
      </c>
      <c r="H834" s="33"/>
      <c r="I834" s="30"/>
    </row>
    <row r="835" spans="1:9" ht="13">
      <c r="A835" s="14" t="s">
        <v>1823</v>
      </c>
      <c r="B835" s="2" t="s">
        <v>1824</v>
      </c>
      <c r="C835" s="28" t="s">
        <v>1816</v>
      </c>
      <c r="D835" s="2">
        <v>2019</v>
      </c>
      <c r="E835" s="4">
        <v>12</v>
      </c>
      <c r="F835" s="5" t="s">
        <v>32</v>
      </c>
      <c r="G835" s="6">
        <v>444</v>
      </c>
      <c r="H835" s="26"/>
      <c r="I835" s="32"/>
    </row>
    <row r="836" spans="1:9" ht="13">
      <c r="A836" s="10" t="s">
        <v>1825</v>
      </c>
      <c r="B836" s="2" t="s">
        <v>1826</v>
      </c>
      <c r="C836" s="28" t="s">
        <v>1827</v>
      </c>
      <c r="D836" s="2">
        <v>2016</v>
      </c>
      <c r="E836" s="4">
        <v>12</v>
      </c>
      <c r="F836" s="5" t="s">
        <v>32</v>
      </c>
      <c r="G836" s="6">
        <v>274</v>
      </c>
      <c r="H836" s="33"/>
      <c r="I836" s="134"/>
    </row>
    <row r="837" spans="1:9" ht="13">
      <c r="A837" s="14" t="s">
        <v>1828</v>
      </c>
      <c r="B837" s="2" t="s">
        <v>1829</v>
      </c>
      <c r="C837" s="28" t="s">
        <v>1830</v>
      </c>
      <c r="D837" s="2">
        <v>2016</v>
      </c>
      <c r="E837" s="4">
        <v>12</v>
      </c>
      <c r="F837" s="5" t="s">
        <v>32</v>
      </c>
      <c r="G837" s="6">
        <v>210</v>
      </c>
      <c r="H837" s="33"/>
      <c r="I837" s="134"/>
    </row>
    <row r="838" spans="1:9" ht="13">
      <c r="A838" s="14" t="s">
        <v>1831</v>
      </c>
      <c r="B838" s="2" t="s">
        <v>1832</v>
      </c>
      <c r="C838" s="28" t="s">
        <v>67</v>
      </c>
      <c r="D838" s="2">
        <v>2016</v>
      </c>
      <c r="E838" s="4">
        <v>12</v>
      </c>
      <c r="F838" s="5" t="s">
        <v>32</v>
      </c>
      <c r="G838" s="6">
        <v>292</v>
      </c>
      <c r="H838" s="33"/>
      <c r="I838" s="134"/>
    </row>
    <row r="839" spans="1:9" ht="13">
      <c r="A839" s="10" t="s">
        <v>1833</v>
      </c>
      <c r="B839" s="2" t="s">
        <v>1834</v>
      </c>
      <c r="C839" s="28" t="s">
        <v>1835</v>
      </c>
      <c r="D839" s="2">
        <v>2022</v>
      </c>
      <c r="E839" s="4">
        <v>12</v>
      </c>
      <c r="F839" s="5" t="s">
        <v>32</v>
      </c>
      <c r="G839" s="6">
        <v>246</v>
      </c>
      <c r="H839" s="26"/>
      <c r="I839" s="30"/>
    </row>
    <row r="840" spans="1:9" ht="13">
      <c r="A840" s="10" t="s">
        <v>1836</v>
      </c>
      <c r="B840" s="2" t="s">
        <v>1837</v>
      </c>
      <c r="C840" s="28" t="s">
        <v>1838</v>
      </c>
      <c r="D840" s="2">
        <v>2022</v>
      </c>
      <c r="E840" s="4">
        <v>12</v>
      </c>
      <c r="F840" s="5" t="s">
        <v>32</v>
      </c>
      <c r="G840" s="6">
        <v>246</v>
      </c>
      <c r="H840" s="26"/>
      <c r="I840" s="30"/>
    </row>
    <row r="841" spans="1:9" ht="13">
      <c r="A841" s="10" t="s">
        <v>1839</v>
      </c>
      <c r="B841" s="2" t="s">
        <v>1840</v>
      </c>
      <c r="C841" s="28" t="s">
        <v>1841</v>
      </c>
      <c r="D841" s="2">
        <v>2022</v>
      </c>
      <c r="E841" s="4">
        <v>12</v>
      </c>
      <c r="F841" s="5" t="s">
        <v>32</v>
      </c>
      <c r="G841" s="6">
        <v>294</v>
      </c>
      <c r="H841" s="26"/>
      <c r="I841" s="30"/>
    </row>
    <row r="842" spans="1:9" ht="13">
      <c r="A842" s="10" t="s">
        <v>1842</v>
      </c>
      <c r="B842" s="2" t="s">
        <v>1843</v>
      </c>
      <c r="C842" s="28" t="s">
        <v>1841</v>
      </c>
      <c r="D842" s="2">
        <v>2017</v>
      </c>
      <c r="E842" s="4">
        <v>12</v>
      </c>
      <c r="F842" s="5" t="s">
        <v>32</v>
      </c>
      <c r="G842" s="6">
        <v>312</v>
      </c>
      <c r="H842" s="33"/>
      <c r="I842" s="134"/>
    </row>
    <row r="843" spans="1:9" ht="13">
      <c r="A843" s="14" t="s">
        <v>1844</v>
      </c>
      <c r="B843" s="2" t="s">
        <v>1845</v>
      </c>
      <c r="C843" s="28" t="s">
        <v>1846</v>
      </c>
      <c r="D843" s="2">
        <v>2018</v>
      </c>
      <c r="E843" s="4">
        <v>12</v>
      </c>
      <c r="F843" s="5" t="s">
        <v>32</v>
      </c>
      <c r="G843" s="6">
        <v>246</v>
      </c>
      <c r="H843" s="33"/>
      <c r="I843" s="30"/>
    </row>
    <row r="844" spans="1:9" ht="13">
      <c r="A844" s="35" t="s">
        <v>1847</v>
      </c>
      <c r="B844" s="2" t="s">
        <v>1848</v>
      </c>
      <c r="C844" s="28" t="s">
        <v>1849</v>
      </c>
      <c r="D844" s="2">
        <v>2022</v>
      </c>
      <c r="E844" s="4">
        <v>12</v>
      </c>
      <c r="F844" s="5" t="s">
        <v>32</v>
      </c>
      <c r="G844" s="6">
        <v>246</v>
      </c>
      <c r="H844" s="26"/>
      <c r="I844" s="32"/>
    </row>
    <row r="845" spans="1:9" ht="13">
      <c r="A845" s="14" t="s">
        <v>1850</v>
      </c>
      <c r="B845" s="2" t="s">
        <v>1851</v>
      </c>
      <c r="C845" s="28" t="s">
        <v>1852</v>
      </c>
      <c r="D845" s="2">
        <v>2022</v>
      </c>
      <c r="E845" s="4">
        <v>12</v>
      </c>
      <c r="F845" s="5" t="s">
        <v>32</v>
      </c>
      <c r="G845" s="6">
        <v>246</v>
      </c>
      <c r="H845" s="26"/>
      <c r="I845" s="30"/>
    </row>
    <row r="846" spans="1:9" ht="13">
      <c r="A846" s="14" t="s">
        <v>1853</v>
      </c>
      <c r="B846" s="2" t="s">
        <v>1854</v>
      </c>
      <c r="C846" s="28" t="s">
        <v>1855</v>
      </c>
      <c r="D846" s="2" t="s">
        <v>5</v>
      </c>
      <c r="E846" s="4">
        <v>12</v>
      </c>
      <c r="F846" s="5" t="s">
        <v>32</v>
      </c>
      <c r="G846" s="6">
        <v>240</v>
      </c>
      <c r="H846" s="26"/>
      <c r="I846" s="32"/>
    </row>
    <row r="847" spans="1:9" ht="13">
      <c r="A847" s="14" t="s">
        <v>1856</v>
      </c>
      <c r="B847" s="2" t="s">
        <v>1857</v>
      </c>
      <c r="C847" s="28" t="s">
        <v>1858</v>
      </c>
      <c r="D847" s="2">
        <v>2019</v>
      </c>
      <c r="E847" s="4">
        <v>12</v>
      </c>
      <c r="F847" s="5" t="s">
        <v>32</v>
      </c>
      <c r="G847" s="6">
        <v>300</v>
      </c>
      <c r="H847" s="33"/>
      <c r="I847" s="30"/>
    </row>
    <row r="848" spans="1:9" ht="18">
      <c r="A848" s="713" t="s">
        <v>1859</v>
      </c>
      <c r="B848" s="689"/>
      <c r="C848" s="689"/>
      <c r="D848" s="689"/>
      <c r="E848" s="689"/>
      <c r="F848" s="689"/>
      <c r="G848" s="689"/>
      <c r="H848" s="689"/>
      <c r="I848" s="690"/>
    </row>
    <row r="849" spans="1:9" ht="13">
      <c r="A849" s="135" t="s">
        <v>1860</v>
      </c>
      <c r="B849" s="95" t="s">
        <v>1861</v>
      </c>
      <c r="C849" s="88" t="s">
        <v>1796</v>
      </c>
      <c r="D849" s="96">
        <v>2023</v>
      </c>
      <c r="E849" s="90">
        <v>12</v>
      </c>
      <c r="F849" s="87" t="s">
        <v>32</v>
      </c>
      <c r="G849" s="136">
        <v>192</v>
      </c>
      <c r="H849" s="137"/>
      <c r="I849" s="138"/>
    </row>
    <row r="850" spans="1:9" ht="13">
      <c r="A850" s="135" t="s">
        <v>1860</v>
      </c>
      <c r="B850" s="95" t="s">
        <v>1862</v>
      </c>
      <c r="C850" s="88" t="s">
        <v>1785</v>
      </c>
      <c r="D850" s="96">
        <v>2023</v>
      </c>
      <c r="E850" s="90">
        <v>12</v>
      </c>
      <c r="F850" s="87" t="s">
        <v>32</v>
      </c>
      <c r="G850" s="136">
        <v>192</v>
      </c>
      <c r="H850" s="137"/>
      <c r="I850" s="138"/>
    </row>
    <row r="851" spans="1:9" ht="13">
      <c r="A851" s="135" t="s">
        <v>1863</v>
      </c>
      <c r="B851" s="95" t="s">
        <v>1864</v>
      </c>
      <c r="C851" s="88" t="s">
        <v>1785</v>
      </c>
      <c r="D851" s="96">
        <v>2022</v>
      </c>
      <c r="E851" s="90">
        <v>12</v>
      </c>
      <c r="F851" s="87" t="s">
        <v>32</v>
      </c>
      <c r="G851" s="136">
        <v>228</v>
      </c>
      <c r="H851" s="137"/>
      <c r="I851" s="138"/>
    </row>
    <row r="852" spans="1:9" ht="13">
      <c r="A852" s="135" t="s">
        <v>1865</v>
      </c>
      <c r="B852" s="95" t="s">
        <v>1866</v>
      </c>
      <c r="C852" s="88" t="s">
        <v>1785</v>
      </c>
      <c r="D852" s="96">
        <v>2022</v>
      </c>
      <c r="E852" s="90">
        <v>12</v>
      </c>
      <c r="F852" s="87" t="s">
        <v>32</v>
      </c>
      <c r="G852" s="136">
        <v>258</v>
      </c>
      <c r="H852" s="137"/>
      <c r="I852" s="138"/>
    </row>
    <row r="853" spans="1:9" ht="13">
      <c r="A853" s="139" t="s">
        <v>1867</v>
      </c>
      <c r="B853" s="95" t="s">
        <v>1868</v>
      </c>
      <c r="C853" s="88" t="s">
        <v>1869</v>
      </c>
      <c r="D853" s="96">
        <v>2023</v>
      </c>
      <c r="E853" s="90">
        <v>12</v>
      </c>
      <c r="F853" s="87" t="s">
        <v>32</v>
      </c>
      <c r="G853" s="136">
        <v>192</v>
      </c>
      <c r="H853" s="137"/>
      <c r="I853" s="138"/>
    </row>
    <row r="854" spans="1:9" ht="13">
      <c r="A854" s="139" t="s">
        <v>1870</v>
      </c>
      <c r="B854" s="95" t="s">
        <v>1871</v>
      </c>
      <c r="C854" s="88" t="s">
        <v>1816</v>
      </c>
      <c r="D854" s="96">
        <v>2021</v>
      </c>
      <c r="E854" s="90">
        <v>12</v>
      </c>
      <c r="F854" s="87" t="s">
        <v>32</v>
      </c>
      <c r="G854" s="136">
        <v>312</v>
      </c>
      <c r="H854" s="140"/>
      <c r="I854" s="141"/>
    </row>
    <row r="855" spans="1:9" ht="18">
      <c r="A855" s="699" t="s">
        <v>1872</v>
      </c>
      <c r="B855" s="689"/>
      <c r="C855" s="689"/>
      <c r="D855" s="689"/>
      <c r="E855" s="689"/>
      <c r="F855" s="689"/>
      <c r="G855" s="689"/>
      <c r="H855" s="689"/>
      <c r="I855" s="690"/>
    </row>
    <row r="856" spans="1:9" ht="13">
      <c r="A856" s="1" t="s">
        <v>1873</v>
      </c>
      <c r="B856" s="2" t="s">
        <v>1874</v>
      </c>
      <c r="C856" s="28" t="s">
        <v>1875</v>
      </c>
      <c r="D856" s="2">
        <v>2024</v>
      </c>
      <c r="E856" s="4">
        <v>12</v>
      </c>
      <c r="F856" s="5" t="s">
        <v>32</v>
      </c>
      <c r="G856" s="6">
        <v>144</v>
      </c>
      <c r="H856" s="26"/>
      <c r="I856" s="32"/>
    </row>
    <row r="857" spans="1:9" ht="13">
      <c r="A857" s="14" t="s">
        <v>1876</v>
      </c>
      <c r="B857" s="2" t="s">
        <v>1877</v>
      </c>
      <c r="C857" s="28" t="s">
        <v>1878</v>
      </c>
      <c r="D857" s="2">
        <v>2024</v>
      </c>
      <c r="E857" s="4">
        <v>12</v>
      </c>
      <c r="F857" s="5" t="s">
        <v>32</v>
      </c>
      <c r="G857" s="6">
        <v>144</v>
      </c>
      <c r="H857" s="26"/>
      <c r="I857" s="32"/>
    </row>
    <row r="858" spans="1:9" ht="13">
      <c r="A858" s="1" t="s">
        <v>1879</v>
      </c>
      <c r="B858" s="2" t="s">
        <v>1880</v>
      </c>
      <c r="C858" s="28" t="s">
        <v>1875</v>
      </c>
      <c r="D858" s="2">
        <v>2023</v>
      </c>
      <c r="E858" s="4">
        <v>12</v>
      </c>
      <c r="F858" s="5" t="s">
        <v>32</v>
      </c>
      <c r="G858" s="6">
        <v>180</v>
      </c>
      <c r="H858" s="38"/>
      <c r="I858" s="32"/>
    </row>
    <row r="859" spans="1:9" ht="13">
      <c r="A859" s="10" t="s">
        <v>1881</v>
      </c>
      <c r="B859" s="2" t="s">
        <v>1882</v>
      </c>
      <c r="C859" s="28" t="s">
        <v>1883</v>
      </c>
      <c r="D859" s="2">
        <v>2023</v>
      </c>
      <c r="E859" s="4">
        <v>12</v>
      </c>
      <c r="F859" s="5" t="s">
        <v>32</v>
      </c>
      <c r="G859" s="6">
        <v>168</v>
      </c>
      <c r="H859" s="38"/>
      <c r="I859" s="141"/>
    </row>
    <row r="860" spans="1:9" ht="13">
      <c r="A860" s="37" t="s">
        <v>1884</v>
      </c>
      <c r="B860" s="2" t="s">
        <v>1885</v>
      </c>
      <c r="C860" s="28" t="s">
        <v>1886</v>
      </c>
      <c r="D860" s="2">
        <v>2023</v>
      </c>
      <c r="E860" s="4">
        <v>12</v>
      </c>
      <c r="F860" s="5" t="s">
        <v>32</v>
      </c>
      <c r="G860" s="6">
        <v>162</v>
      </c>
      <c r="H860" s="38"/>
      <c r="I860" s="32"/>
    </row>
    <row r="861" spans="1:9" ht="13">
      <c r="A861" s="14" t="s">
        <v>1887</v>
      </c>
      <c r="B861" s="2" t="s">
        <v>1888</v>
      </c>
      <c r="C861" s="28" t="s">
        <v>1889</v>
      </c>
      <c r="D861" s="2">
        <v>2023</v>
      </c>
      <c r="E861" s="4">
        <v>12</v>
      </c>
      <c r="F861" s="5" t="s">
        <v>32</v>
      </c>
      <c r="G861" s="6">
        <v>168</v>
      </c>
      <c r="H861" s="38"/>
      <c r="I861" s="32"/>
    </row>
    <row r="862" spans="1:9" ht="13">
      <c r="A862" s="14" t="s">
        <v>1890</v>
      </c>
      <c r="B862" s="2" t="s">
        <v>1891</v>
      </c>
      <c r="C862" s="28" t="s">
        <v>1892</v>
      </c>
      <c r="D862" s="2">
        <v>2022</v>
      </c>
      <c r="E862" s="4">
        <v>12</v>
      </c>
      <c r="F862" s="5" t="s">
        <v>32</v>
      </c>
      <c r="G862" s="6">
        <v>204</v>
      </c>
      <c r="H862" s="38"/>
      <c r="I862" s="32"/>
    </row>
    <row r="863" spans="1:9" ht="23">
      <c r="A863" s="693" t="s">
        <v>1893</v>
      </c>
      <c r="B863" s="689"/>
      <c r="C863" s="689"/>
      <c r="D863" s="689"/>
      <c r="E863" s="689"/>
      <c r="F863" s="689"/>
      <c r="G863" s="689"/>
      <c r="H863" s="689"/>
      <c r="I863" s="690"/>
    </row>
    <row r="864" spans="1:9" ht="18">
      <c r="A864" s="700" t="s">
        <v>1894</v>
      </c>
      <c r="B864" s="689"/>
      <c r="C864" s="689"/>
      <c r="D864" s="689"/>
      <c r="E864" s="689"/>
      <c r="F864" s="689"/>
      <c r="G864" s="689"/>
      <c r="H864" s="689"/>
      <c r="I864" s="690"/>
    </row>
    <row r="865" spans="1:9" ht="13">
      <c r="A865" s="142" t="s">
        <v>1895</v>
      </c>
      <c r="B865" s="70" t="s">
        <v>1896</v>
      </c>
      <c r="C865" s="68" t="s">
        <v>519</v>
      </c>
      <c r="D865" s="2">
        <v>2022</v>
      </c>
      <c r="E865" s="69">
        <v>12</v>
      </c>
      <c r="F865" s="70" t="s">
        <v>32</v>
      </c>
      <c r="G865" s="143">
        <v>282</v>
      </c>
      <c r="H865" s="26"/>
      <c r="I865" s="18"/>
    </row>
    <row r="866" spans="1:9" ht="13">
      <c r="A866" s="73" t="s">
        <v>1897</v>
      </c>
      <c r="B866" s="70" t="s">
        <v>1898</v>
      </c>
      <c r="C866" s="28" t="s">
        <v>4</v>
      </c>
      <c r="D866" s="2">
        <v>2021</v>
      </c>
      <c r="E866" s="69">
        <v>12</v>
      </c>
      <c r="F866" s="70" t="s">
        <v>32</v>
      </c>
      <c r="G866" s="143">
        <v>252</v>
      </c>
      <c r="H866" s="33"/>
      <c r="I866" s="30"/>
    </row>
    <row r="867" spans="1:9" ht="13">
      <c r="A867" s="73" t="s">
        <v>1899</v>
      </c>
      <c r="B867" s="70" t="s">
        <v>1900</v>
      </c>
      <c r="C867" s="28" t="s">
        <v>4</v>
      </c>
      <c r="D867" s="2">
        <v>2021</v>
      </c>
      <c r="E867" s="69">
        <v>12</v>
      </c>
      <c r="F867" s="70" t="s">
        <v>32</v>
      </c>
      <c r="G867" s="143">
        <v>282</v>
      </c>
      <c r="H867" s="33"/>
      <c r="I867" s="30"/>
    </row>
    <row r="868" spans="1:9" ht="13">
      <c r="A868" s="73" t="s">
        <v>1901</v>
      </c>
      <c r="B868" s="70" t="s">
        <v>1902</v>
      </c>
      <c r="C868" s="28" t="s">
        <v>4</v>
      </c>
      <c r="D868" s="2">
        <v>2021</v>
      </c>
      <c r="E868" s="69">
        <v>3</v>
      </c>
      <c r="F868" s="70" t="s">
        <v>304</v>
      </c>
      <c r="G868" s="143">
        <v>150</v>
      </c>
      <c r="H868" s="33"/>
      <c r="I868" s="30"/>
    </row>
    <row r="869" spans="1:9" ht="13">
      <c r="A869" s="144" t="s">
        <v>1903</v>
      </c>
      <c r="B869" s="70" t="s">
        <v>1904</v>
      </c>
      <c r="C869" s="68" t="s">
        <v>155</v>
      </c>
      <c r="D869" s="2">
        <v>2022</v>
      </c>
      <c r="E869" s="69">
        <v>12</v>
      </c>
      <c r="F869" s="70" t="s">
        <v>32</v>
      </c>
      <c r="G869" s="143">
        <v>288</v>
      </c>
      <c r="H869" s="38"/>
      <c r="I869" s="18">
        <v>1</v>
      </c>
    </row>
    <row r="870" spans="1:9" ht="13">
      <c r="A870" s="144" t="s">
        <v>1905</v>
      </c>
      <c r="B870" s="70" t="s">
        <v>1904</v>
      </c>
      <c r="C870" s="68" t="s">
        <v>155</v>
      </c>
      <c r="D870" s="2">
        <v>2021</v>
      </c>
      <c r="E870" s="69">
        <v>12</v>
      </c>
      <c r="F870" s="70" t="s">
        <v>32</v>
      </c>
      <c r="G870" s="143">
        <v>252</v>
      </c>
      <c r="H870" s="33"/>
      <c r="I870" s="18">
        <v>1</v>
      </c>
    </row>
    <row r="871" spans="1:9" ht="13">
      <c r="A871" s="144" t="s">
        <v>1903</v>
      </c>
      <c r="B871" s="70" t="s">
        <v>1906</v>
      </c>
      <c r="C871" s="68" t="s">
        <v>155</v>
      </c>
      <c r="D871" s="2">
        <v>2022</v>
      </c>
      <c r="E871" s="69">
        <v>3</v>
      </c>
      <c r="F871" s="70" t="s">
        <v>304</v>
      </c>
      <c r="G871" s="143">
        <v>154.5</v>
      </c>
      <c r="H871" s="38"/>
      <c r="I871" s="19"/>
    </row>
    <row r="872" spans="1:9" ht="13">
      <c r="A872" s="144" t="s">
        <v>1907</v>
      </c>
      <c r="B872" s="70" t="s">
        <v>1908</v>
      </c>
      <c r="C872" s="68" t="s">
        <v>155</v>
      </c>
      <c r="D872" s="2">
        <v>2022</v>
      </c>
      <c r="E872" s="69">
        <v>12</v>
      </c>
      <c r="F872" s="70" t="s">
        <v>32</v>
      </c>
      <c r="G872" s="143">
        <v>270</v>
      </c>
      <c r="H872" s="38"/>
      <c r="I872" s="19"/>
    </row>
    <row r="873" spans="1:9" ht="13">
      <c r="A873" s="144" t="s">
        <v>1909</v>
      </c>
      <c r="B873" s="70" t="s">
        <v>1908</v>
      </c>
      <c r="C873" s="68" t="s">
        <v>155</v>
      </c>
      <c r="D873" s="2">
        <v>2021</v>
      </c>
      <c r="E873" s="69">
        <v>12</v>
      </c>
      <c r="F873" s="70" t="s">
        <v>32</v>
      </c>
      <c r="G873" s="143">
        <v>264</v>
      </c>
      <c r="H873" s="33"/>
      <c r="I873" s="18">
        <v>1</v>
      </c>
    </row>
    <row r="874" spans="1:9" ht="13">
      <c r="A874" s="144" t="s">
        <v>1910</v>
      </c>
      <c r="B874" s="70" t="s">
        <v>1911</v>
      </c>
      <c r="C874" s="68" t="s">
        <v>155</v>
      </c>
      <c r="D874" s="2">
        <v>2021</v>
      </c>
      <c r="E874" s="69">
        <v>3</v>
      </c>
      <c r="F874" s="70" t="s">
        <v>304</v>
      </c>
      <c r="G874" s="143">
        <v>145.5</v>
      </c>
      <c r="H874" s="38"/>
      <c r="I874" s="30"/>
    </row>
    <row r="875" spans="1:9" ht="13">
      <c r="A875" s="144" t="s">
        <v>1912</v>
      </c>
      <c r="B875" s="70" t="s">
        <v>1913</v>
      </c>
      <c r="C875" s="68" t="s">
        <v>1889</v>
      </c>
      <c r="D875" s="2">
        <v>2022</v>
      </c>
      <c r="E875" s="69">
        <v>12</v>
      </c>
      <c r="F875" s="70" t="s">
        <v>32</v>
      </c>
      <c r="G875" s="143">
        <v>300</v>
      </c>
      <c r="H875" s="38"/>
      <c r="I875" s="19"/>
    </row>
    <row r="876" spans="1:9" ht="13">
      <c r="A876" s="144" t="s">
        <v>1914</v>
      </c>
      <c r="B876" s="70" t="s">
        <v>1913</v>
      </c>
      <c r="C876" s="68" t="s">
        <v>1889</v>
      </c>
      <c r="D876" s="2">
        <v>2021</v>
      </c>
      <c r="E876" s="69">
        <v>12</v>
      </c>
      <c r="F876" s="70" t="s">
        <v>32</v>
      </c>
      <c r="G876" s="143">
        <v>282</v>
      </c>
      <c r="H876" s="33"/>
      <c r="I876" s="19"/>
    </row>
    <row r="877" spans="1:9" ht="13">
      <c r="A877" s="144" t="s">
        <v>1915</v>
      </c>
      <c r="B877" s="70" t="s">
        <v>1916</v>
      </c>
      <c r="C877" s="68" t="s">
        <v>1889</v>
      </c>
      <c r="D877" s="2">
        <v>2022</v>
      </c>
      <c r="E877" s="69">
        <v>3</v>
      </c>
      <c r="F877" s="70" t="s">
        <v>304</v>
      </c>
      <c r="G877" s="143">
        <v>150</v>
      </c>
      <c r="H877" s="38"/>
      <c r="I877" s="30"/>
    </row>
    <row r="878" spans="1:9" ht="13">
      <c r="A878" s="144" t="s">
        <v>1917</v>
      </c>
      <c r="B878" s="70" t="s">
        <v>1918</v>
      </c>
      <c r="C878" s="68" t="s">
        <v>155</v>
      </c>
      <c r="D878" s="2">
        <v>2021</v>
      </c>
      <c r="E878" s="69">
        <v>12</v>
      </c>
      <c r="F878" s="70" t="s">
        <v>32</v>
      </c>
      <c r="G878" s="143">
        <v>300</v>
      </c>
      <c r="H878" s="33"/>
      <c r="I878" s="18">
        <v>1</v>
      </c>
    </row>
    <row r="879" spans="1:9" ht="13">
      <c r="A879" s="144" t="s">
        <v>1919</v>
      </c>
      <c r="B879" s="70" t="s">
        <v>1920</v>
      </c>
      <c r="C879" s="68" t="s">
        <v>155</v>
      </c>
      <c r="D879" s="2">
        <v>2021</v>
      </c>
      <c r="E879" s="69">
        <v>3</v>
      </c>
      <c r="F879" s="70" t="s">
        <v>304</v>
      </c>
      <c r="G879" s="143">
        <v>162</v>
      </c>
      <c r="H879" s="33"/>
      <c r="I879" s="30"/>
    </row>
    <row r="880" spans="1:9" ht="13">
      <c r="A880" s="144" t="s">
        <v>1921</v>
      </c>
      <c r="B880" s="70" t="s">
        <v>1922</v>
      </c>
      <c r="C880" s="68" t="s">
        <v>1923</v>
      </c>
      <c r="D880" s="2">
        <v>2022</v>
      </c>
      <c r="E880" s="69">
        <v>12</v>
      </c>
      <c r="F880" s="70" t="s">
        <v>32</v>
      </c>
      <c r="G880" s="143">
        <v>300</v>
      </c>
      <c r="H880" s="26"/>
      <c r="I880" s="18"/>
    </row>
    <row r="881" spans="1:9" ht="13">
      <c r="A881" s="145" t="s">
        <v>1924</v>
      </c>
      <c r="B881" s="70" t="s">
        <v>1925</v>
      </c>
      <c r="C881" s="68" t="s">
        <v>1923</v>
      </c>
      <c r="D881" s="2">
        <v>2022</v>
      </c>
      <c r="E881" s="69">
        <v>3</v>
      </c>
      <c r="F881" s="70" t="s">
        <v>304</v>
      </c>
      <c r="G881" s="143">
        <v>162</v>
      </c>
      <c r="H881" s="26"/>
      <c r="I881" s="32"/>
    </row>
    <row r="882" spans="1:9" ht="18">
      <c r="A882" s="696" t="s">
        <v>1926</v>
      </c>
      <c r="B882" s="689"/>
      <c r="C882" s="689"/>
      <c r="D882" s="689"/>
      <c r="E882" s="689"/>
      <c r="F882" s="689"/>
      <c r="G882" s="689"/>
      <c r="H882" s="689"/>
      <c r="I882" s="690"/>
    </row>
    <row r="883" spans="1:9" ht="13">
      <c r="A883" s="1" t="s">
        <v>1927</v>
      </c>
      <c r="B883" s="5" t="s">
        <v>1928</v>
      </c>
      <c r="C883" s="28" t="s">
        <v>1810</v>
      </c>
      <c r="D883" s="5">
        <v>2023</v>
      </c>
      <c r="E883" s="4">
        <v>12</v>
      </c>
      <c r="F883" s="5" t="s">
        <v>32</v>
      </c>
      <c r="G883" s="41">
        <v>228</v>
      </c>
      <c r="H883" s="23"/>
      <c r="I883" s="32"/>
    </row>
    <row r="884" spans="1:9" ht="13">
      <c r="A884" s="1" t="s">
        <v>1929</v>
      </c>
      <c r="B884" s="5" t="s">
        <v>1930</v>
      </c>
      <c r="C884" s="28" t="s">
        <v>1810</v>
      </c>
      <c r="D884" s="5">
        <v>2023</v>
      </c>
      <c r="E884" s="4">
        <v>12</v>
      </c>
      <c r="F884" s="5" t="s">
        <v>32</v>
      </c>
      <c r="G884" s="41">
        <v>174</v>
      </c>
      <c r="H884" s="23"/>
      <c r="I884" s="32"/>
    </row>
    <row r="885" spans="1:9" ht="13">
      <c r="A885" s="1" t="s">
        <v>1931</v>
      </c>
      <c r="B885" s="5" t="s">
        <v>1932</v>
      </c>
      <c r="C885" s="28" t="s">
        <v>4</v>
      </c>
      <c r="D885" s="5">
        <v>2023</v>
      </c>
      <c r="E885" s="4">
        <v>12</v>
      </c>
      <c r="F885" s="5" t="s">
        <v>32</v>
      </c>
      <c r="G885" s="41">
        <v>210</v>
      </c>
      <c r="H885" s="23"/>
      <c r="I885" s="32"/>
    </row>
    <row r="886" spans="1:9" ht="13">
      <c r="A886" s="1" t="s">
        <v>1933</v>
      </c>
      <c r="B886" s="5" t="s">
        <v>1934</v>
      </c>
      <c r="C886" s="28" t="s">
        <v>4</v>
      </c>
      <c r="D886" s="5">
        <v>2022</v>
      </c>
      <c r="E886" s="4">
        <v>12</v>
      </c>
      <c r="F886" s="5" t="s">
        <v>32</v>
      </c>
      <c r="G886" s="41">
        <v>228</v>
      </c>
      <c r="H886" s="23"/>
      <c r="I886" s="32"/>
    </row>
    <row r="887" spans="1:9" ht="13">
      <c r="A887" s="25" t="s">
        <v>1935</v>
      </c>
      <c r="B887" s="5" t="s">
        <v>1936</v>
      </c>
      <c r="C887" s="28" t="s">
        <v>463</v>
      </c>
      <c r="D887" s="5">
        <v>2023</v>
      </c>
      <c r="E887" s="4">
        <v>12</v>
      </c>
      <c r="F887" s="5" t="s">
        <v>32</v>
      </c>
      <c r="G887" s="41">
        <v>210</v>
      </c>
      <c r="H887" s="23"/>
      <c r="I887" s="32"/>
    </row>
    <row r="888" spans="1:9" ht="13">
      <c r="A888" s="25" t="s">
        <v>1937</v>
      </c>
      <c r="B888" s="5" t="s">
        <v>1938</v>
      </c>
      <c r="C888" s="28" t="s">
        <v>463</v>
      </c>
      <c r="D888" s="5">
        <v>2023</v>
      </c>
      <c r="E888" s="4">
        <v>6</v>
      </c>
      <c r="F888" s="5" t="s">
        <v>304</v>
      </c>
      <c r="G888" s="41">
        <v>207</v>
      </c>
      <c r="H888" s="23"/>
      <c r="I888" s="32"/>
    </row>
    <row r="889" spans="1:9" ht="23">
      <c r="A889" s="693" t="s">
        <v>1939</v>
      </c>
      <c r="B889" s="689"/>
      <c r="C889" s="689"/>
      <c r="D889" s="689"/>
      <c r="E889" s="689"/>
      <c r="F889" s="689"/>
      <c r="G889" s="689"/>
      <c r="H889" s="689"/>
      <c r="I889" s="690"/>
    </row>
    <row r="890" spans="1:9" ht="18">
      <c r="A890" s="696" t="s">
        <v>1940</v>
      </c>
      <c r="B890" s="689"/>
      <c r="C890" s="689"/>
      <c r="D890" s="689"/>
      <c r="E890" s="689"/>
      <c r="F890" s="689"/>
      <c r="G890" s="689"/>
      <c r="H890" s="689"/>
      <c r="I890" s="690"/>
    </row>
    <row r="891" spans="1:9" ht="13">
      <c r="A891" s="701" t="s">
        <v>1941</v>
      </c>
      <c r="B891" s="689"/>
      <c r="C891" s="689"/>
      <c r="D891" s="689"/>
      <c r="E891" s="689"/>
      <c r="F891" s="689"/>
      <c r="G891" s="689"/>
      <c r="H891" s="689"/>
      <c r="I891" s="690"/>
    </row>
    <row r="892" spans="1:9" ht="18">
      <c r="A892" s="696" t="s">
        <v>1942</v>
      </c>
      <c r="B892" s="689"/>
      <c r="C892" s="689"/>
      <c r="D892" s="689"/>
      <c r="E892" s="689"/>
      <c r="F892" s="689"/>
      <c r="G892" s="689"/>
      <c r="H892" s="689"/>
      <c r="I892" s="690"/>
    </row>
    <row r="893" spans="1:9" ht="13">
      <c r="A893" s="702" t="s">
        <v>1941</v>
      </c>
      <c r="B893" s="703"/>
      <c r="C893" s="703"/>
      <c r="D893" s="703"/>
      <c r="E893" s="703"/>
      <c r="F893" s="703"/>
      <c r="G893" s="703"/>
      <c r="H893" s="703"/>
      <c r="I893" s="704"/>
    </row>
    <row r="894" spans="1:9" ht="18">
      <c r="A894" s="694" t="s">
        <v>1943</v>
      </c>
      <c r="B894" s="689"/>
      <c r="C894" s="689"/>
      <c r="D894" s="689"/>
      <c r="E894" s="689"/>
      <c r="F894" s="689"/>
      <c r="G894" s="689"/>
      <c r="H894" s="689"/>
      <c r="I894" s="690"/>
    </row>
    <row r="895" spans="1:9" ht="13">
      <c r="A895" s="15" t="s">
        <v>1944</v>
      </c>
      <c r="B895" s="2" t="s">
        <v>1945</v>
      </c>
      <c r="C895" s="28" t="s">
        <v>4</v>
      </c>
      <c r="D895" s="2" t="s">
        <v>5</v>
      </c>
      <c r="E895" s="4">
        <v>12</v>
      </c>
      <c r="F895" s="5" t="s">
        <v>32</v>
      </c>
      <c r="G895" s="146" t="s">
        <v>1946</v>
      </c>
      <c r="H895" s="147"/>
      <c r="I895" s="30"/>
    </row>
    <row r="896" spans="1:9" ht="13">
      <c r="A896" s="14" t="s">
        <v>1947</v>
      </c>
      <c r="B896" s="2" t="s">
        <v>1948</v>
      </c>
      <c r="C896" s="28" t="s">
        <v>1949</v>
      </c>
      <c r="D896" s="5">
        <v>2019</v>
      </c>
      <c r="E896" s="4">
        <v>12</v>
      </c>
      <c r="F896" s="5" t="s">
        <v>32</v>
      </c>
      <c r="G896" s="6">
        <v>348</v>
      </c>
      <c r="H896" s="38"/>
      <c r="I896" s="30"/>
    </row>
    <row r="897" spans="1:9" ht="13">
      <c r="A897" s="1" t="s">
        <v>1950</v>
      </c>
      <c r="B897" s="2" t="s">
        <v>1951</v>
      </c>
      <c r="C897" s="28" t="s">
        <v>4</v>
      </c>
      <c r="D897" s="5">
        <v>2021</v>
      </c>
      <c r="E897" s="4">
        <v>12</v>
      </c>
      <c r="F897" s="5" t="s">
        <v>32</v>
      </c>
      <c r="G897" s="6">
        <v>360</v>
      </c>
      <c r="H897" s="148"/>
      <c r="I897" s="30"/>
    </row>
    <row r="898" spans="1:9" ht="13">
      <c r="A898" s="1" t="s">
        <v>1952</v>
      </c>
      <c r="B898" s="2" t="s">
        <v>1953</v>
      </c>
      <c r="C898" s="28" t="s">
        <v>4</v>
      </c>
      <c r="D898" s="2">
        <v>2018</v>
      </c>
      <c r="E898" s="4">
        <v>12</v>
      </c>
      <c r="F898" s="5" t="s">
        <v>32</v>
      </c>
      <c r="G898" s="6">
        <v>420</v>
      </c>
      <c r="H898" s="38"/>
      <c r="I898" s="30"/>
    </row>
    <row r="899" spans="1:9" ht="13">
      <c r="A899" s="14" t="s">
        <v>1954</v>
      </c>
      <c r="B899" s="2" t="s">
        <v>1955</v>
      </c>
      <c r="C899" s="28" t="s">
        <v>1956</v>
      </c>
      <c r="D899" s="2">
        <v>2021</v>
      </c>
      <c r="E899" s="4">
        <v>12</v>
      </c>
      <c r="F899" s="5" t="s">
        <v>32</v>
      </c>
      <c r="G899" s="6">
        <v>360</v>
      </c>
      <c r="H899" s="148"/>
      <c r="I899" s="30"/>
    </row>
    <row r="900" spans="1:9" ht="13">
      <c r="A900" s="15" t="s">
        <v>1957</v>
      </c>
      <c r="B900" s="2" t="s">
        <v>1958</v>
      </c>
      <c r="C900" s="28" t="s">
        <v>1959</v>
      </c>
      <c r="D900" s="2">
        <v>2016</v>
      </c>
      <c r="E900" s="4">
        <v>12</v>
      </c>
      <c r="F900" s="5" t="s">
        <v>32</v>
      </c>
      <c r="G900" s="146" t="s">
        <v>1946</v>
      </c>
      <c r="H900" s="147"/>
      <c r="I900" s="30"/>
    </row>
    <row r="901" spans="1:9" ht="13">
      <c r="A901" s="1" t="s">
        <v>1960</v>
      </c>
      <c r="B901" s="2" t="s">
        <v>1961</v>
      </c>
      <c r="C901" s="149" t="s">
        <v>4</v>
      </c>
      <c r="D901" s="2">
        <v>2007</v>
      </c>
      <c r="E901" s="4">
        <v>12</v>
      </c>
      <c r="F901" s="5" t="s">
        <v>32</v>
      </c>
      <c r="G901" s="146" t="s">
        <v>1946</v>
      </c>
      <c r="H901" s="147"/>
      <c r="I901" s="30"/>
    </row>
    <row r="902" spans="1:9" ht="13">
      <c r="A902" s="14" t="s">
        <v>1962</v>
      </c>
      <c r="B902" s="2" t="s">
        <v>1963</v>
      </c>
      <c r="C902" s="28" t="s">
        <v>1949</v>
      </c>
      <c r="D902" s="2">
        <v>2018</v>
      </c>
      <c r="E902" s="4">
        <v>12</v>
      </c>
      <c r="F902" s="5" t="s">
        <v>32</v>
      </c>
      <c r="G902" s="6">
        <v>408</v>
      </c>
      <c r="H902" s="38"/>
      <c r="I902" s="30"/>
    </row>
    <row r="903" spans="1:9" ht="13">
      <c r="A903" s="10" t="s">
        <v>1964</v>
      </c>
      <c r="B903" s="2" t="s">
        <v>1965</v>
      </c>
      <c r="C903" s="28" t="s">
        <v>1966</v>
      </c>
      <c r="D903" s="2">
        <v>2013</v>
      </c>
      <c r="E903" s="4">
        <v>12</v>
      </c>
      <c r="F903" s="5" t="s">
        <v>32</v>
      </c>
      <c r="G903" s="146" t="s">
        <v>1946</v>
      </c>
      <c r="H903" s="147"/>
      <c r="I903" s="30"/>
    </row>
    <row r="904" spans="1:9" ht="13">
      <c r="A904" s="14" t="s">
        <v>1967</v>
      </c>
      <c r="B904" s="2" t="s">
        <v>1968</v>
      </c>
      <c r="C904" s="28" t="s">
        <v>742</v>
      </c>
      <c r="D904" s="2">
        <v>2015</v>
      </c>
      <c r="E904" s="4">
        <v>12</v>
      </c>
      <c r="F904" s="5" t="s">
        <v>32</v>
      </c>
      <c r="G904" s="146" t="s">
        <v>1946</v>
      </c>
      <c r="H904" s="147"/>
      <c r="I904" s="30"/>
    </row>
    <row r="905" spans="1:9" ht="13">
      <c r="A905" s="14" t="s">
        <v>1969</v>
      </c>
      <c r="B905" s="2" t="s">
        <v>1970</v>
      </c>
      <c r="C905" s="28" t="s">
        <v>1886</v>
      </c>
      <c r="D905" s="2">
        <v>2017</v>
      </c>
      <c r="E905" s="4">
        <v>12</v>
      </c>
      <c r="F905" s="5" t="s">
        <v>32</v>
      </c>
      <c r="G905" s="6">
        <v>282</v>
      </c>
      <c r="H905" s="38"/>
      <c r="I905" s="30"/>
    </row>
    <row r="906" spans="1:9" ht="13">
      <c r="A906" s="14" t="s">
        <v>1971</v>
      </c>
      <c r="B906" s="2" t="s">
        <v>1972</v>
      </c>
      <c r="C906" s="28" t="s">
        <v>155</v>
      </c>
      <c r="D906" s="2">
        <v>2014</v>
      </c>
      <c r="E906" s="4">
        <v>12</v>
      </c>
      <c r="F906" s="5" t="s">
        <v>32</v>
      </c>
      <c r="G906" s="146" t="s">
        <v>1946</v>
      </c>
      <c r="H906" s="147"/>
      <c r="I906" s="30"/>
    </row>
    <row r="907" spans="1:9" ht="13">
      <c r="A907" s="14" t="s">
        <v>1973</v>
      </c>
      <c r="B907" s="2" t="s">
        <v>1974</v>
      </c>
      <c r="C907" s="28" t="s">
        <v>1886</v>
      </c>
      <c r="D907" s="2">
        <v>2014</v>
      </c>
      <c r="E907" s="4">
        <v>12</v>
      </c>
      <c r="F907" s="5" t="s">
        <v>32</v>
      </c>
      <c r="G907" s="146" t="s">
        <v>1946</v>
      </c>
      <c r="H907" s="147"/>
      <c r="I907" s="30"/>
    </row>
    <row r="908" spans="1:9" ht="13">
      <c r="A908" s="1" t="s">
        <v>1975</v>
      </c>
      <c r="B908" s="2" t="s">
        <v>1976</v>
      </c>
      <c r="C908" s="28" t="s">
        <v>1977</v>
      </c>
      <c r="D908" s="2">
        <v>2019</v>
      </c>
      <c r="E908" s="4">
        <v>12</v>
      </c>
      <c r="F908" s="5" t="s">
        <v>32</v>
      </c>
      <c r="G908" s="6">
        <v>222</v>
      </c>
      <c r="H908" s="38"/>
      <c r="I908" s="30"/>
    </row>
    <row r="909" spans="1:9" ht="13">
      <c r="A909" s="37" t="s">
        <v>1978</v>
      </c>
      <c r="B909" s="2" t="s">
        <v>1979</v>
      </c>
      <c r="C909" s="28" t="s">
        <v>155</v>
      </c>
      <c r="D909" s="2">
        <v>2018</v>
      </c>
      <c r="E909" s="4">
        <v>12</v>
      </c>
      <c r="F909" s="5" t="s">
        <v>32</v>
      </c>
      <c r="G909" s="6">
        <v>222</v>
      </c>
      <c r="H909" s="38"/>
      <c r="I909" s="30"/>
    </row>
    <row r="910" spans="1:9" ht="13">
      <c r="A910" s="14" t="s">
        <v>1980</v>
      </c>
      <c r="B910" s="2" t="s">
        <v>1981</v>
      </c>
      <c r="C910" s="28" t="s">
        <v>1982</v>
      </c>
      <c r="D910" s="5">
        <v>2016</v>
      </c>
      <c r="E910" s="4">
        <v>12</v>
      </c>
      <c r="F910" s="5" t="s">
        <v>32</v>
      </c>
      <c r="G910" s="6">
        <v>282</v>
      </c>
      <c r="H910" s="38"/>
      <c r="I910" s="30"/>
    </row>
    <row r="911" spans="1:9" ht="13">
      <c r="A911" s="14" t="s">
        <v>1983</v>
      </c>
      <c r="B911" s="2" t="s">
        <v>1984</v>
      </c>
      <c r="C911" s="28" t="s">
        <v>1985</v>
      </c>
      <c r="D911" s="5">
        <v>2017</v>
      </c>
      <c r="E911" s="4">
        <v>12</v>
      </c>
      <c r="F911" s="5" t="s">
        <v>32</v>
      </c>
      <c r="G911" s="6">
        <v>282</v>
      </c>
      <c r="H911" s="38"/>
      <c r="I911" s="30"/>
    </row>
    <row r="912" spans="1:9" ht="13">
      <c r="A912" s="25" t="s">
        <v>1986</v>
      </c>
      <c r="B912" s="5" t="s">
        <v>1987</v>
      </c>
      <c r="C912" s="28" t="s">
        <v>155</v>
      </c>
      <c r="D912" s="5">
        <v>2017</v>
      </c>
      <c r="E912" s="4">
        <v>12</v>
      </c>
      <c r="F912" s="5" t="s">
        <v>32</v>
      </c>
      <c r="G912" s="6">
        <v>240</v>
      </c>
      <c r="H912" s="38"/>
      <c r="I912" s="30"/>
    </row>
    <row r="913" spans="1:9" ht="13">
      <c r="A913" s="25" t="s">
        <v>1988</v>
      </c>
      <c r="B913" s="5" t="s">
        <v>1989</v>
      </c>
      <c r="C913" s="28" t="s">
        <v>1990</v>
      </c>
      <c r="D913" s="5">
        <v>2018</v>
      </c>
      <c r="E913" s="4">
        <v>12</v>
      </c>
      <c r="F913" s="5" t="s">
        <v>32</v>
      </c>
      <c r="G913" s="29">
        <v>432</v>
      </c>
      <c r="H913" s="31"/>
      <c r="I913" s="30"/>
    </row>
    <row r="914" spans="1:9" ht="13">
      <c r="A914" s="14" t="s">
        <v>1991</v>
      </c>
      <c r="B914" s="2" t="s">
        <v>1992</v>
      </c>
      <c r="C914" s="28" t="s">
        <v>1993</v>
      </c>
      <c r="D914" s="2">
        <v>2015</v>
      </c>
      <c r="E914" s="4">
        <v>12</v>
      </c>
      <c r="F914" s="5" t="s">
        <v>32</v>
      </c>
      <c r="G914" s="146" t="s">
        <v>1946</v>
      </c>
      <c r="H914" s="147"/>
      <c r="I914" s="30"/>
    </row>
    <row r="915" spans="1:9" ht="13">
      <c r="A915" s="14" t="s">
        <v>1994</v>
      </c>
      <c r="B915" s="2" t="s">
        <v>1995</v>
      </c>
      <c r="C915" s="28" t="s">
        <v>1949</v>
      </c>
      <c r="D915" s="2">
        <v>2016</v>
      </c>
      <c r="E915" s="4">
        <v>12</v>
      </c>
      <c r="F915" s="5" t="s">
        <v>32</v>
      </c>
      <c r="G915" s="146" t="s">
        <v>1946</v>
      </c>
      <c r="H915" s="147"/>
      <c r="I915" s="30"/>
    </row>
    <row r="916" spans="1:9" ht="13">
      <c r="A916" s="14" t="s">
        <v>1996</v>
      </c>
      <c r="B916" s="2" t="s">
        <v>1997</v>
      </c>
      <c r="C916" s="28" t="s">
        <v>1998</v>
      </c>
      <c r="D916" s="2">
        <v>2022</v>
      </c>
      <c r="E916" s="4">
        <v>12</v>
      </c>
      <c r="F916" s="5" t="s">
        <v>32</v>
      </c>
      <c r="G916" s="6">
        <v>246</v>
      </c>
      <c r="H916" s="148"/>
      <c r="I916" s="30"/>
    </row>
    <row r="917" spans="1:9" ht="13">
      <c r="A917" s="25" t="s">
        <v>1999</v>
      </c>
      <c r="B917" s="5" t="s">
        <v>2000</v>
      </c>
      <c r="C917" s="28" t="s">
        <v>2001</v>
      </c>
      <c r="D917" s="5">
        <v>2016</v>
      </c>
      <c r="E917" s="4">
        <v>12</v>
      </c>
      <c r="F917" s="5" t="s">
        <v>32</v>
      </c>
      <c r="G917" s="150" t="s">
        <v>1946</v>
      </c>
      <c r="H917" s="151"/>
      <c r="I917" s="30"/>
    </row>
    <row r="918" spans="1:9" ht="13">
      <c r="A918" s="14" t="s">
        <v>2002</v>
      </c>
      <c r="B918" s="2" t="s">
        <v>2003</v>
      </c>
      <c r="C918" s="28" t="s">
        <v>2004</v>
      </c>
      <c r="D918" s="2">
        <v>2018</v>
      </c>
      <c r="E918" s="4">
        <v>12</v>
      </c>
      <c r="F918" s="5" t="s">
        <v>32</v>
      </c>
      <c r="G918" s="6">
        <v>384</v>
      </c>
      <c r="H918" s="38"/>
      <c r="I918" s="30"/>
    </row>
    <row r="919" spans="1:9" ht="13">
      <c r="A919" s="1" t="s">
        <v>2005</v>
      </c>
      <c r="B919" s="2" t="s">
        <v>2006</v>
      </c>
      <c r="C919" s="28" t="s">
        <v>2007</v>
      </c>
      <c r="D919" s="2">
        <v>2017</v>
      </c>
      <c r="E919" s="4">
        <v>12</v>
      </c>
      <c r="F919" s="5" t="s">
        <v>32</v>
      </c>
      <c r="G919" s="6">
        <v>450</v>
      </c>
      <c r="H919" s="38"/>
      <c r="I919" s="30"/>
    </row>
    <row r="920" spans="1:9" ht="13">
      <c r="A920" s="14" t="s">
        <v>2008</v>
      </c>
      <c r="B920" s="2" t="s">
        <v>2009</v>
      </c>
      <c r="C920" s="28" t="s">
        <v>155</v>
      </c>
      <c r="D920" s="2">
        <v>2016</v>
      </c>
      <c r="E920" s="4">
        <v>12</v>
      </c>
      <c r="F920" s="5" t="s">
        <v>32</v>
      </c>
      <c r="G920" s="6">
        <v>186</v>
      </c>
      <c r="H920" s="38"/>
      <c r="I920" s="30"/>
    </row>
    <row r="921" spans="1:9" ht="13">
      <c r="A921" s="14" t="s">
        <v>2010</v>
      </c>
      <c r="B921" s="2" t="s">
        <v>2011</v>
      </c>
      <c r="C921" s="28" t="s">
        <v>2012</v>
      </c>
      <c r="D921" s="2">
        <v>2014</v>
      </c>
      <c r="E921" s="4">
        <v>12</v>
      </c>
      <c r="F921" s="5" t="s">
        <v>32</v>
      </c>
      <c r="G921" s="6">
        <v>198</v>
      </c>
      <c r="H921" s="38"/>
      <c r="I921" s="30"/>
    </row>
    <row r="922" spans="1:9" ht="13">
      <c r="A922" s="14" t="s">
        <v>2013</v>
      </c>
      <c r="B922" s="2" t="s">
        <v>2014</v>
      </c>
      <c r="C922" s="28" t="s">
        <v>463</v>
      </c>
      <c r="D922" s="2">
        <v>2021</v>
      </c>
      <c r="E922" s="4">
        <v>12</v>
      </c>
      <c r="F922" s="5" t="s">
        <v>32</v>
      </c>
      <c r="G922" s="6">
        <v>360</v>
      </c>
      <c r="H922" s="148"/>
      <c r="I922" s="30"/>
    </row>
    <row r="923" spans="1:9" ht="13">
      <c r="A923" s="14" t="s">
        <v>2015</v>
      </c>
      <c r="B923" s="2" t="s">
        <v>2016</v>
      </c>
      <c r="C923" s="28" t="s">
        <v>2017</v>
      </c>
      <c r="D923" s="2">
        <v>2017</v>
      </c>
      <c r="E923" s="4">
        <v>12</v>
      </c>
      <c r="F923" s="5" t="s">
        <v>32</v>
      </c>
      <c r="G923" s="6">
        <v>240</v>
      </c>
      <c r="H923" s="38"/>
      <c r="I923" s="30"/>
    </row>
    <row r="924" spans="1:9" ht="13">
      <c r="A924" s="14" t="s">
        <v>2018</v>
      </c>
      <c r="B924" s="2" t="s">
        <v>2019</v>
      </c>
      <c r="C924" s="28" t="s">
        <v>61</v>
      </c>
      <c r="D924" s="2">
        <v>2021</v>
      </c>
      <c r="E924" s="4">
        <v>12</v>
      </c>
      <c r="F924" s="5" t="s">
        <v>32</v>
      </c>
      <c r="G924" s="6">
        <v>228</v>
      </c>
      <c r="H924" s="148"/>
      <c r="I924" s="30"/>
    </row>
    <row r="925" spans="1:9" ht="13">
      <c r="A925" s="1" t="s">
        <v>2020</v>
      </c>
      <c r="B925" s="2" t="s">
        <v>2021</v>
      </c>
      <c r="C925" s="28" t="s">
        <v>765</v>
      </c>
      <c r="D925" s="2">
        <v>2021</v>
      </c>
      <c r="E925" s="4">
        <v>12</v>
      </c>
      <c r="F925" s="5" t="s">
        <v>32</v>
      </c>
      <c r="G925" s="6">
        <v>240</v>
      </c>
      <c r="H925" s="38"/>
      <c r="I925" s="30"/>
    </row>
    <row r="926" spans="1:9" ht="13">
      <c r="A926" s="10" t="s">
        <v>2022</v>
      </c>
      <c r="B926" s="2" t="s">
        <v>2023</v>
      </c>
      <c r="C926" s="28" t="s">
        <v>2024</v>
      </c>
      <c r="D926" s="2">
        <v>2019</v>
      </c>
      <c r="E926" s="4">
        <v>12</v>
      </c>
      <c r="F926" s="5" t="s">
        <v>32</v>
      </c>
      <c r="G926" s="6">
        <v>294</v>
      </c>
      <c r="H926" s="38"/>
      <c r="I926" s="30"/>
    </row>
    <row r="927" spans="1:9" ht="13">
      <c r="A927" s="10" t="s">
        <v>2025</v>
      </c>
      <c r="B927" s="2" t="s">
        <v>2026</v>
      </c>
      <c r="C927" s="28" t="s">
        <v>2027</v>
      </c>
      <c r="D927" s="2">
        <v>2020</v>
      </c>
      <c r="E927" s="4">
        <v>12</v>
      </c>
      <c r="F927" s="5" t="s">
        <v>32</v>
      </c>
      <c r="G927" s="6">
        <v>276</v>
      </c>
      <c r="H927" s="38"/>
      <c r="I927" s="30"/>
    </row>
    <row r="928" spans="1:9" ht="13">
      <c r="A928" s="10" t="s">
        <v>2028</v>
      </c>
      <c r="B928" s="2" t="s">
        <v>2029</v>
      </c>
      <c r="C928" s="28" t="s">
        <v>2030</v>
      </c>
      <c r="D928" s="2">
        <v>2022</v>
      </c>
      <c r="E928" s="4">
        <v>12</v>
      </c>
      <c r="F928" s="5" t="s">
        <v>32</v>
      </c>
      <c r="G928" s="6">
        <v>228</v>
      </c>
      <c r="H928" s="148"/>
      <c r="I928" s="30"/>
    </row>
    <row r="929" spans="1:9" ht="13">
      <c r="A929" s="14" t="s">
        <v>2031</v>
      </c>
      <c r="B929" s="2" t="s">
        <v>2032</v>
      </c>
      <c r="C929" s="28" t="s">
        <v>155</v>
      </c>
      <c r="D929" s="2">
        <v>2017</v>
      </c>
      <c r="E929" s="4">
        <v>12</v>
      </c>
      <c r="F929" s="5" t="s">
        <v>32</v>
      </c>
      <c r="G929" s="6">
        <v>282</v>
      </c>
      <c r="H929" s="38"/>
      <c r="I929" s="30"/>
    </row>
    <row r="930" spans="1:9" ht="13">
      <c r="A930" s="10" t="s">
        <v>2033</v>
      </c>
      <c r="B930" s="2" t="s">
        <v>2034</v>
      </c>
      <c r="C930" s="28" t="s">
        <v>1827</v>
      </c>
      <c r="D930" s="2">
        <v>2021</v>
      </c>
      <c r="E930" s="4">
        <v>12</v>
      </c>
      <c r="F930" s="5" t="s">
        <v>32</v>
      </c>
      <c r="G930" s="6">
        <v>276</v>
      </c>
      <c r="H930" s="148"/>
      <c r="I930" s="30"/>
    </row>
    <row r="931" spans="1:9" ht="13">
      <c r="A931" s="1" t="s">
        <v>2035</v>
      </c>
      <c r="B931" s="2" t="s">
        <v>2036</v>
      </c>
      <c r="C931" s="28" t="s">
        <v>4</v>
      </c>
      <c r="D931" s="2">
        <v>2020</v>
      </c>
      <c r="E931" s="4">
        <v>12</v>
      </c>
      <c r="F931" s="5" t="s">
        <v>32</v>
      </c>
      <c r="G931" s="6">
        <v>264</v>
      </c>
      <c r="H931" s="148"/>
      <c r="I931" s="30"/>
    </row>
    <row r="932" spans="1:9" ht="13">
      <c r="A932" s="14" t="s">
        <v>2037</v>
      </c>
      <c r="B932" s="2" t="s">
        <v>2038</v>
      </c>
      <c r="C932" s="28" t="s">
        <v>1956</v>
      </c>
      <c r="D932" s="2">
        <v>2018</v>
      </c>
      <c r="E932" s="4">
        <v>12</v>
      </c>
      <c r="F932" s="5" t="s">
        <v>32</v>
      </c>
      <c r="G932" s="6">
        <v>258</v>
      </c>
      <c r="H932" s="148"/>
      <c r="I932" s="30"/>
    </row>
    <row r="933" spans="1:9" ht="13">
      <c r="A933" s="1" t="s">
        <v>2039</v>
      </c>
      <c r="B933" s="2" t="s">
        <v>2040</v>
      </c>
      <c r="C933" s="28" t="s">
        <v>1966</v>
      </c>
      <c r="D933" s="2">
        <v>2020</v>
      </c>
      <c r="E933" s="4">
        <v>6</v>
      </c>
      <c r="F933" s="5" t="s">
        <v>304</v>
      </c>
      <c r="G933" s="6">
        <v>312</v>
      </c>
      <c r="H933" s="148"/>
      <c r="I933" s="30"/>
    </row>
    <row r="934" spans="1:9" ht="13">
      <c r="A934" s="10" t="s">
        <v>2041</v>
      </c>
      <c r="B934" s="2" t="s">
        <v>2042</v>
      </c>
      <c r="C934" s="28" t="s">
        <v>1785</v>
      </c>
      <c r="D934" s="2">
        <v>2021</v>
      </c>
      <c r="E934" s="4">
        <v>12</v>
      </c>
      <c r="F934" s="5" t="s">
        <v>32</v>
      </c>
      <c r="G934" s="6">
        <v>228</v>
      </c>
      <c r="H934" s="148"/>
      <c r="I934" s="30"/>
    </row>
    <row r="935" spans="1:9" ht="13">
      <c r="A935" s="1" t="s">
        <v>2043</v>
      </c>
      <c r="B935" s="2" t="s">
        <v>2044</v>
      </c>
      <c r="C935" s="28" t="s">
        <v>2045</v>
      </c>
      <c r="D935" s="2">
        <v>2021</v>
      </c>
      <c r="E935" s="4">
        <v>12</v>
      </c>
      <c r="F935" s="5" t="s">
        <v>32</v>
      </c>
      <c r="G935" s="6">
        <v>228</v>
      </c>
      <c r="H935" s="148"/>
      <c r="I935" s="30"/>
    </row>
    <row r="936" spans="1:9" ht="13">
      <c r="A936" s="37" t="s">
        <v>2046</v>
      </c>
      <c r="B936" s="2" t="s">
        <v>2047</v>
      </c>
      <c r="C936" s="28" t="s">
        <v>2048</v>
      </c>
      <c r="D936" s="2">
        <v>2021</v>
      </c>
      <c r="E936" s="4">
        <v>12</v>
      </c>
      <c r="F936" s="5" t="s">
        <v>32</v>
      </c>
      <c r="G936" s="6">
        <v>228</v>
      </c>
      <c r="H936" s="148"/>
      <c r="I936" s="30"/>
    </row>
    <row r="937" spans="1:9" ht="18">
      <c r="A937" s="696" t="s">
        <v>2049</v>
      </c>
      <c r="B937" s="689"/>
      <c r="C937" s="689"/>
      <c r="D937" s="689"/>
      <c r="E937" s="689"/>
      <c r="F937" s="689"/>
      <c r="G937" s="689"/>
      <c r="H937" s="689"/>
      <c r="I937" s="690"/>
    </row>
    <row r="938" spans="1:9" ht="13">
      <c r="A938" s="152" t="s">
        <v>2050</v>
      </c>
      <c r="B938" s="153" t="s">
        <v>2051</v>
      </c>
      <c r="C938" s="154" t="s">
        <v>2052</v>
      </c>
      <c r="D938" s="155">
        <v>2020</v>
      </c>
      <c r="E938" s="156">
        <v>12</v>
      </c>
      <c r="F938" s="153" t="s">
        <v>32</v>
      </c>
      <c r="G938" s="157">
        <v>192</v>
      </c>
      <c r="H938" s="33"/>
      <c r="I938" s="30"/>
    </row>
    <row r="939" spans="1:9" ht="13">
      <c r="A939" s="158" t="s">
        <v>2053</v>
      </c>
      <c r="B939" s="153" t="s">
        <v>2054</v>
      </c>
      <c r="C939" s="154" t="s">
        <v>2055</v>
      </c>
      <c r="D939" s="155">
        <v>2020</v>
      </c>
      <c r="E939" s="156">
        <v>12</v>
      </c>
      <c r="F939" s="153" t="s">
        <v>32</v>
      </c>
      <c r="G939" s="157">
        <v>216</v>
      </c>
      <c r="H939" s="33"/>
      <c r="I939" s="18">
        <v>1</v>
      </c>
    </row>
    <row r="940" spans="1:9" ht="13">
      <c r="A940" s="158" t="s">
        <v>2056</v>
      </c>
      <c r="B940" s="153" t="s">
        <v>2057</v>
      </c>
      <c r="C940" s="154" t="s">
        <v>2058</v>
      </c>
      <c r="D940" s="155">
        <v>2021</v>
      </c>
      <c r="E940" s="156">
        <v>12</v>
      </c>
      <c r="F940" s="153" t="s">
        <v>32</v>
      </c>
      <c r="G940" s="157">
        <v>234</v>
      </c>
      <c r="H940" s="33"/>
      <c r="I940" s="19"/>
    </row>
    <row r="941" spans="1:9" ht="13">
      <c r="A941" s="158" t="s">
        <v>2059</v>
      </c>
      <c r="B941" s="153" t="s">
        <v>2060</v>
      </c>
      <c r="C941" s="154" t="s">
        <v>2061</v>
      </c>
      <c r="D941" s="155">
        <v>2020</v>
      </c>
      <c r="E941" s="156">
        <v>12</v>
      </c>
      <c r="F941" s="153" t="s">
        <v>32</v>
      </c>
      <c r="G941" s="157">
        <v>252</v>
      </c>
      <c r="H941" s="33"/>
      <c r="I941" s="19"/>
    </row>
    <row r="942" spans="1:9" ht="13">
      <c r="A942" s="159" t="s">
        <v>2062</v>
      </c>
      <c r="B942" s="153" t="s">
        <v>2063</v>
      </c>
      <c r="C942" s="154" t="s">
        <v>2064</v>
      </c>
      <c r="D942" s="155">
        <v>2021</v>
      </c>
      <c r="E942" s="156">
        <v>12</v>
      </c>
      <c r="F942" s="153" t="s">
        <v>32</v>
      </c>
      <c r="G942" s="157">
        <v>252</v>
      </c>
      <c r="H942" s="33"/>
      <c r="I942" s="19"/>
    </row>
    <row r="943" spans="1:9" ht="13">
      <c r="A943" s="145" t="s">
        <v>2065</v>
      </c>
      <c r="B943" s="153" t="s">
        <v>2066</v>
      </c>
      <c r="C943" s="154" t="s">
        <v>2067</v>
      </c>
      <c r="D943" s="155">
        <v>2020</v>
      </c>
      <c r="E943" s="156">
        <v>12</v>
      </c>
      <c r="F943" s="153" t="s">
        <v>32</v>
      </c>
      <c r="G943" s="157">
        <v>234</v>
      </c>
      <c r="H943" s="33"/>
      <c r="I943" s="30"/>
    </row>
    <row r="944" spans="1:9" ht="13">
      <c r="A944" s="145" t="s">
        <v>2068</v>
      </c>
      <c r="B944" s="153" t="s">
        <v>2069</v>
      </c>
      <c r="C944" s="154" t="s">
        <v>463</v>
      </c>
      <c r="D944" s="155">
        <v>2018</v>
      </c>
      <c r="E944" s="156">
        <v>12</v>
      </c>
      <c r="F944" s="153" t="s">
        <v>32</v>
      </c>
      <c r="G944" s="157">
        <v>336</v>
      </c>
      <c r="H944" s="33"/>
      <c r="I944" s="30"/>
    </row>
    <row r="945" spans="1:9" ht="18">
      <c r="A945" s="694" t="s">
        <v>2070</v>
      </c>
      <c r="B945" s="689"/>
      <c r="C945" s="689"/>
      <c r="D945" s="689"/>
      <c r="E945" s="689"/>
      <c r="F945" s="689"/>
      <c r="G945" s="689"/>
      <c r="H945" s="689"/>
      <c r="I945" s="690"/>
    </row>
    <row r="946" spans="1:9" ht="13">
      <c r="A946" s="1" t="s">
        <v>2071</v>
      </c>
      <c r="B946" s="2" t="s">
        <v>2072</v>
      </c>
      <c r="C946" s="28" t="s">
        <v>4</v>
      </c>
      <c r="D946" s="2">
        <v>2022</v>
      </c>
      <c r="E946" s="4">
        <v>12</v>
      </c>
      <c r="F946" s="5" t="s">
        <v>32</v>
      </c>
      <c r="G946" s="6">
        <v>210</v>
      </c>
      <c r="H946" s="160"/>
      <c r="I946" s="30"/>
    </row>
    <row r="947" spans="1:9" ht="13">
      <c r="A947" s="1" t="s">
        <v>2073</v>
      </c>
      <c r="B947" s="2" t="s">
        <v>2074</v>
      </c>
      <c r="C947" s="28" t="s">
        <v>4</v>
      </c>
      <c r="D947" s="2">
        <v>2020</v>
      </c>
      <c r="E947" s="4">
        <v>12</v>
      </c>
      <c r="F947" s="5" t="s">
        <v>32</v>
      </c>
      <c r="G947" s="6">
        <v>240</v>
      </c>
      <c r="H947" s="148"/>
      <c r="I947" s="30"/>
    </row>
    <row r="948" spans="1:9" ht="13">
      <c r="A948" s="1" t="s">
        <v>2075</v>
      </c>
      <c r="B948" s="2" t="s">
        <v>2076</v>
      </c>
      <c r="C948" s="28" t="s">
        <v>2077</v>
      </c>
      <c r="D948" s="2">
        <v>2022</v>
      </c>
      <c r="E948" s="4">
        <v>12</v>
      </c>
      <c r="F948" s="5" t="s">
        <v>32</v>
      </c>
      <c r="G948" s="6">
        <v>312</v>
      </c>
      <c r="H948" s="7"/>
      <c r="I948" s="32"/>
    </row>
    <row r="949" spans="1:9" ht="13">
      <c r="A949" s="1" t="s">
        <v>2078</v>
      </c>
      <c r="B949" s="2" t="s">
        <v>2079</v>
      </c>
      <c r="C949" s="28" t="s">
        <v>2077</v>
      </c>
      <c r="D949" s="2">
        <v>2022</v>
      </c>
      <c r="E949" s="4">
        <v>3</v>
      </c>
      <c r="F949" s="2" t="s">
        <v>304</v>
      </c>
      <c r="G949" s="34">
        <v>148.5</v>
      </c>
      <c r="H949" s="7"/>
      <c r="I949" s="18"/>
    </row>
    <row r="950" spans="1:9" ht="13">
      <c r="A950" s="1" t="s">
        <v>2080</v>
      </c>
      <c r="B950" s="2" t="s">
        <v>2081</v>
      </c>
      <c r="C950" s="28" t="s">
        <v>1966</v>
      </c>
      <c r="D950" s="2">
        <v>2020</v>
      </c>
      <c r="E950" s="4">
        <v>12</v>
      </c>
      <c r="F950" s="5" t="s">
        <v>32</v>
      </c>
      <c r="G950" s="34">
        <v>276</v>
      </c>
      <c r="H950" s="160"/>
      <c r="I950" s="32"/>
    </row>
    <row r="951" spans="1:9" ht="13">
      <c r="A951" s="1" t="s">
        <v>2082</v>
      </c>
      <c r="B951" s="2" t="s">
        <v>2083</v>
      </c>
      <c r="C951" s="28" t="s">
        <v>1966</v>
      </c>
      <c r="D951" s="2">
        <v>2020</v>
      </c>
      <c r="E951" s="4">
        <v>3</v>
      </c>
      <c r="F951" s="5" t="s">
        <v>304</v>
      </c>
      <c r="G951" s="34">
        <v>147</v>
      </c>
      <c r="H951" s="36"/>
      <c r="I951" s="32"/>
    </row>
    <row r="952" spans="1:9" ht="13">
      <c r="A952" s="1" t="s">
        <v>2084</v>
      </c>
      <c r="B952" s="2" t="s">
        <v>2085</v>
      </c>
      <c r="C952" s="28" t="s">
        <v>1966</v>
      </c>
      <c r="D952" s="2">
        <v>2022</v>
      </c>
      <c r="E952" s="4">
        <v>12</v>
      </c>
      <c r="F952" s="5" t="s">
        <v>32</v>
      </c>
      <c r="G952" s="34">
        <v>312</v>
      </c>
      <c r="H952" s="36"/>
      <c r="I952" s="30"/>
    </row>
    <row r="953" spans="1:9" ht="13">
      <c r="A953" s="54" t="s">
        <v>2086</v>
      </c>
      <c r="B953" s="5" t="s">
        <v>2087</v>
      </c>
      <c r="C953" s="28" t="s">
        <v>2088</v>
      </c>
      <c r="D953" s="5">
        <v>2023</v>
      </c>
      <c r="E953" s="4">
        <v>12</v>
      </c>
      <c r="F953" s="5" t="s">
        <v>32</v>
      </c>
      <c r="G953" s="41">
        <v>240</v>
      </c>
      <c r="H953" s="36"/>
      <c r="I953" s="32"/>
    </row>
    <row r="954" spans="1:9" ht="13">
      <c r="A954" s="121" t="s">
        <v>2089</v>
      </c>
      <c r="B954" s="2" t="s">
        <v>2090</v>
      </c>
      <c r="C954" s="28" t="s">
        <v>2007</v>
      </c>
      <c r="D954" s="2" t="s">
        <v>5</v>
      </c>
      <c r="E954" s="4">
        <v>12</v>
      </c>
      <c r="F954" s="5" t="s">
        <v>32</v>
      </c>
      <c r="G954" s="6">
        <v>228</v>
      </c>
      <c r="H954" s="160"/>
      <c r="I954" s="32"/>
    </row>
    <row r="955" spans="1:9" ht="13">
      <c r="A955" s="25" t="s">
        <v>2091</v>
      </c>
      <c r="B955" s="5" t="s">
        <v>2092</v>
      </c>
      <c r="C955" s="28" t="s">
        <v>1956</v>
      </c>
      <c r="D955" s="5">
        <v>2023</v>
      </c>
      <c r="E955" s="4">
        <v>12</v>
      </c>
      <c r="F955" s="5" t="s">
        <v>32</v>
      </c>
      <c r="G955" s="41">
        <v>192</v>
      </c>
      <c r="H955" s="160"/>
      <c r="I955" s="30"/>
    </row>
    <row r="956" spans="1:9" ht="13">
      <c r="A956" s="25" t="s">
        <v>2093</v>
      </c>
      <c r="B956" s="5" t="s">
        <v>2094</v>
      </c>
      <c r="C956" s="28" t="s">
        <v>2095</v>
      </c>
      <c r="D956" s="5">
        <v>2022</v>
      </c>
      <c r="E956" s="4">
        <v>12</v>
      </c>
      <c r="F956" s="5" t="s">
        <v>32</v>
      </c>
      <c r="G956" s="41">
        <v>228</v>
      </c>
      <c r="H956" s="160"/>
      <c r="I956" s="32"/>
    </row>
    <row r="957" spans="1:9" ht="13">
      <c r="A957" s="25" t="s">
        <v>2096</v>
      </c>
      <c r="B957" s="5" t="s">
        <v>2097</v>
      </c>
      <c r="C957" s="28" t="s">
        <v>2095</v>
      </c>
      <c r="D957" s="5">
        <v>2022</v>
      </c>
      <c r="E957" s="4">
        <v>3</v>
      </c>
      <c r="F957" s="5" t="s">
        <v>304</v>
      </c>
      <c r="G957" s="41">
        <v>129</v>
      </c>
      <c r="H957" s="160"/>
      <c r="I957" s="32"/>
    </row>
    <row r="958" spans="1:9" ht="13">
      <c r="A958" s="25" t="s">
        <v>2098</v>
      </c>
      <c r="B958" s="5" t="s">
        <v>2099</v>
      </c>
      <c r="C958" s="28" t="s">
        <v>1956</v>
      </c>
      <c r="D958" s="5">
        <v>2018</v>
      </c>
      <c r="E958" s="4">
        <v>12</v>
      </c>
      <c r="F958" s="5" t="s">
        <v>32</v>
      </c>
      <c r="G958" s="41">
        <v>276</v>
      </c>
      <c r="H958" s="45"/>
      <c r="I958" s="30"/>
    </row>
    <row r="959" spans="1:9" ht="13">
      <c r="A959" s="14" t="s">
        <v>2100</v>
      </c>
      <c r="B959" s="2" t="s">
        <v>2101</v>
      </c>
      <c r="C959" s="28" t="s">
        <v>463</v>
      </c>
      <c r="D959" s="2">
        <v>2014</v>
      </c>
      <c r="E959" s="4">
        <v>12</v>
      </c>
      <c r="F959" s="5" t="s">
        <v>32</v>
      </c>
      <c r="G959" s="34">
        <v>234</v>
      </c>
      <c r="H959" s="45"/>
      <c r="I959" s="30"/>
    </row>
    <row r="960" spans="1:9" ht="13">
      <c r="A960" s="14" t="s">
        <v>2102</v>
      </c>
      <c r="B960" s="2" t="s">
        <v>2103</v>
      </c>
      <c r="C960" s="28" t="s">
        <v>463</v>
      </c>
      <c r="D960" s="2">
        <v>2015</v>
      </c>
      <c r="E960" s="4">
        <v>6</v>
      </c>
      <c r="F960" s="2" t="s">
        <v>304</v>
      </c>
      <c r="G960" s="34">
        <v>270</v>
      </c>
      <c r="H960" s="47"/>
      <c r="I960" s="30"/>
    </row>
    <row r="961" spans="1:9" ht="13">
      <c r="A961" s="14" t="s">
        <v>2104</v>
      </c>
      <c r="B961" s="2" t="s">
        <v>2105</v>
      </c>
      <c r="C961" s="28" t="s">
        <v>1949</v>
      </c>
      <c r="D961" s="2">
        <v>2023</v>
      </c>
      <c r="E961" s="4">
        <v>12</v>
      </c>
      <c r="F961" s="5" t="s">
        <v>32</v>
      </c>
      <c r="G961" s="6">
        <v>288</v>
      </c>
      <c r="H961" s="160"/>
      <c r="I961" s="32"/>
    </row>
    <row r="962" spans="1:9" ht="13">
      <c r="A962" s="121" t="s">
        <v>2106</v>
      </c>
      <c r="B962" s="2" t="s">
        <v>2107</v>
      </c>
      <c r="C962" s="28" t="s">
        <v>1966</v>
      </c>
      <c r="D962" s="2">
        <v>2009</v>
      </c>
      <c r="E962" s="4">
        <v>12</v>
      </c>
      <c r="F962" s="5" t="s">
        <v>32</v>
      </c>
      <c r="G962" s="6">
        <v>558</v>
      </c>
      <c r="H962" s="12"/>
      <c r="I962" s="30"/>
    </row>
    <row r="963" spans="1:9" ht="18">
      <c r="A963" s="696" t="s">
        <v>2108</v>
      </c>
      <c r="B963" s="689"/>
      <c r="C963" s="689"/>
      <c r="D963" s="689"/>
      <c r="E963" s="689"/>
      <c r="F963" s="689"/>
      <c r="G963" s="689"/>
      <c r="H963" s="689"/>
      <c r="I963" s="690"/>
    </row>
    <row r="964" spans="1:9" ht="13">
      <c r="A964" s="15" t="s">
        <v>2109</v>
      </c>
      <c r="B964" s="5" t="s">
        <v>2110</v>
      </c>
      <c r="C964" s="28" t="s">
        <v>4</v>
      </c>
      <c r="D964" s="5" t="s">
        <v>5</v>
      </c>
      <c r="E964" s="4">
        <v>12</v>
      </c>
      <c r="F964" s="5" t="s">
        <v>32</v>
      </c>
      <c r="G964" s="29">
        <v>174</v>
      </c>
      <c r="H964" s="23"/>
      <c r="I964" s="13"/>
    </row>
    <row r="965" spans="1:9" ht="13">
      <c r="A965" s="39" t="s">
        <v>2111</v>
      </c>
      <c r="B965" s="5" t="s">
        <v>2112</v>
      </c>
      <c r="C965" s="28" t="s">
        <v>1949</v>
      </c>
      <c r="D965" s="5" t="s">
        <v>5</v>
      </c>
      <c r="E965" s="4">
        <v>12</v>
      </c>
      <c r="F965" s="5" t="s">
        <v>32</v>
      </c>
      <c r="G965" s="29">
        <v>192</v>
      </c>
      <c r="H965" s="23"/>
      <c r="I965" s="13"/>
    </row>
    <row r="966" spans="1:9" ht="13">
      <c r="A966" s="15" t="s">
        <v>2113</v>
      </c>
      <c r="B966" s="5" t="s">
        <v>2114</v>
      </c>
      <c r="C966" s="28" t="s">
        <v>4</v>
      </c>
      <c r="D966" s="5">
        <v>2021</v>
      </c>
      <c r="E966" s="4">
        <v>12</v>
      </c>
      <c r="F966" s="5" t="s">
        <v>32</v>
      </c>
      <c r="G966" s="41">
        <v>222</v>
      </c>
      <c r="H966" s="23"/>
      <c r="I966" s="13"/>
    </row>
    <row r="967" spans="1:9" ht="13">
      <c r="A967" s="15" t="s">
        <v>2115</v>
      </c>
      <c r="B967" s="5" t="s">
        <v>2116</v>
      </c>
      <c r="C967" s="28" t="s">
        <v>1966</v>
      </c>
      <c r="D967" s="5">
        <v>2022</v>
      </c>
      <c r="E967" s="4">
        <v>12</v>
      </c>
      <c r="F967" s="5" t="s">
        <v>32</v>
      </c>
      <c r="G967" s="29">
        <v>282</v>
      </c>
      <c r="H967" s="23"/>
      <c r="I967" s="8"/>
    </row>
    <row r="968" spans="1:9" ht="13">
      <c r="A968" s="15" t="s">
        <v>2117</v>
      </c>
      <c r="B968" s="5" t="s">
        <v>2116</v>
      </c>
      <c r="C968" s="28" t="s">
        <v>1966</v>
      </c>
      <c r="D968" s="5">
        <v>2016</v>
      </c>
      <c r="E968" s="4">
        <v>12</v>
      </c>
      <c r="F968" s="5" t="s">
        <v>32</v>
      </c>
      <c r="G968" s="29">
        <v>600</v>
      </c>
      <c r="H968" s="23"/>
      <c r="I968" s="13"/>
    </row>
    <row r="969" spans="1:9" ht="13">
      <c r="A969" s="54" t="s">
        <v>2118</v>
      </c>
      <c r="B969" s="5" t="s">
        <v>2119</v>
      </c>
      <c r="C969" s="28" t="s">
        <v>969</v>
      </c>
      <c r="D969" s="5">
        <v>2022</v>
      </c>
      <c r="E969" s="4">
        <v>12</v>
      </c>
      <c r="F969" s="5" t="s">
        <v>32</v>
      </c>
      <c r="G969" s="29">
        <v>294</v>
      </c>
      <c r="H969" s="23"/>
      <c r="I969" s="8"/>
    </row>
    <row r="970" spans="1:9" ht="13">
      <c r="A970" s="39" t="s">
        <v>2120</v>
      </c>
      <c r="B970" s="5" t="s">
        <v>2121</v>
      </c>
      <c r="C970" s="28" t="s">
        <v>463</v>
      </c>
      <c r="D970" s="5">
        <v>2022</v>
      </c>
      <c r="E970" s="4">
        <v>12</v>
      </c>
      <c r="F970" s="5" t="s">
        <v>32</v>
      </c>
      <c r="G970" s="29">
        <v>294</v>
      </c>
      <c r="H970" s="23"/>
      <c r="I970" s="8"/>
    </row>
    <row r="971" spans="1:9" ht="13">
      <c r="A971" s="25" t="s">
        <v>2122</v>
      </c>
      <c r="B971" s="5" t="s">
        <v>2123</v>
      </c>
      <c r="C971" s="28" t="s">
        <v>2124</v>
      </c>
      <c r="D971" s="5">
        <v>2019</v>
      </c>
      <c r="E971" s="4">
        <v>12</v>
      </c>
      <c r="F971" s="5" t="s">
        <v>32</v>
      </c>
      <c r="G971" s="29">
        <v>258</v>
      </c>
      <c r="H971" s="23"/>
      <c r="I971" s="8"/>
    </row>
    <row r="972" spans="1:9" ht="13">
      <c r="A972" s="25" t="s">
        <v>2125</v>
      </c>
      <c r="B972" s="5" t="s">
        <v>2126</v>
      </c>
      <c r="C972" s="28" t="s">
        <v>2127</v>
      </c>
      <c r="D972" s="5">
        <v>2022</v>
      </c>
      <c r="E972" s="4">
        <v>12</v>
      </c>
      <c r="F972" s="5" t="s">
        <v>32</v>
      </c>
      <c r="G972" s="29">
        <v>294</v>
      </c>
      <c r="H972" s="23"/>
      <c r="I972" s="8"/>
    </row>
    <row r="973" spans="1:9" ht="13">
      <c r="A973" s="25" t="s">
        <v>2125</v>
      </c>
      <c r="B973" s="5" t="s">
        <v>2128</v>
      </c>
      <c r="C973" s="28" t="s">
        <v>1949</v>
      </c>
      <c r="D973" s="5">
        <v>2022</v>
      </c>
      <c r="E973" s="4">
        <v>12</v>
      </c>
      <c r="F973" s="5" t="s">
        <v>32</v>
      </c>
      <c r="G973" s="29">
        <v>294</v>
      </c>
      <c r="H973" s="23"/>
      <c r="I973" s="8"/>
    </row>
    <row r="974" spans="1:9" ht="13">
      <c r="A974" s="25" t="s">
        <v>2129</v>
      </c>
      <c r="B974" s="5" t="s">
        <v>2130</v>
      </c>
      <c r="C974" s="28" t="s">
        <v>2131</v>
      </c>
      <c r="D974" s="5">
        <v>2019</v>
      </c>
      <c r="E974" s="4">
        <v>12</v>
      </c>
      <c r="F974" s="5" t="s">
        <v>32</v>
      </c>
      <c r="G974" s="29">
        <v>276</v>
      </c>
      <c r="H974" s="17"/>
      <c r="I974" s="13"/>
    </row>
    <row r="975" spans="1:9" ht="13">
      <c r="A975" s="25" t="s">
        <v>2132</v>
      </c>
      <c r="B975" s="5" t="s">
        <v>2133</v>
      </c>
      <c r="C975" s="28" t="s">
        <v>2134</v>
      </c>
      <c r="D975" s="5">
        <v>2020</v>
      </c>
      <c r="E975" s="4">
        <v>12</v>
      </c>
      <c r="F975" s="5" t="s">
        <v>32</v>
      </c>
      <c r="G975" s="29">
        <v>282</v>
      </c>
      <c r="H975" s="17"/>
      <c r="I975" s="13"/>
    </row>
    <row r="976" spans="1:9" ht="13">
      <c r="A976" s="124" t="s">
        <v>2135</v>
      </c>
      <c r="B976" s="5" t="s">
        <v>2136</v>
      </c>
      <c r="C976" s="28" t="s">
        <v>2137</v>
      </c>
      <c r="D976" s="5">
        <v>2018</v>
      </c>
      <c r="E976" s="4">
        <v>12</v>
      </c>
      <c r="F976" s="5" t="s">
        <v>32</v>
      </c>
      <c r="G976" s="29">
        <v>480</v>
      </c>
      <c r="H976" s="17"/>
      <c r="I976" s="13"/>
    </row>
    <row r="977" spans="1:9" ht="13">
      <c r="A977" s="124" t="s">
        <v>2138</v>
      </c>
      <c r="B977" s="5" t="s">
        <v>2139</v>
      </c>
      <c r="C977" s="28" t="s">
        <v>1966</v>
      </c>
      <c r="D977" s="5">
        <v>2009</v>
      </c>
      <c r="E977" s="4">
        <v>12</v>
      </c>
      <c r="F977" s="5" t="s">
        <v>2140</v>
      </c>
      <c r="G977" s="29">
        <v>588</v>
      </c>
      <c r="H977" s="17"/>
      <c r="I977" s="13"/>
    </row>
    <row r="978" spans="1:9" ht="13">
      <c r="A978" s="124" t="s">
        <v>2141</v>
      </c>
      <c r="B978" s="5" t="s">
        <v>2142</v>
      </c>
      <c r="C978" s="28" t="s">
        <v>1966</v>
      </c>
      <c r="D978" s="5">
        <v>2009</v>
      </c>
      <c r="E978" s="4">
        <v>12</v>
      </c>
      <c r="F978" s="5" t="s">
        <v>2140</v>
      </c>
      <c r="G978" s="41">
        <v>740</v>
      </c>
      <c r="H978" s="31"/>
      <c r="I978" s="13"/>
    </row>
    <row r="979" spans="1:9" ht="18">
      <c r="A979" s="694" t="s">
        <v>2143</v>
      </c>
      <c r="B979" s="689"/>
      <c r="C979" s="689"/>
      <c r="D979" s="689"/>
      <c r="E979" s="689"/>
      <c r="F979" s="689"/>
      <c r="G979" s="689"/>
      <c r="H979" s="689"/>
      <c r="I979" s="690"/>
    </row>
    <row r="980" spans="1:9" ht="13">
      <c r="A980" s="1" t="s">
        <v>2144</v>
      </c>
      <c r="B980" s="5" t="s">
        <v>2145</v>
      </c>
      <c r="C980" s="28" t="s">
        <v>2007</v>
      </c>
      <c r="D980" s="2">
        <v>2018</v>
      </c>
      <c r="E980" s="4">
        <v>12</v>
      </c>
      <c r="F980" s="5" t="s">
        <v>32</v>
      </c>
      <c r="G980" s="6">
        <v>252</v>
      </c>
      <c r="H980" s="33"/>
      <c r="I980" s="30"/>
    </row>
    <row r="981" spans="1:9" ht="13">
      <c r="A981" s="1" t="s">
        <v>2146</v>
      </c>
      <c r="B981" s="5" t="s">
        <v>2147</v>
      </c>
      <c r="C981" s="28" t="s">
        <v>2007</v>
      </c>
      <c r="D981" s="2">
        <v>2018</v>
      </c>
      <c r="E981" s="4">
        <v>12</v>
      </c>
      <c r="F981" s="5" t="s">
        <v>32</v>
      </c>
      <c r="G981" s="6">
        <v>258</v>
      </c>
      <c r="H981" s="33"/>
      <c r="I981" s="30"/>
    </row>
    <row r="982" spans="1:9" ht="13">
      <c r="A982" s="1" t="s">
        <v>2148</v>
      </c>
      <c r="B982" s="5" t="s">
        <v>2149</v>
      </c>
      <c r="C982" s="28" t="s">
        <v>4</v>
      </c>
      <c r="D982" s="2">
        <v>2016</v>
      </c>
      <c r="E982" s="4">
        <v>12</v>
      </c>
      <c r="F982" s="5" t="s">
        <v>32</v>
      </c>
      <c r="G982" s="6">
        <v>180</v>
      </c>
      <c r="H982" s="33"/>
      <c r="I982" s="30"/>
    </row>
    <row r="983" spans="1:9" ht="13">
      <c r="A983" s="1" t="s">
        <v>2150</v>
      </c>
      <c r="B983" s="5" t="s">
        <v>2151</v>
      </c>
      <c r="C983" s="28" t="s">
        <v>4</v>
      </c>
      <c r="D983" s="2">
        <v>2020</v>
      </c>
      <c r="E983" s="4">
        <v>12</v>
      </c>
      <c r="F983" s="5" t="s">
        <v>32</v>
      </c>
      <c r="G983" s="6">
        <v>180</v>
      </c>
      <c r="H983" s="33"/>
      <c r="I983" s="30"/>
    </row>
    <row r="984" spans="1:9" ht="13">
      <c r="A984" s="1" t="s">
        <v>2152</v>
      </c>
      <c r="B984" s="5" t="s">
        <v>2153</v>
      </c>
      <c r="C984" s="28" t="s">
        <v>1966</v>
      </c>
      <c r="D984" s="2">
        <v>2019</v>
      </c>
      <c r="E984" s="4">
        <v>12</v>
      </c>
      <c r="F984" s="5" t="s">
        <v>32</v>
      </c>
      <c r="G984" s="6">
        <v>258</v>
      </c>
      <c r="H984" s="33"/>
      <c r="I984" s="30"/>
    </row>
    <row r="985" spans="1:9" ht="13">
      <c r="A985" s="1" t="s">
        <v>2154</v>
      </c>
      <c r="B985" s="5" t="s">
        <v>2155</v>
      </c>
      <c r="C985" s="28" t="s">
        <v>2156</v>
      </c>
      <c r="D985" s="2">
        <v>2019</v>
      </c>
      <c r="E985" s="4">
        <v>12</v>
      </c>
      <c r="F985" s="5" t="s">
        <v>32</v>
      </c>
      <c r="G985" s="6">
        <v>258</v>
      </c>
      <c r="H985" s="33"/>
      <c r="I985" s="30"/>
    </row>
    <row r="986" spans="1:9" ht="13">
      <c r="A986" s="1" t="s">
        <v>2157</v>
      </c>
      <c r="B986" s="5" t="s">
        <v>2158</v>
      </c>
      <c r="C986" s="28" t="s">
        <v>4</v>
      </c>
      <c r="D986" s="2">
        <v>2015</v>
      </c>
      <c r="E986" s="4">
        <v>12</v>
      </c>
      <c r="F986" s="5" t="s">
        <v>32</v>
      </c>
      <c r="G986" s="6">
        <v>282</v>
      </c>
      <c r="H986" s="33"/>
      <c r="I986" s="30"/>
    </row>
    <row r="987" spans="1:9" ht="13">
      <c r="A987" s="1" t="s">
        <v>2159</v>
      </c>
      <c r="B987" s="5" t="s">
        <v>2160</v>
      </c>
      <c r="C987" s="28" t="s">
        <v>1966</v>
      </c>
      <c r="D987" s="2">
        <v>2015</v>
      </c>
      <c r="E987" s="4">
        <v>12</v>
      </c>
      <c r="F987" s="5" t="s">
        <v>32</v>
      </c>
      <c r="G987" s="6">
        <v>242</v>
      </c>
      <c r="H987" s="33"/>
      <c r="I987" s="30"/>
    </row>
    <row r="988" spans="1:9" ht="13">
      <c r="A988" s="1" t="s">
        <v>2161</v>
      </c>
      <c r="B988" s="5" t="s">
        <v>2162</v>
      </c>
      <c r="C988" s="28" t="s">
        <v>4</v>
      </c>
      <c r="D988" s="2">
        <v>2020</v>
      </c>
      <c r="E988" s="4">
        <v>12</v>
      </c>
      <c r="F988" s="5" t="s">
        <v>32</v>
      </c>
      <c r="G988" s="6">
        <v>216</v>
      </c>
      <c r="H988" s="33"/>
      <c r="I988" s="30"/>
    </row>
    <row r="989" spans="1:9" ht="13">
      <c r="A989" s="1" t="s">
        <v>2163</v>
      </c>
      <c r="B989" s="5" t="s">
        <v>2164</v>
      </c>
      <c r="C989" s="28" t="s">
        <v>4</v>
      </c>
      <c r="D989" s="2">
        <v>2015</v>
      </c>
      <c r="E989" s="4">
        <v>12</v>
      </c>
      <c r="F989" s="5" t="s">
        <v>32</v>
      </c>
      <c r="G989" s="6">
        <v>216</v>
      </c>
      <c r="H989" s="33"/>
      <c r="I989" s="30"/>
    </row>
    <row r="990" spans="1:9" ht="13">
      <c r="A990" s="1" t="s">
        <v>2165</v>
      </c>
      <c r="B990" s="5" t="s">
        <v>2166</v>
      </c>
      <c r="C990" s="28" t="s">
        <v>1966</v>
      </c>
      <c r="D990" s="2">
        <v>2016</v>
      </c>
      <c r="E990" s="4">
        <v>12</v>
      </c>
      <c r="F990" s="5" t="s">
        <v>32</v>
      </c>
      <c r="G990" s="6">
        <v>242</v>
      </c>
      <c r="H990" s="33"/>
      <c r="I990" s="30"/>
    </row>
    <row r="991" spans="1:9" ht="13">
      <c r="A991" s="1" t="s">
        <v>2167</v>
      </c>
      <c r="B991" s="5" t="s">
        <v>2168</v>
      </c>
      <c r="C991" s="28" t="s">
        <v>4</v>
      </c>
      <c r="D991" s="2">
        <v>2014</v>
      </c>
      <c r="E991" s="4">
        <v>12</v>
      </c>
      <c r="F991" s="5" t="s">
        <v>32</v>
      </c>
      <c r="G991" s="6">
        <v>132</v>
      </c>
      <c r="H991" s="33"/>
      <c r="I991" s="30"/>
    </row>
    <row r="992" spans="1:9" ht="13">
      <c r="A992" s="1" t="s">
        <v>2169</v>
      </c>
      <c r="B992" s="5" t="s">
        <v>2170</v>
      </c>
      <c r="C992" s="28" t="s">
        <v>1966</v>
      </c>
      <c r="D992" s="2">
        <v>2017</v>
      </c>
      <c r="E992" s="4">
        <v>12</v>
      </c>
      <c r="F992" s="5" t="s">
        <v>32</v>
      </c>
      <c r="G992" s="6">
        <v>282</v>
      </c>
      <c r="H992" s="33"/>
      <c r="I992" s="30"/>
    </row>
    <row r="993" spans="1:9" ht="13">
      <c r="A993" s="1" t="s">
        <v>2171</v>
      </c>
      <c r="B993" s="5" t="s">
        <v>2172</v>
      </c>
      <c r="C993" s="28" t="s">
        <v>1966</v>
      </c>
      <c r="D993" s="2">
        <v>2019</v>
      </c>
      <c r="E993" s="4">
        <v>12</v>
      </c>
      <c r="F993" s="5" t="s">
        <v>32</v>
      </c>
      <c r="G993" s="6">
        <v>294</v>
      </c>
      <c r="H993" s="33"/>
      <c r="I993" s="30"/>
    </row>
    <row r="994" spans="1:9" ht="13">
      <c r="A994" s="15" t="s">
        <v>2173</v>
      </c>
      <c r="B994" s="5" t="s">
        <v>2174</v>
      </c>
      <c r="C994" s="28" t="s">
        <v>2156</v>
      </c>
      <c r="D994" s="5" t="s">
        <v>5</v>
      </c>
      <c r="E994" s="4">
        <v>6</v>
      </c>
      <c r="F994" s="2" t="s">
        <v>304</v>
      </c>
      <c r="G994" s="29">
        <v>300</v>
      </c>
      <c r="H994" s="17"/>
      <c r="I994" s="30"/>
    </row>
    <row r="995" spans="1:9" ht="13">
      <c r="A995" s="15" t="s">
        <v>2175</v>
      </c>
      <c r="B995" s="5" t="s">
        <v>2176</v>
      </c>
      <c r="C995" s="28" t="s">
        <v>1966</v>
      </c>
      <c r="D995" s="5">
        <v>2019</v>
      </c>
      <c r="E995" s="4">
        <v>6</v>
      </c>
      <c r="F995" s="2" t="s">
        <v>304</v>
      </c>
      <c r="G995" s="29">
        <v>306</v>
      </c>
      <c r="H995" s="17"/>
      <c r="I995" s="30"/>
    </row>
    <row r="996" spans="1:9" ht="13">
      <c r="A996" s="1" t="s">
        <v>2177</v>
      </c>
      <c r="B996" s="5" t="s">
        <v>2178</v>
      </c>
      <c r="C996" s="28" t="s">
        <v>4</v>
      </c>
      <c r="D996" s="2">
        <v>2020</v>
      </c>
      <c r="E996" s="4">
        <v>12</v>
      </c>
      <c r="F996" s="5" t="s">
        <v>32</v>
      </c>
      <c r="G996" s="6">
        <v>216</v>
      </c>
      <c r="H996" s="33"/>
      <c r="I996" s="30"/>
    </row>
    <row r="997" spans="1:9" ht="13">
      <c r="A997" s="25" t="s">
        <v>2179</v>
      </c>
      <c r="B997" s="5" t="s">
        <v>2180</v>
      </c>
      <c r="C997" s="28" t="s">
        <v>2181</v>
      </c>
      <c r="D997" s="2">
        <v>2020</v>
      </c>
      <c r="E997" s="4">
        <v>12</v>
      </c>
      <c r="F997" s="5" t="s">
        <v>32</v>
      </c>
      <c r="G997" s="6">
        <v>252</v>
      </c>
      <c r="H997" s="33"/>
      <c r="I997" s="30"/>
    </row>
    <row r="998" spans="1:9" ht="13">
      <c r="A998" s="14" t="s">
        <v>2182</v>
      </c>
      <c r="B998" s="5" t="s">
        <v>2183</v>
      </c>
      <c r="C998" s="28" t="s">
        <v>463</v>
      </c>
      <c r="D998" s="2">
        <v>2020</v>
      </c>
      <c r="E998" s="4">
        <v>12</v>
      </c>
      <c r="F998" s="5" t="s">
        <v>32</v>
      </c>
      <c r="G998" s="6">
        <v>252</v>
      </c>
      <c r="H998" s="33"/>
      <c r="I998" s="30"/>
    </row>
    <row r="999" spans="1:9" ht="13">
      <c r="A999" s="14" t="s">
        <v>2184</v>
      </c>
      <c r="B999" s="5" t="s">
        <v>2185</v>
      </c>
      <c r="C999" s="28" t="s">
        <v>1956</v>
      </c>
      <c r="D999" s="2">
        <v>2018</v>
      </c>
      <c r="E999" s="4">
        <v>12</v>
      </c>
      <c r="F999" s="5" t="s">
        <v>32</v>
      </c>
      <c r="G999" s="6">
        <v>246</v>
      </c>
      <c r="H999" s="33"/>
      <c r="I999" s="30"/>
    </row>
    <row r="1000" spans="1:9" ht="13">
      <c r="A1000" s="14" t="s">
        <v>2186</v>
      </c>
      <c r="B1000" s="5" t="s">
        <v>2187</v>
      </c>
      <c r="C1000" s="28" t="s">
        <v>1949</v>
      </c>
      <c r="D1000" s="2">
        <v>2020</v>
      </c>
      <c r="E1000" s="4">
        <v>12</v>
      </c>
      <c r="F1000" s="5" t="s">
        <v>32</v>
      </c>
      <c r="G1000" s="6">
        <v>252</v>
      </c>
      <c r="H1000" s="33"/>
      <c r="I1000" s="30"/>
    </row>
    <row r="1001" spans="1:9" ht="13">
      <c r="A1001" s="14" t="s">
        <v>2188</v>
      </c>
      <c r="B1001" s="5" t="s">
        <v>2189</v>
      </c>
      <c r="C1001" s="28" t="s">
        <v>463</v>
      </c>
      <c r="D1001" s="2">
        <v>2018</v>
      </c>
      <c r="E1001" s="4">
        <v>12</v>
      </c>
      <c r="F1001" s="5" t="s">
        <v>32</v>
      </c>
      <c r="G1001" s="6">
        <v>240</v>
      </c>
      <c r="H1001" s="33"/>
      <c r="I1001" s="30"/>
    </row>
    <row r="1002" spans="1:9" ht="13">
      <c r="A1002" s="14" t="s">
        <v>2190</v>
      </c>
      <c r="B1002" s="5" t="s">
        <v>2191</v>
      </c>
      <c r="C1002" s="28" t="s">
        <v>463</v>
      </c>
      <c r="D1002" s="2">
        <v>2015</v>
      </c>
      <c r="E1002" s="4">
        <v>12</v>
      </c>
      <c r="F1002" s="5" t="s">
        <v>32</v>
      </c>
      <c r="G1002" s="6">
        <v>156</v>
      </c>
      <c r="H1002" s="33"/>
      <c r="I1002" s="30"/>
    </row>
    <row r="1003" spans="1:9" ht="13">
      <c r="A1003" s="121" t="s">
        <v>2192</v>
      </c>
      <c r="B1003" s="5" t="s">
        <v>2193</v>
      </c>
      <c r="C1003" s="28" t="s">
        <v>1966</v>
      </c>
      <c r="D1003" s="2">
        <v>2011</v>
      </c>
      <c r="E1003" s="4">
        <v>12</v>
      </c>
      <c r="F1003" s="5" t="s">
        <v>564</v>
      </c>
      <c r="G1003" s="6">
        <v>652</v>
      </c>
      <c r="H1003" s="33"/>
      <c r="I1003" s="134"/>
    </row>
    <row r="1004" spans="1:9" ht="18">
      <c r="A1004" s="694" t="s">
        <v>2194</v>
      </c>
      <c r="B1004" s="689"/>
      <c r="C1004" s="689"/>
      <c r="D1004" s="689"/>
      <c r="E1004" s="689"/>
      <c r="F1004" s="689"/>
      <c r="G1004" s="689"/>
      <c r="H1004" s="689"/>
      <c r="I1004" s="690"/>
    </row>
    <row r="1005" spans="1:9" ht="13">
      <c r="A1005" s="1" t="s">
        <v>2195</v>
      </c>
      <c r="B1005" s="5" t="s">
        <v>2196</v>
      </c>
      <c r="C1005" s="28" t="s">
        <v>4</v>
      </c>
      <c r="D1005" s="2">
        <v>2020</v>
      </c>
      <c r="E1005" s="4">
        <v>12</v>
      </c>
      <c r="F1005" s="5" t="s">
        <v>32</v>
      </c>
      <c r="G1005" s="29">
        <v>432</v>
      </c>
      <c r="H1005" s="17"/>
      <c r="I1005" s="30"/>
    </row>
    <row r="1006" spans="1:9" ht="13">
      <c r="A1006" s="25" t="s">
        <v>2197</v>
      </c>
      <c r="B1006" s="5" t="s">
        <v>2198</v>
      </c>
      <c r="C1006" s="28" t="s">
        <v>155</v>
      </c>
      <c r="D1006" s="2">
        <v>2019</v>
      </c>
      <c r="E1006" s="4">
        <v>12</v>
      </c>
      <c r="F1006" s="5" t="s">
        <v>32</v>
      </c>
      <c r="G1006" s="29">
        <v>246</v>
      </c>
      <c r="H1006" s="17"/>
      <c r="I1006" s="30"/>
    </row>
    <row r="1007" spans="1:9" ht="13">
      <c r="A1007" s="25" t="s">
        <v>2199</v>
      </c>
      <c r="B1007" s="5" t="s">
        <v>2200</v>
      </c>
      <c r="C1007" s="28" t="s">
        <v>2201</v>
      </c>
      <c r="D1007" s="2">
        <v>2021</v>
      </c>
      <c r="E1007" s="4">
        <v>12</v>
      </c>
      <c r="F1007" s="5" t="s">
        <v>32</v>
      </c>
      <c r="G1007" s="29">
        <v>360</v>
      </c>
      <c r="H1007" s="17"/>
      <c r="I1007" s="30"/>
    </row>
    <row r="1008" spans="1:9" ht="18">
      <c r="A1008" s="705" t="s">
        <v>2202</v>
      </c>
      <c r="B1008" s="689"/>
      <c r="C1008" s="689"/>
      <c r="D1008" s="689"/>
      <c r="E1008" s="689"/>
      <c r="F1008" s="689"/>
      <c r="G1008" s="689"/>
      <c r="H1008" s="689"/>
      <c r="I1008" s="690"/>
    </row>
    <row r="1009" spans="1:9" ht="13">
      <c r="A1009" s="1" t="s">
        <v>2203</v>
      </c>
      <c r="B1009" s="5" t="s">
        <v>2204</v>
      </c>
      <c r="C1009" s="28" t="s">
        <v>4</v>
      </c>
      <c r="D1009" s="2">
        <v>2020</v>
      </c>
      <c r="E1009" s="4">
        <v>12</v>
      </c>
      <c r="F1009" s="5" t="s">
        <v>32</v>
      </c>
      <c r="G1009" s="29">
        <v>270</v>
      </c>
      <c r="H1009" s="17"/>
      <c r="I1009" s="30"/>
    </row>
    <row r="1010" spans="1:9" ht="13">
      <c r="A1010" s="1" t="s">
        <v>2205</v>
      </c>
      <c r="B1010" s="5" t="s">
        <v>2206</v>
      </c>
      <c r="C1010" s="28" t="s">
        <v>4</v>
      </c>
      <c r="D1010" s="2">
        <v>2021</v>
      </c>
      <c r="E1010" s="4">
        <v>12</v>
      </c>
      <c r="F1010" s="5" t="s">
        <v>32</v>
      </c>
      <c r="G1010" s="29">
        <v>276</v>
      </c>
      <c r="H1010" s="17"/>
      <c r="I1010" s="30"/>
    </row>
    <row r="1011" spans="1:9" ht="13">
      <c r="A1011" s="1" t="s">
        <v>2207</v>
      </c>
      <c r="B1011" s="5" t="s">
        <v>2208</v>
      </c>
      <c r="C1011" s="28" t="s">
        <v>4</v>
      </c>
      <c r="D1011" s="2">
        <v>2022</v>
      </c>
      <c r="E1011" s="4">
        <v>12</v>
      </c>
      <c r="F1011" s="5" t="s">
        <v>32</v>
      </c>
      <c r="G1011" s="29">
        <v>312</v>
      </c>
      <c r="H1011" s="17"/>
      <c r="I1011" s="30"/>
    </row>
    <row r="1012" spans="1:9" ht="13">
      <c r="A1012" s="1" t="s">
        <v>2209</v>
      </c>
      <c r="B1012" s="5" t="s">
        <v>2210</v>
      </c>
      <c r="C1012" s="28" t="s">
        <v>4</v>
      </c>
      <c r="D1012" s="2">
        <v>2022</v>
      </c>
      <c r="E1012" s="4">
        <v>12</v>
      </c>
      <c r="F1012" s="5" t="s">
        <v>32</v>
      </c>
      <c r="G1012" s="29">
        <v>312</v>
      </c>
      <c r="H1012" s="17"/>
      <c r="I1012" s="30"/>
    </row>
    <row r="1013" spans="1:9" ht="13">
      <c r="A1013" s="1" t="s">
        <v>2211</v>
      </c>
      <c r="B1013" s="5" t="s">
        <v>2212</v>
      </c>
      <c r="C1013" s="28" t="s">
        <v>1966</v>
      </c>
      <c r="D1013" s="2">
        <v>2022</v>
      </c>
      <c r="E1013" s="4">
        <v>12</v>
      </c>
      <c r="F1013" s="5" t="s">
        <v>32</v>
      </c>
      <c r="G1013" s="29">
        <v>342</v>
      </c>
      <c r="H1013" s="17"/>
      <c r="I1013" s="30"/>
    </row>
    <row r="1014" spans="1:9" ht="13">
      <c r="A1014" s="1" t="s">
        <v>2213</v>
      </c>
      <c r="B1014" s="5" t="s">
        <v>2214</v>
      </c>
      <c r="C1014" s="28" t="s">
        <v>1966</v>
      </c>
      <c r="D1014" s="2" t="s">
        <v>5</v>
      </c>
      <c r="E1014" s="4">
        <v>12</v>
      </c>
      <c r="F1014" s="5" t="s">
        <v>32</v>
      </c>
      <c r="G1014" s="29">
        <v>396</v>
      </c>
      <c r="H1014" s="17"/>
      <c r="I1014" s="30"/>
    </row>
    <row r="1015" spans="1:9" ht="13">
      <c r="A1015" s="1" t="s">
        <v>2215</v>
      </c>
      <c r="B1015" s="5" t="s">
        <v>2216</v>
      </c>
      <c r="C1015" s="28" t="s">
        <v>1966</v>
      </c>
      <c r="D1015" s="2" t="s">
        <v>5</v>
      </c>
      <c r="E1015" s="4">
        <v>12</v>
      </c>
      <c r="F1015" s="5" t="s">
        <v>32</v>
      </c>
      <c r="G1015" s="29">
        <v>360</v>
      </c>
      <c r="H1015" s="17"/>
      <c r="I1015" s="30"/>
    </row>
    <row r="1016" spans="1:9" ht="13">
      <c r="A1016" s="25" t="s">
        <v>2217</v>
      </c>
      <c r="B1016" s="5" t="s">
        <v>2218</v>
      </c>
      <c r="C1016" s="28" t="s">
        <v>463</v>
      </c>
      <c r="D1016" s="2">
        <v>2022</v>
      </c>
      <c r="E1016" s="4">
        <v>12</v>
      </c>
      <c r="F1016" s="5" t="s">
        <v>32</v>
      </c>
      <c r="G1016" s="29">
        <v>360</v>
      </c>
      <c r="H1016" s="17"/>
      <c r="I1016" s="30"/>
    </row>
    <row r="1017" spans="1:9" ht="23">
      <c r="A1017" s="693" t="s">
        <v>2219</v>
      </c>
      <c r="B1017" s="689"/>
      <c r="C1017" s="689"/>
      <c r="D1017" s="689"/>
      <c r="E1017" s="689"/>
      <c r="F1017" s="689"/>
      <c r="G1017" s="689"/>
      <c r="H1017" s="689"/>
      <c r="I1017" s="690"/>
    </row>
    <row r="1018" spans="1:9" ht="18">
      <c r="A1018" s="696" t="s">
        <v>2220</v>
      </c>
      <c r="B1018" s="689"/>
      <c r="C1018" s="689"/>
      <c r="D1018" s="689"/>
      <c r="E1018" s="689"/>
      <c r="F1018" s="689"/>
      <c r="G1018" s="689"/>
      <c r="H1018" s="689"/>
      <c r="I1018" s="690"/>
    </row>
    <row r="1019" spans="1:9" ht="13">
      <c r="A1019" s="1" t="s">
        <v>2221</v>
      </c>
      <c r="B1019" s="2" t="s">
        <v>2222</v>
      </c>
      <c r="C1019" s="28" t="s">
        <v>2223</v>
      </c>
      <c r="D1019" s="2" t="s">
        <v>5</v>
      </c>
      <c r="E1019" s="4">
        <v>12</v>
      </c>
      <c r="F1019" s="5" t="s">
        <v>32</v>
      </c>
      <c r="G1019" s="6">
        <v>120</v>
      </c>
      <c r="H1019" s="131"/>
      <c r="I1019" s="13"/>
    </row>
    <row r="1020" spans="1:9" ht="13">
      <c r="A1020" s="1" t="s">
        <v>2224</v>
      </c>
      <c r="B1020" s="2" t="s">
        <v>2225</v>
      </c>
      <c r="C1020" s="28" t="s">
        <v>2226</v>
      </c>
      <c r="D1020" s="2">
        <v>2022</v>
      </c>
      <c r="E1020" s="4">
        <v>12</v>
      </c>
      <c r="F1020" s="5" t="s">
        <v>32</v>
      </c>
      <c r="G1020" s="6">
        <v>144</v>
      </c>
      <c r="H1020" s="7"/>
      <c r="I1020" s="13"/>
    </row>
    <row r="1021" spans="1:9" ht="13">
      <c r="A1021" s="1" t="s">
        <v>2227</v>
      </c>
      <c r="B1021" s="2" t="s">
        <v>2228</v>
      </c>
      <c r="C1021" s="28" t="s">
        <v>2229</v>
      </c>
      <c r="D1021" s="2" t="s">
        <v>5</v>
      </c>
      <c r="E1021" s="4">
        <v>12</v>
      </c>
      <c r="F1021" s="5" t="s">
        <v>32</v>
      </c>
      <c r="G1021" s="6">
        <v>154</v>
      </c>
      <c r="H1021" s="12"/>
      <c r="I1021" s="13"/>
    </row>
    <row r="1022" spans="1:9" ht="13">
      <c r="A1022" s="15" t="s">
        <v>2230</v>
      </c>
      <c r="B1022" s="5" t="s">
        <v>2231</v>
      </c>
      <c r="C1022" s="28" t="s">
        <v>2232</v>
      </c>
      <c r="D1022" s="5" t="s">
        <v>5</v>
      </c>
      <c r="E1022" s="4">
        <v>12</v>
      </c>
      <c r="F1022" s="5" t="s">
        <v>32</v>
      </c>
      <c r="G1022" s="6">
        <v>204</v>
      </c>
      <c r="H1022" s="7"/>
      <c r="I1022" s="13"/>
    </row>
    <row r="1023" spans="1:9" ht="13">
      <c r="A1023" s="1" t="s">
        <v>2233</v>
      </c>
      <c r="B1023" s="2" t="s">
        <v>2234</v>
      </c>
      <c r="C1023" s="28" t="s">
        <v>1827</v>
      </c>
      <c r="D1023" s="2">
        <v>2023</v>
      </c>
      <c r="E1023" s="4">
        <v>12</v>
      </c>
      <c r="F1023" s="5" t="s">
        <v>32</v>
      </c>
      <c r="G1023" s="6">
        <v>168</v>
      </c>
      <c r="H1023" s="7"/>
      <c r="I1023" s="8"/>
    </row>
    <row r="1024" spans="1:9" ht="13">
      <c r="A1024" s="15" t="s">
        <v>2235</v>
      </c>
      <c r="B1024" s="5" t="s">
        <v>2236</v>
      </c>
      <c r="C1024" s="28" t="s">
        <v>2237</v>
      </c>
      <c r="D1024" s="5">
        <v>2017</v>
      </c>
      <c r="E1024" s="4">
        <v>12</v>
      </c>
      <c r="F1024" s="5" t="s">
        <v>32</v>
      </c>
      <c r="G1024" s="29">
        <v>186</v>
      </c>
      <c r="H1024" s="12"/>
      <c r="I1024" s="13"/>
    </row>
    <row r="1025" spans="1:9" ht="13">
      <c r="A1025" s="15" t="s">
        <v>2238</v>
      </c>
      <c r="B1025" s="5" t="s">
        <v>2239</v>
      </c>
      <c r="C1025" s="28" t="s">
        <v>2240</v>
      </c>
      <c r="D1025" s="5">
        <v>2022</v>
      </c>
      <c r="E1025" s="4">
        <v>12</v>
      </c>
      <c r="F1025" s="5" t="s">
        <v>32</v>
      </c>
      <c r="G1025" s="29">
        <v>186</v>
      </c>
      <c r="H1025" s="36"/>
      <c r="I1025" s="8"/>
    </row>
    <row r="1026" spans="1:9" ht="13">
      <c r="A1026" s="35" t="s">
        <v>2241</v>
      </c>
      <c r="B1026" s="2" t="s">
        <v>2242</v>
      </c>
      <c r="C1026" s="28" t="s">
        <v>2243</v>
      </c>
      <c r="D1026" s="2">
        <v>2023</v>
      </c>
      <c r="E1026" s="4">
        <v>12</v>
      </c>
      <c r="F1026" s="5" t="s">
        <v>32</v>
      </c>
      <c r="G1026" s="6">
        <v>192</v>
      </c>
      <c r="H1026" s="36"/>
      <c r="I1026" s="8"/>
    </row>
    <row r="1027" spans="1:9" ht="13">
      <c r="A1027" s="1" t="s">
        <v>2244</v>
      </c>
      <c r="B1027" s="2" t="s">
        <v>2245</v>
      </c>
      <c r="C1027" s="28" t="s">
        <v>1827</v>
      </c>
      <c r="D1027" s="2">
        <v>2022</v>
      </c>
      <c r="E1027" s="4">
        <v>12</v>
      </c>
      <c r="F1027" s="5" t="s">
        <v>32</v>
      </c>
      <c r="G1027" s="34">
        <v>276</v>
      </c>
      <c r="H1027" s="36"/>
      <c r="I1027" s="8"/>
    </row>
    <row r="1028" spans="1:9" ht="13">
      <c r="A1028" s="1" t="s">
        <v>2246</v>
      </c>
      <c r="B1028" s="2" t="s">
        <v>2247</v>
      </c>
      <c r="C1028" s="28" t="s">
        <v>2248</v>
      </c>
      <c r="D1028" s="2">
        <v>2021</v>
      </c>
      <c r="E1028" s="4">
        <v>12</v>
      </c>
      <c r="F1028" s="5" t="s">
        <v>32</v>
      </c>
      <c r="G1028" s="34">
        <v>276</v>
      </c>
      <c r="H1028" s="36"/>
      <c r="I1028" s="18"/>
    </row>
    <row r="1029" spans="1:9" ht="13">
      <c r="A1029" s="10" t="s">
        <v>2249</v>
      </c>
      <c r="B1029" s="2" t="s">
        <v>2250</v>
      </c>
      <c r="C1029" s="28" t="s">
        <v>2248</v>
      </c>
      <c r="D1029" s="2">
        <v>2021</v>
      </c>
      <c r="E1029" s="4">
        <v>12</v>
      </c>
      <c r="F1029" s="5" t="s">
        <v>32</v>
      </c>
      <c r="G1029" s="34">
        <v>276</v>
      </c>
      <c r="H1029" s="36"/>
      <c r="I1029" s="18"/>
    </row>
    <row r="1030" spans="1:9" ht="13">
      <c r="A1030" s="10" t="s">
        <v>2251</v>
      </c>
      <c r="B1030" s="2" t="s">
        <v>2252</v>
      </c>
      <c r="C1030" s="28" t="s">
        <v>1827</v>
      </c>
      <c r="D1030" s="2">
        <v>2019</v>
      </c>
      <c r="E1030" s="4">
        <v>12</v>
      </c>
      <c r="F1030" s="5" t="s">
        <v>32</v>
      </c>
      <c r="G1030" s="6">
        <v>276</v>
      </c>
      <c r="H1030" s="45"/>
      <c r="I1030" s="19"/>
    </row>
    <row r="1031" spans="1:9" ht="13">
      <c r="A1031" s="35" t="s">
        <v>2253</v>
      </c>
      <c r="B1031" s="2" t="s">
        <v>2254</v>
      </c>
      <c r="C1031" s="28" t="s">
        <v>2255</v>
      </c>
      <c r="D1031" s="2" t="s">
        <v>5</v>
      </c>
      <c r="E1031" s="4">
        <v>12</v>
      </c>
      <c r="F1031" s="5" t="s">
        <v>32</v>
      </c>
      <c r="G1031" s="6">
        <v>234</v>
      </c>
      <c r="H1031" s="45"/>
      <c r="I1031" s="13"/>
    </row>
    <row r="1032" spans="1:9" ht="13">
      <c r="A1032" s="14" t="s">
        <v>2256</v>
      </c>
      <c r="B1032" s="2" t="s">
        <v>2257</v>
      </c>
      <c r="C1032" s="28" t="s">
        <v>463</v>
      </c>
      <c r="D1032" s="2">
        <v>2023</v>
      </c>
      <c r="E1032" s="4">
        <v>12</v>
      </c>
      <c r="F1032" s="5" t="s">
        <v>32</v>
      </c>
      <c r="G1032" s="6">
        <v>204</v>
      </c>
      <c r="H1032" s="52"/>
      <c r="I1032" s="8"/>
    </row>
    <row r="1033" spans="1:9" ht="13">
      <c r="A1033" s="25" t="s">
        <v>2258</v>
      </c>
      <c r="B1033" s="5" t="s">
        <v>2259</v>
      </c>
      <c r="C1033" s="28" t="s">
        <v>463</v>
      </c>
      <c r="D1033" s="5">
        <v>2018</v>
      </c>
      <c r="E1033" s="4">
        <v>12</v>
      </c>
      <c r="F1033" s="5" t="s">
        <v>32</v>
      </c>
      <c r="G1033" s="29">
        <v>264</v>
      </c>
      <c r="H1033" s="52"/>
      <c r="I1033" s="13"/>
    </row>
    <row r="1034" spans="1:9" ht="23">
      <c r="A1034" s="693" t="s">
        <v>2260</v>
      </c>
      <c r="B1034" s="689"/>
      <c r="C1034" s="689"/>
      <c r="D1034" s="689"/>
      <c r="E1034" s="689"/>
      <c r="F1034" s="689"/>
      <c r="G1034" s="689"/>
      <c r="H1034" s="689"/>
      <c r="I1034" s="690"/>
    </row>
    <row r="1035" spans="1:9" ht="18">
      <c r="A1035" s="699" t="s">
        <v>2261</v>
      </c>
      <c r="B1035" s="689"/>
      <c r="C1035" s="689"/>
      <c r="D1035" s="689"/>
      <c r="E1035" s="689"/>
      <c r="F1035" s="689"/>
      <c r="G1035" s="689"/>
      <c r="H1035" s="689"/>
      <c r="I1035" s="690"/>
    </row>
    <row r="1036" spans="1:9" ht="13">
      <c r="A1036" s="25" t="s">
        <v>2262</v>
      </c>
      <c r="B1036" s="2" t="s">
        <v>2263</v>
      </c>
      <c r="C1036" s="28" t="s">
        <v>307</v>
      </c>
      <c r="D1036" s="2">
        <v>2019</v>
      </c>
      <c r="E1036" s="4">
        <v>12</v>
      </c>
      <c r="F1036" s="5" t="s">
        <v>32</v>
      </c>
      <c r="G1036" s="6">
        <v>102</v>
      </c>
      <c r="H1036" s="131"/>
      <c r="I1036" s="13"/>
    </row>
    <row r="1037" spans="1:9" ht="13">
      <c r="A1037" s="25" t="s">
        <v>2264</v>
      </c>
      <c r="B1037" s="5" t="s">
        <v>2265</v>
      </c>
      <c r="C1037" s="28" t="s">
        <v>2266</v>
      </c>
      <c r="D1037" s="5">
        <v>2020</v>
      </c>
      <c r="E1037" s="4">
        <v>12</v>
      </c>
      <c r="F1037" s="5" t="s">
        <v>32</v>
      </c>
      <c r="G1037" s="6">
        <v>126</v>
      </c>
      <c r="H1037" s="131"/>
      <c r="I1037" s="8"/>
    </row>
    <row r="1038" spans="1:9" ht="13">
      <c r="A1038" s="25" t="s">
        <v>2267</v>
      </c>
      <c r="B1038" s="5" t="s">
        <v>2268</v>
      </c>
      <c r="C1038" s="28" t="s">
        <v>1322</v>
      </c>
      <c r="D1038" s="5">
        <v>2023</v>
      </c>
      <c r="E1038" s="4">
        <v>12</v>
      </c>
      <c r="F1038" s="5" t="s">
        <v>32</v>
      </c>
      <c r="G1038" s="29">
        <v>144</v>
      </c>
      <c r="H1038" s="131"/>
      <c r="I1038" s="8"/>
    </row>
    <row r="1039" spans="1:9" ht="13">
      <c r="A1039" s="25" t="s">
        <v>2269</v>
      </c>
      <c r="B1039" s="2" t="s">
        <v>2270</v>
      </c>
      <c r="C1039" s="28" t="s">
        <v>1322</v>
      </c>
      <c r="D1039" s="2">
        <v>2022</v>
      </c>
      <c r="E1039" s="4">
        <v>12</v>
      </c>
      <c r="F1039" s="5" t="s">
        <v>32</v>
      </c>
      <c r="G1039" s="6">
        <v>180</v>
      </c>
      <c r="H1039" s="131"/>
      <c r="I1039" s="8"/>
    </row>
    <row r="1040" spans="1:9" ht="33">
      <c r="A1040" s="706" t="s">
        <v>2271</v>
      </c>
      <c r="B1040" s="689"/>
      <c r="C1040" s="689"/>
      <c r="D1040" s="689"/>
      <c r="E1040" s="689"/>
      <c r="F1040" s="689"/>
      <c r="G1040" s="689"/>
      <c r="H1040" s="689"/>
      <c r="I1040" s="690"/>
    </row>
    <row r="1041" spans="1:9" ht="23">
      <c r="A1041" s="707" t="s">
        <v>2272</v>
      </c>
      <c r="B1041" s="689"/>
      <c r="C1041" s="689"/>
      <c r="D1041" s="689"/>
      <c r="E1041" s="689"/>
      <c r="F1041" s="689"/>
      <c r="G1041" s="689"/>
      <c r="H1041" s="689"/>
      <c r="I1041" s="690"/>
    </row>
    <row r="1042" spans="1:9" ht="18">
      <c r="A1042" s="708" t="s">
        <v>2273</v>
      </c>
      <c r="B1042" s="689"/>
      <c r="C1042" s="689"/>
      <c r="D1042" s="689"/>
      <c r="E1042" s="689"/>
      <c r="F1042" s="689"/>
      <c r="G1042" s="689"/>
      <c r="H1042" s="689"/>
      <c r="I1042" s="690"/>
    </row>
    <row r="1043" spans="1:9" ht="13">
      <c r="A1043" s="152" t="s">
        <v>2274</v>
      </c>
      <c r="B1043" s="153" t="s">
        <v>2275</v>
      </c>
      <c r="C1043" s="154" t="s">
        <v>2276</v>
      </c>
      <c r="D1043" s="5">
        <v>2023</v>
      </c>
      <c r="E1043" s="4">
        <v>6</v>
      </c>
      <c r="F1043" s="5" t="s">
        <v>32</v>
      </c>
      <c r="G1043" s="157">
        <v>117</v>
      </c>
      <c r="H1043" s="23"/>
      <c r="I1043" s="19"/>
    </row>
    <row r="1044" spans="1:9" ht="13">
      <c r="A1044" s="158" t="s">
        <v>2277</v>
      </c>
      <c r="B1044" s="153" t="s">
        <v>2278</v>
      </c>
      <c r="C1044" s="154" t="s">
        <v>2088</v>
      </c>
      <c r="D1044" s="5">
        <v>2022</v>
      </c>
      <c r="E1044" s="4">
        <v>6</v>
      </c>
      <c r="F1044" s="5" t="s">
        <v>32</v>
      </c>
      <c r="G1044" s="157">
        <v>150</v>
      </c>
      <c r="H1044" s="17"/>
      <c r="I1044" s="19"/>
    </row>
    <row r="1045" spans="1:9" ht="13">
      <c r="A1045" s="161" t="s">
        <v>2279</v>
      </c>
      <c r="B1045" s="153" t="s">
        <v>2280</v>
      </c>
      <c r="C1045" s="154" t="s">
        <v>2281</v>
      </c>
      <c r="D1045" s="5">
        <v>2023</v>
      </c>
      <c r="E1045" s="4">
        <v>6</v>
      </c>
      <c r="F1045" s="5" t="s">
        <v>32</v>
      </c>
      <c r="G1045" s="157">
        <v>117</v>
      </c>
      <c r="H1045" s="23"/>
      <c r="I1045" s="19"/>
    </row>
    <row r="1046" spans="1:9" ht="13">
      <c r="A1046" s="145" t="s">
        <v>2282</v>
      </c>
      <c r="B1046" s="153" t="s">
        <v>2283</v>
      </c>
      <c r="C1046" s="154" t="s">
        <v>2284</v>
      </c>
      <c r="D1046" s="5">
        <v>2023</v>
      </c>
      <c r="E1046" s="4">
        <v>6</v>
      </c>
      <c r="F1046" s="5" t="s">
        <v>32</v>
      </c>
      <c r="G1046" s="157">
        <v>138</v>
      </c>
      <c r="H1046" s="23"/>
      <c r="I1046" s="19"/>
    </row>
    <row r="1047" spans="1:9" ht="13">
      <c r="A1047" s="145" t="s">
        <v>2285</v>
      </c>
      <c r="B1047" s="153" t="s">
        <v>2286</v>
      </c>
      <c r="C1047" s="154" t="s">
        <v>2287</v>
      </c>
      <c r="D1047" s="5">
        <v>2023</v>
      </c>
      <c r="E1047" s="4">
        <v>6</v>
      </c>
      <c r="F1047" s="5" t="s">
        <v>32</v>
      </c>
      <c r="G1047" s="157">
        <v>138</v>
      </c>
      <c r="H1047" s="23"/>
      <c r="I1047" s="19"/>
    </row>
    <row r="1048" spans="1:9" ht="13">
      <c r="A1048" s="145" t="s">
        <v>2288</v>
      </c>
      <c r="B1048" s="153" t="s">
        <v>2289</v>
      </c>
      <c r="C1048" s="154" t="s">
        <v>155</v>
      </c>
      <c r="D1048" s="5">
        <v>2023</v>
      </c>
      <c r="E1048" s="4">
        <v>6</v>
      </c>
      <c r="F1048" s="5" t="s">
        <v>32</v>
      </c>
      <c r="G1048" s="157">
        <v>165</v>
      </c>
      <c r="H1048" s="23"/>
      <c r="I1048" s="19"/>
    </row>
    <row r="1049" spans="1:9" ht="13">
      <c r="A1049" s="145" t="s">
        <v>2290</v>
      </c>
      <c r="B1049" s="153" t="s">
        <v>2291</v>
      </c>
      <c r="C1049" s="154" t="s">
        <v>463</v>
      </c>
      <c r="D1049" s="5">
        <v>2023</v>
      </c>
      <c r="E1049" s="4">
        <v>6</v>
      </c>
      <c r="F1049" s="5" t="s">
        <v>32</v>
      </c>
      <c r="G1049" s="157">
        <v>204</v>
      </c>
      <c r="H1049" s="23"/>
      <c r="I1049" s="19"/>
    </row>
    <row r="1050" spans="1:9" ht="33">
      <c r="A1050" s="709" t="s">
        <v>2292</v>
      </c>
      <c r="B1050" s="689"/>
      <c r="C1050" s="689"/>
      <c r="D1050" s="689"/>
      <c r="E1050" s="689"/>
      <c r="F1050" s="689"/>
      <c r="G1050" s="689"/>
      <c r="H1050" s="689"/>
      <c r="I1050" s="690"/>
    </row>
    <row r="1051" spans="1:9" ht="23">
      <c r="A1051" s="710" t="s">
        <v>2293</v>
      </c>
      <c r="B1051" s="689"/>
      <c r="C1051" s="689"/>
      <c r="D1051" s="689"/>
      <c r="E1051" s="689"/>
      <c r="F1051" s="689"/>
      <c r="G1051" s="689"/>
      <c r="H1051" s="689"/>
      <c r="I1051" s="690"/>
    </row>
    <row r="1052" spans="1:9" ht="18">
      <c r="A1052" s="696" t="s">
        <v>2294</v>
      </c>
      <c r="B1052" s="689"/>
      <c r="C1052" s="689"/>
      <c r="D1052" s="689"/>
      <c r="E1052" s="689"/>
      <c r="F1052" s="689"/>
      <c r="G1052" s="689"/>
      <c r="H1052" s="689"/>
      <c r="I1052" s="690"/>
    </row>
    <row r="1053" spans="1:9" ht="13">
      <c r="A1053" s="158" t="s">
        <v>2295</v>
      </c>
      <c r="B1053" s="153" t="s">
        <v>2296</v>
      </c>
      <c r="C1053" s="154" t="s">
        <v>2024</v>
      </c>
      <c r="D1053" s="5">
        <v>2021</v>
      </c>
      <c r="E1053" s="4">
        <v>12</v>
      </c>
      <c r="F1053" s="5" t="s">
        <v>32</v>
      </c>
      <c r="G1053" s="157">
        <v>216</v>
      </c>
      <c r="H1053" s="31"/>
      <c r="I1053" s="19"/>
    </row>
    <row r="1054" spans="1:9" ht="13">
      <c r="A1054" s="161" t="s">
        <v>2297</v>
      </c>
      <c r="B1054" s="153" t="s">
        <v>2298</v>
      </c>
      <c r="C1054" s="154" t="s">
        <v>709</v>
      </c>
      <c r="D1054" s="5">
        <v>2020</v>
      </c>
      <c r="E1054" s="4">
        <v>12</v>
      </c>
      <c r="F1054" s="5" t="s">
        <v>32</v>
      </c>
      <c r="G1054" s="157">
        <v>228</v>
      </c>
      <c r="H1054" s="31"/>
      <c r="I1054" s="19"/>
    </row>
    <row r="1055" spans="1:9" ht="13">
      <c r="A1055" s="161" t="s">
        <v>2299</v>
      </c>
      <c r="B1055" s="153" t="s">
        <v>2298</v>
      </c>
      <c r="C1055" s="154" t="s">
        <v>709</v>
      </c>
      <c r="D1055" s="5">
        <v>2021</v>
      </c>
      <c r="E1055" s="4">
        <v>12</v>
      </c>
      <c r="F1055" s="5" t="s">
        <v>32</v>
      </c>
      <c r="G1055" s="157">
        <v>216</v>
      </c>
      <c r="H1055" s="31"/>
      <c r="I1055" s="19"/>
    </row>
    <row r="1056" spans="1:9" ht="13">
      <c r="A1056" s="161" t="s">
        <v>2300</v>
      </c>
      <c r="B1056" s="153" t="s">
        <v>2301</v>
      </c>
      <c r="C1056" s="154" t="s">
        <v>2302</v>
      </c>
      <c r="D1056" s="5">
        <v>2021</v>
      </c>
      <c r="E1056" s="4">
        <v>12</v>
      </c>
      <c r="F1056" s="5" t="s">
        <v>32</v>
      </c>
      <c r="G1056" s="157">
        <v>198</v>
      </c>
      <c r="H1056" s="31"/>
      <c r="I1056" s="19"/>
    </row>
    <row r="1057" spans="1:9" ht="13">
      <c r="A1057" s="145" t="s">
        <v>2303</v>
      </c>
      <c r="B1057" s="153" t="s">
        <v>2304</v>
      </c>
      <c r="C1057" s="154" t="s">
        <v>463</v>
      </c>
      <c r="D1057" s="5">
        <v>2021</v>
      </c>
      <c r="E1057" s="4">
        <v>12</v>
      </c>
      <c r="F1057" s="5" t="s">
        <v>32</v>
      </c>
      <c r="G1057" s="157">
        <v>198</v>
      </c>
      <c r="H1057" s="31"/>
      <c r="I1057" s="19"/>
    </row>
    <row r="1058" spans="1:9" ht="18">
      <c r="A1058" s="696" t="s">
        <v>2305</v>
      </c>
      <c r="B1058" s="689"/>
      <c r="C1058" s="689"/>
      <c r="D1058" s="689"/>
      <c r="E1058" s="689"/>
      <c r="F1058" s="689"/>
      <c r="G1058" s="689"/>
      <c r="H1058" s="689"/>
      <c r="I1058" s="690"/>
    </row>
    <row r="1059" spans="1:9" ht="13">
      <c r="A1059" s="15" t="s">
        <v>2306</v>
      </c>
      <c r="B1059" s="162" t="s">
        <v>2307</v>
      </c>
      <c r="C1059" s="28" t="s">
        <v>2308</v>
      </c>
      <c r="D1059" s="5">
        <v>2018</v>
      </c>
      <c r="E1059" s="4">
        <v>12</v>
      </c>
      <c r="F1059" s="5" t="s">
        <v>32</v>
      </c>
      <c r="G1059" s="41">
        <v>132</v>
      </c>
      <c r="H1059" s="31"/>
      <c r="I1059" s="30"/>
    </row>
    <row r="1060" spans="1:9" ht="13">
      <c r="A1060" s="15" t="s">
        <v>2309</v>
      </c>
      <c r="B1060" s="162" t="s">
        <v>2310</v>
      </c>
      <c r="C1060" s="28" t="s">
        <v>2311</v>
      </c>
      <c r="D1060" s="5">
        <v>2021</v>
      </c>
      <c r="E1060" s="4">
        <v>12</v>
      </c>
      <c r="F1060" s="5" t="s">
        <v>32</v>
      </c>
      <c r="G1060" s="41">
        <v>222</v>
      </c>
      <c r="H1060" s="31"/>
      <c r="I1060" s="30"/>
    </row>
    <row r="1061" spans="1:9" ht="13">
      <c r="A1061" s="39" t="s">
        <v>2312</v>
      </c>
      <c r="B1061" s="162" t="s">
        <v>2313</v>
      </c>
      <c r="C1061" s="28" t="s">
        <v>2314</v>
      </c>
      <c r="D1061" s="5">
        <v>2019</v>
      </c>
      <c r="E1061" s="4">
        <v>12</v>
      </c>
      <c r="F1061" s="5" t="s">
        <v>32</v>
      </c>
      <c r="G1061" s="41">
        <v>198</v>
      </c>
      <c r="H1061" s="31"/>
      <c r="I1061" s="30"/>
    </row>
    <row r="1062" spans="1:9" ht="13">
      <c r="A1062" s="15" t="s">
        <v>2315</v>
      </c>
      <c r="B1062" s="162" t="s">
        <v>2316</v>
      </c>
      <c r="C1062" s="28" t="s">
        <v>1827</v>
      </c>
      <c r="D1062" s="5">
        <v>2020</v>
      </c>
      <c r="E1062" s="4">
        <v>12</v>
      </c>
      <c r="F1062" s="5" t="s">
        <v>32</v>
      </c>
      <c r="G1062" s="41">
        <v>264</v>
      </c>
      <c r="H1062" s="31"/>
      <c r="I1062" s="30"/>
    </row>
    <row r="1063" spans="1:9" ht="13">
      <c r="A1063" s="15" t="s">
        <v>2317</v>
      </c>
      <c r="B1063" s="162" t="s">
        <v>2318</v>
      </c>
      <c r="C1063" s="28" t="s">
        <v>2319</v>
      </c>
      <c r="D1063" s="5">
        <v>2018</v>
      </c>
      <c r="E1063" s="4">
        <v>12</v>
      </c>
      <c r="F1063" s="5" t="s">
        <v>32</v>
      </c>
      <c r="G1063" s="41">
        <v>252</v>
      </c>
      <c r="H1063" s="31"/>
      <c r="I1063" s="13"/>
    </row>
    <row r="1064" spans="1:9" ht="13">
      <c r="A1064" s="39" t="s">
        <v>2320</v>
      </c>
      <c r="B1064" s="163" t="s">
        <v>2321</v>
      </c>
      <c r="C1064" s="28" t="s">
        <v>2322</v>
      </c>
      <c r="D1064" s="5">
        <v>2021</v>
      </c>
      <c r="E1064" s="4">
        <v>12</v>
      </c>
      <c r="F1064" s="5" t="s">
        <v>32</v>
      </c>
      <c r="G1064" s="60">
        <v>96</v>
      </c>
      <c r="H1064" s="47" t="s">
        <v>2323</v>
      </c>
      <c r="I1064" s="18">
        <v>1</v>
      </c>
    </row>
    <row r="1065" spans="1:9" ht="13">
      <c r="A1065" s="15" t="s">
        <v>2324</v>
      </c>
      <c r="B1065" s="163" t="s">
        <v>2325</v>
      </c>
      <c r="C1065" s="28" t="s">
        <v>2326</v>
      </c>
      <c r="D1065" s="5">
        <v>2021</v>
      </c>
      <c r="E1065" s="4">
        <v>12</v>
      </c>
      <c r="F1065" s="5" t="s">
        <v>2327</v>
      </c>
      <c r="G1065" s="29">
        <v>168</v>
      </c>
      <c r="H1065" s="47" t="s">
        <v>2328</v>
      </c>
      <c r="I1065" s="19"/>
    </row>
    <row r="1066" spans="1:9" ht="13">
      <c r="A1066" s="15" t="s">
        <v>2329</v>
      </c>
      <c r="B1066" s="163" t="s">
        <v>2330</v>
      </c>
      <c r="C1066" s="28" t="s">
        <v>2326</v>
      </c>
      <c r="D1066" s="5">
        <v>2021</v>
      </c>
      <c r="E1066" s="4">
        <v>1</v>
      </c>
      <c r="F1066" s="5" t="s">
        <v>2331</v>
      </c>
      <c r="G1066" s="29">
        <v>250</v>
      </c>
      <c r="H1066" s="31"/>
      <c r="I1066" s="30"/>
    </row>
    <row r="1067" spans="1:9" ht="13">
      <c r="A1067" s="39" t="s">
        <v>2332</v>
      </c>
      <c r="B1067" s="163" t="s">
        <v>2333</v>
      </c>
      <c r="C1067" s="28" t="s">
        <v>2314</v>
      </c>
      <c r="D1067" s="5">
        <v>2021</v>
      </c>
      <c r="E1067" s="4">
        <v>12</v>
      </c>
      <c r="F1067" s="5" t="s">
        <v>2327</v>
      </c>
      <c r="G1067" s="60">
        <v>84</v>
      </c>
      <c r="H1067" s="47" t="s">
        <v>2334</v>
      </c>
      <c r="I1067" s="18">
        <v>1</v>
      </c>
    </row>
    <row r="1068" spans="1:9" ht="13">
      <c r="A1068" s="39" t="s">
        <v>2335</v>
      </c>
      <c r="B1068" s="163" t="s">
        <v>2336</v>
      </c>
      <c r="C1068" s="28" t="s">
        <v>2314</v>
      </c>
      <c r="D1068" s="5">
        <v>2021</v>
      </c>
      <c r="E1068" s="4">
        <v>1</v>
      </c>
      <c r="F1068" s="5" t="s">
        <v>2331</v>
      </c>
      <c r="G1068" s="29">
        <v>250</v>
      </c>
      <c r="H1068" s="31"/>
      <c r="I1068" s="30"/>
    </row>
    <row r="1069" spans="1:9" ht="13">
      <c r="A1069" s="25" t="s">
        <v>2337</v>
      </c>
      <c r="B1069" s="163" t="s">
        <v>2338</v>
      </c>
      <c r="C1069" s="28" t="s">
        <v>2339</v>
      </c>
      <c r="D1069" s="5">
        <v>2021</v>
      </c>
      <c r="E1069" s="4">
        <v>12</v>
      </c>
      <c r="F1069" s="5" t="s">
        <v>2327</v>
      </c>
      <c r="G1069" s="29">
        <v>168</v>
      </c>
      <c r="H1069" s="47" t="s">
        <v>2328</v>
      </c>
      <c r="I1069" s="30"/>
    </row>
    <row r="1070" spans="1:9" ht="13">
      <c r="A1070" s="25" t="s">
        <v>2340</v>
      </c>
      <c r="B1070" s="163" t="s">
        <v>2341</v>
      </c>
      <c r="C1070" s="28" t="s">
        <v>2339</v>
      </c>
      <c r="D1070" s="5">
        <v>2019</v>
      </c>
      <c r="E1070" s="4">
        <v>1</v>
      </c>
      <c r="F1070" s="5" t="s">
        <v>2331</v>
      </c>
      <c r="G1070" s="29">
        <v>250</v>
      </c>
      <c r="H1070" s="31"/>
      <c r="I1070" s="30"/>
    </row>
    <row r="1071" spans="1:9" ht="13">
      <c r="A1071" s="65" t="s">
        <v>2342</v>
      </c>
      <c r="B1071" s="164" t="s">
        <v>2343</v>
      </c>
      <c r="C1071" s="165" t="s">
        <v>2344</v>
      </c>
      <c r="D1071" s="5">
        <v>2020</v>
      </c>
      <c r="E1071" s="166">
        <v>12</v>
      </c>
      <c r="F1071" s="164" t="s">
        <v>2327</v>
      </c>
      <c r="G1071" s="60">
        <v>60</v>
      </c>
      <c r="H1071" s="47" t="s">
        <v>2345</v>
      </c>
      <c r="I1071" s="167">
        <v>1</v>
      </c>
    </row>
    <row r="1072" spans="1:9" ht="13">
      <c r="A1072" s="15" t="s">
        <v>2346</v>
      </c>
      <c r="B1072" s="162" t="s">
        <v>2347</v>
      </c>
      <c r="C1072" s="28" t="s">
        <v>1827</v>
      </c>
      <c r="D1072" s="5">
        <v>2022</v>
      </c>
      <c r="E1072" s="4">
        <v>12</v>
      </c>
      <c r="F1072" s="5" t="s">
        <v>32</v>
      </c>
      <c r="G1072" s="60">
        <v>144</v>
      </c>
      <c r="H1072" s="47" t="s">
        <v>1727</v>
      </c>
      <c r="I1072" s="30"/>
    </row>
    <row r="1073" spans="1:9" ht="13">
      <c r="A1073" s="54" t="s">
        <v>2348</v>
      </c>
      <c r="B1073" s="163" t="s">
        <v>2349</v>
      </c>
      <c r="C1073" s="28" t="s">
        <v>2350</v>
      </c>
      <c r="D1073" s="5">
        <v>2020</v>
      </c>
      <c r="E1073" s="4">
        <v>12</v>
      </c>
      <c r="F1073" s="5" t="s">
        <v>32</v>
      </c>
      <c r="G1073" s="29">
        <v>168</v>
      </c>
      <c r="H1073" s="31"/>
      <c r="I1073" s="19"/>
    </row>
    <row r="1074" spans="1:9" ht="13">
      <c r="A1074" s="39" t="s">
        <v>2351</v>
      </c>
      <c r="B1074" s="163" t="s">
        <v>2352</v>
      </c>
      <c r="C1074" s="28" t="s">
        <v>2353</v>
      </c>
      <c r="D1074" s="5">
        <v>2021</v>
      </c>
      <c r="E1074" s="4">
        <v>12</v>
      </c>
      <c r="F1074" s="5" t="s">
        <v>32</v>
      </c>
      <c r="G1074" s="29">
        <v>168</v>
      </c>
      <c r="H1074" s="31"/>
      <c r="I1074" s="13"/>
    </row>
    <row r="1075" spans="1:9" ht="13">
      <c r="A1075" s="39" t="s">
        <v>2354</v>
      </c>
      <c r="B1075" s="163" t="s">
        <v>2355</v>
      </c>
      <c r="C1075" s="28" t="s">
        <v>2353</v>
      </c>
      <c r="D1075" s="5">
        <v>2020</v>
      </c>
      <c r="E1075" s="4">
        <v>6</v>
      </c>
      <c r="F1075" s="5" t="s">
        <v>304</v>
      </c>
      <c r="G1075" s="29">
        <v>210</v>
      </c>
      <c r="H1075" s="31"/>
      <c r="I1075" s="30"/>
    </row>
    <row r="1076" spans="1:9" ht="13">
      <c r="A1076" s="25" t="s">
        <v>2356</v>
      </c>
      <c r="B1076" s="163" t="s">
        <v>2357</v>
      </c>
      <c r="C1076" s="28" t="s">
        <v>2353</v>
      </c>
      <c r="D1076" s="5">
        <v>2017</v>
      </c>
      <c r="E1076" s="4">
        <v>12</v>
      </c>
      <c r="F1076" s="5" t="s">
        <v>32</v>
      </c>
      <c r="G1076" s="29">
        <v>150</v>
      </c>
      <c r="H1076" s="31"/>
      <c r="I1076" s="30"/>
    </row>
    <row r="1077" spans="1:9" ht="13">
      <c r="A1077" s="25" t="s">
        <v>2358</v>
      </c>
      <c r="B1077" s="163" t="s">
        <v>2359</v>
      </c>
      <c r="C1077" s="28" t="s">
        <v>2360</v>
      </c>
      <c r="D1077" s="5">
        <v>2021</v>
      </c>
      <c r="E1077" s="4">
        <v>12</v>
      </c>
      <c r="F1077" s="5" t="s">
        <v>32</v>
      </c>
      <c r="G1077" s="29">
        <v>156</v>
      </c>
      <c r="H1077" s="31"/>
      <c r="I1077" s="30"/>
    </row>
    <row r="1078" spans="1:9" ht="13">
      <c r="A1078" s="15" t="s">
        <v>2361</v>
      </c>
      <c r="B1078" s="163" t="s">
        <v>2362</v>
      </c>
      <c r="C1078" s="28" t="s">
        <v>2024</v>
      </c>
      <c r="D1078" s="5">
        <v>2018</v>
      </c>
      <c r="E1078" s="4">
        <v>12</v>
      </c>
      <c r="F1078" s="5" t="s">
        <v>32</v>
      </c>
      <c r="G1078" s="29">
        <v>192</v>
      </c>
      <c r="H1078" s="31"/>
      <c r="I1078" s="30"/>
    </row>
    <row r="1079" spans="1:9" ht="13">
      <c r="A1079" s="54" t="s">
        <v>2363</v>
      </c>
      <c r="B1079" s="163" t="s">
        <v>2364</v>
      </c>
      <c r="C1079" s="28" t="s">
        <v>2365</v>
      </c>
      <c r="D1079" s="5">
        <v>2019</v>
      </c>
      <c r="E1079" s="4">
        <v>12</v>
      </c>
      <c r="F1079" s="5" t="s">
        <v>32</v>
      </c>
      <c r="G1079" s="29">
        <v>348</v>
      </c>
      <c r="H1079" s="31"/>
      <c r="I1079" s="30"/>
    </row>
    <row r="1080" spans="1:9" ht="13">
      <c r="A1080" s="54" t="s">
        <v>2366</v>
      </c>
      <c r="B1080" s="162" t="s">
        <v>2367</v>
      </c>
      <c r="C1080" s="28" t="s">
        <v>2368</v>
      </c>
      <c r="D1080" s="5">
        <v>2021</v>
      </c>
      <c r="E1080" s="4">
        <v>12</v>
      </c>
      <c r="F1080" s="5" t="s">
        <v>32</v>
      </c>
      <c r="G1080" s="60">
        <v>144</v>
      </c>
      <c r="H1080" s="47" t="s">
        <v>2369</v>
      </c>
      <c r="I1080" s="13"/>
    </row>
    <row r="1081" spans="1:9" ht="13">
      <c r="A1081" s="124" t="s">
        <v>2370</v>
      </c>
      <c r="B1081" s="163" t="s">
        <v>2371</v>
      </c>
      <c r="C1081" s="28" t="s">
        <v>4</v>
      </c>
      <c r="D1081" s="5">
        <v>2017</v>
      </c>
      <c r="E1081" s="4">
        <v>12</v>
      </c>
      <c r="F1081" s="5" t="s">
        <v>32</v>
      </c>
      <c r="G1081" s="29">
        <v>204</v>
      </c>
      <c r="H1081" s="31"/>
      <c r="I1081" s="13"/>
    </row>
    <row r="1082" spans="1:9" ht="13">
      <c r="A1082" s="54" t="s">
        <v>2372</v>
      </c>
      <c r="B1082" s="163" t="s">
        <v>2373</v>
      </c>
      <c r="C1082" s="28" t="s">
        <v>2374</v>
      </c>
      <c r="D1082" s="5">
        <v>2017</v>
      </c>
      <c r="E1082" s="4">
        <v>12</v>
      </c>
      <c r="F1082" s="5" t="s">
        <v>32</v>
      </c>
      <c r="G1082" s="29">
        <v>252</v>
      </c>
      <c r="H1082" s="31"/>
      <c r="I1082" s="30"/>
    </row>
    <row r="1083" spans="1:9" ht="13">
      <c r="A1083" s="124" t="s">
        <v>2375</v>
      </c>
      <c r="B1083" s="163" t="s">
        <v>2376</v>
      </c>
      <c r="C1083" s="28" t="s">
        <v>1827</v>
      </c>
      <c r="D1083" s="5">
        <v>2021</v>
      </c>
      <c r="E1083" s="4">
        <v>12</v>
      </c>
      <c r="F1083" s="5" t="s">
        <v>32</v>
      </c>
      <c r="G1083" s="29">
        <v>276</v>
      </c>
      <c r="H1083" s="31"/>
      <c r="I1083" s="30"/>
    </row>
    <row r="1084" spans="1:9" ht="13">
      <c r="A1084" s="54" t="s">
        <v>2377</v>
      </c>
      <c r="B1084" s="163" t="s">
        <v>2378</v>
      </c>
      <c r="C1084" s="28" t="s">
        <v>2379</v>
      </c>
      <c r="D1084" s="5">
        <v>2018</v>
      </c>
      <c r="E1084" s="4">
        <v>12</v>
      </c>
      <c r="F1084" s="5" t="s">
        <v>32</v>
      </c>
      <c r="G1084" s="29">
        <v>210</v>
      </c>
      <c r="H1084" s="31"/>
      <c r="I1084" s="30"/>
    </row>
    <row r="1085" spans="1:9" ht="13">
      <c r="A1085" s="54" t="s">
        <v>2380</v>
      </c>
      <c r="B1085" s="163" t="s">
        <v>2381</v>
      </c>
      <c r="C1085" s="28" t="s">
        <v>2382</v>
      </c>
      <c r="D1085" s="5">
        <v>2015</v>
      </c>
      <c r="E1085" s="4">
        <v>12</v>
      </c>
      <c r="F1085" s="5" t="s">
        <v>32</v>
      </c>
      <c r="G1085" s="29">
        <v>240</v>
      </c>
      <c r="H1085" s="31"/>
      <c r="I1085" s="19"/>
    </row>
    <row r="1086" spans="1:9" ht="13">
      <c r="A1086" s="25" t="s">
        <v>2383</v>
      </c>
      <c r="B1086" s="163" t="s">
        <v>2384</v>
      </c>
      <c r="C1086" s="28" t="s">
        <v>2385</v>
      </c>
      <c r="D1086" s="5">
        <v>2019</v>
      </c>
      <c r="E1086" s="4">
        <v>12</v>
      </c>
      <c r="F1086" s="5" t="s">
        <v>32</v>
      </c>
      <c r="G1086" s="60">
        <v>120</v>
      </c>
      <c r="H1086" s="47" t="s">
        <v>2369</v>
      </c>
      <c r="I1086" s="18">
        <v>1</v>
      </c>
    </row>
    <row r="1087" spans="1:9" ht="13">
      <c r="A1087" s="25" t="s">
        <v>2386</v>
      </c>
      <c r="B1087" s="163" t="s">
        <v>2384</v>
      </c>
      <c r="C1087" s="28" t="s">
        <v>2385</v>
      </c>
      <c r="D1087" s="5">
        <v>2020</v>
      </c>
      <c r="E1087" s="4">
        <v>12</v>
      </c>
      <c r="F1087" s="5" t="s">
        <v>32</v>
      </c>
      <c r="G1087" s="60">
        <v>120</v>
      </c>
      <c r="H1087" s="47" t="s">
        <v>2369</v>
      </c>
      <c r="I1087" s="18">
        <v>1</v>
      </c>
    </row>
    <row r="1088" spans="1:9" ht="18">
      <c r="A1088" s="696" t="s">
        <v>2387</v>
      </c>
      <c r="B1088" s="689"/>
      <c r="C1088" s="689"/>
      <c r="D1088" s="689"/>
      <c r="E1088" s="689"/>
      <c r="F1088" s="689"/>
      <c r="G1088" s="689"/>
      <c r="H1088" s="689"/>
      <c r="I1088" s="690"/>
    </row>
    <row r="1089" spans="1:9" ht="13">
      <c r="A1089" s="54" t="s">
        <v>2388</v>
      </c>
      <c r="B1089" s="162" t="s">
        <v>2389</v>
      </c>
      <c r="C1089" s="28" t="s">
        <v>2390</v>
      </c>
      <c r="D1089" s="5">
        <v>2021</v>
      </c>
      <c r="E1089" s="4">
        <v>12</v>
      </c>
      <c r="F1089" s="5" t="s">
        <v>32</v>
      </c>
      <c r="G1089" s="41">
        <v>144</v>
      </c>
      <c r="H1089" s="17"/>
      <c r="I1089" s="19"/>
    </row>
    <row r="1090" spans="1:9" ht="13">
      <c r="A1090" s="40" t="s">
        <v>2391</v>
      </c>
      <c r="B1090" s="162" t="s">
        <v>2392</v>
      </c>
      <c r="C1090" s="28" t="s">
        <v>2393</v>
      </c>
      <c r="D1090" s="5">
        <v>2020</v>
      </c>
      <c r="E1090" s="4">
        <v>12</v>
      </c>
      <c r="F1090" s="5" t="s">
        <v>32</v>
      </c>
      <c r="G1090" s="60">
        <v>96</v>
      </c>
      <c r="H1090" s="168" t="s">
        <v>2394</v>
      </c>
      <c r="I1090" s="18">
        <v>1</v>
      </c>
    </row>
    <row r="1091" spans="1:9" ht="13">
      <c r="A1091" s="40" t="s">
        <v>2395</v>
      </c>
      <c r="B1091" s="162" t="s">
        <v>2396</v>
      </c>
      <c r="C1091" s="28" t="s">
        <v>2393</v>
      </c>
      <c r="D1091" s="5">
        <v>2021</v>
      </c>
      <c r="E1091" s="4">
        <v>12</v>
      </c>
      <c r="F1091" s="5" t="s">
        <v>32</v>
      </c>
      <c r="G1091" s="41">
        <v>144</v>
      </c>
      <c r="H1091" s="17"/>
      <c r="I1091" s="18">
        <v>1</v>
      </c>
    </row>
    <row r="1092" spans="1:9" ht="13">
      <c r="A1092" s="40" t="s">
        <v>2397</v>
      </c>
      <c r="B1092" s="162" t="s">
        <v>2398</v>
      </c>
      <c r="C1092" s="28" t="s">
        <v>2399</v>
      </c>
      <c r="D1092" s="5">
        <v>2020</v>
      </c>
      <c r="E1092" s="4">
        <v>12</v>
      </c>
      <c r="F1092" s="5" t="s">
        <v>32</v>
      </c>
      <c r="G1092" s="41">
        <v>138</v>
      </c>
      <c r="H1092" s="17"/>
      <c r="I1092" s="18">
        <v>1</v>
      </c>
    </row>
    <row r="1093" spans="1:9" ht="13">
      <c r="A1093" s="25" t="s">
        <v>2400</v>
      </c>
      <c r="B1093" s="162" t="s">
        <v>2401</v>
      </c>
      <c r="C1093" s="28" t="s">
        <v>2402</v>
      </c>
      <c r="D1093" s="5">
        <v>2020</v>
      </c>
      <c r="E1093" s="4">
        <v>12</v>
      </c>
      <c r="F1093" s="5" t="s">
        <v>32</v>
      </c>
      <c r="G1093" s="60">
        <v>96</v>
      </c>
      <c r="H1093" s="168" t="s">
        <v>2403</v>
      </c>
      <c r="I1093" s="18">
        <v>1</v>
      </c>
    </row>
    <row r="1094" spans="1:9" ht="13">
      <c r="A1094" s="25" t="s">
        <v>2404</v>
      </c>
      <c r="B1094" s="162" t="s">
        <v>2405</v>
      </c>
      <c r="C1094" s="28" t="s">
        <v>2402</v>
      </c>
      <c r="D1094" s="5">
        <v>2020</v>
      </c>
      <c r="E1094" s="4">
        <v>12</v>
      </c>
      <c r="F1094" s="5" t="s">
        <v>32</v>
      </c>
      <c r="G1094" s="41">
        <v>138</v>
      </c>
      <c r="H1094" s="17"/>
      <c r="I1094" s="19"/>
    </row>
    <row r="1095" spans="1:9" ht="13">
      <c r="A1095" s="54" t="s">
        <v>2406</v>
      </c>
      <c r="B1095" s="162" t="s">
        <v>2407</v>
      </c>
      <c r="C1095" s="28" t="s">
        <v>2350</v>
      </c>
      <c r="D1095" s="5">
        <v>2021</v>
      </c>
      <c r="E1095" s="4">
        <v>12</v>
      </c>
      <c r="F1095" s="5" t="s">
        <v>2327</v>
      </c>
      <c r="G1095" s="41">
        <v>144</v>
      </c>
      <c r="H1095" s="17"/>
      <c r="I1095" s="13"/>
    </row>
    <row r="1096" spans="1:9" ht="13">
      <c r="A1096" s="40" t="s">
        <v>2408</v>
      </c>
      <c r="B1096" s="162" t="s">
        <v>2409</v>
      </c>
      <c r="C1096" s="28" t="s">
        <v>2410</v>
      </c>
      <c r="D1096" s="5">
        <v>2019</v>
      </c>
      <c r="E1096" s="4">
        <v>12</v>
      </c>
      <c r="F1096" s="5" t="s">
        <v>2327</v>
      </c>
      <c r="G1096" s="41">
        <v>144</v>
      </c>
      <c r="H1096" s="17"/>
      <c r="I1096" s="18">
        <v>1</v>
      </c>
    </row>
    <row r="1097" spans="1:9" ht="13">
      <c r="A1097" s="15" t="s">
        <v>2411</v>
      </c>
      <c r="B1097" s="163" t="s">
        <v>2412</v>
      </c>
      <c r="C1097" s="28" t="s">
        <v>2382</v>
      </c>
      <c r="D1097" s="5">
        <v>2021</v>
      </c>
      <c r="E1097" s="4">
        <v>12</v>
      </c>
      <c r="F1097" s="5" t="s">
        <v>32</v>
      </c>
      <c r="G1097" s="29">
        <v>168</v>
      </c>
      <c r="H1097" s="17"/>
      <c r="I1097" s="18">
        <v>1</v>
      </c>
    </row>
    <row r="1098" spans="1:9" ht="13">
      <c r="A1098" s="15" t="s">
        <v>2413</v>
      </c>
      <c r="B1098" s="163" t="s">
        <v>2414</v>
      </c>
      <c r="C1098" s="28" t="s">
        <v>4</v>
      </c>
      <c r="D1098" s="5">
        <v>2019</v>
      </c>
      <c r="E1098" s="4">
        <v>12</v>
      </c>
      <c r="F1098" s="5" t="s">
        <v>32</v>
      </c>
      <c r="G1098" s="29">
        <v>294</v>
      </c>
      <c r="H1098" s="17"/>
      <c r="I1098" s="13"/>
    </row>
    <row r="1099" spans="1:9" ht="13">
      <c r="A1099" s="40" t="s">
        <v>2415</v>
      </c>
      <c r="B1099" s="163" t="s">
        <v>2416</v>
      </c>
      <c r="C1099" s="28" t="s">
        <v>2417</v>
      </c>
      <c r="D1099" s="5">
        <v>2021</v>
      </c>
      <c r="E1099" s="4">
        <v>12</v>
      </c>
      <c r="F1099" s="5" t="s">
        <v>32</v>
      </c>
      <c r="G1099" s="29">
        <v>168</v>
      </c>
      <c r="H1099" s="17"/>
      <c r="I1099" s="18">
        <v>1</v>
      </c>
    </row>
    <row r="1100" spans="1:9" ht="13">
      <c r="A1100" s="40" t="s">
        <v>2418</v>
      </c>
      <c r="B1100" s="163" t="s">
        <v>2419</v>
      </c>
      <c r="C1100" s="28" t="s">
        <v>2420</v>
      </c>
      <c r="D1100" s="5">
        <v>2021</v>
      </c>
      <c r="E1100" s="4">
        <v>12</v>
      </c>
      <c r="F1100" s="5" t="s">
        <v>32</v>
      </c>
      <c r="G1100" s="29">
        <v>168</v>
      </c>
      <c r="H1100" s="17"/>
      <c r="I1100" s="19"/>
    </row>
    <row r="1101" spans="1:9" ht="13">
      <c r="A1101" s="40" t="s">
        <v>2421</v>
      </c>
      <c r="B1101" s="163" t="s">
        <v>2422</v>
      </c>
      <c r="C1101" s="28" t="s">
        <v>2420</v>
      </c>
      <c r="D1101" s="5">
        <v>2021</v>
      </c>
      <c r="E1101" s="4">
        <v>12</v>
      </c>
      <c r="F1101" s="5" t="s">
        <v>32</v>
      </c>
      <c r="G1101" s="29">
        <v>228</v>
      </c>
      <c r="H1101" s="17"/>
      <c r="I1101" s="13"/>
    </row>
    <row r="1102" spans="1:9" ht="13">
      <c r="A1102" s="25" t="s">
        <v>2423</v>
      </c>
      <c r="B1102" s="163" t="s">
        <v>2424</v>
      </c>
      <c r="C1102" s="28" t="s">
        <v>2360</v>
      </c>
      <c r="D1102" s="5">
        <v>2019</v>
      </c>
      <c r="E1102" s="4">
        <v>12</v>
      </c>
      <c r="F1102" s="5" t="s">
        <v>32</v>
      </c>
      <c r="G1102" s="29">
        <v>168</v>
      </c>
      <c r="H1102" s="17"/>
      <c r="I1102" s="19"/>
    </row>
    <row r="1103" spans="1:9" ht="13">
      <c r="A1103" s="25" t="s">
        <v>2425</v>
      </c>
      <c r="B1103" s="163" t="s">
        <v>2426</v>
      </c>
      <c r="C1103" s="28" t="s">
        <v>2360</v>
      </c>
      <c r="D1103" s="5">
        <v>2020</v>
      </c>
      <c r="E1103" s="4">
        <v>12</v>
      </c>
      <c r="F1103" s="5" t="s">
        <v>32</v>
      </c>
      <c r="G1103" s="29">
        <v>168</v>
      </c>
      <c r="H1103" s="17"/>
      <c r="I1103" s="18">
        <v>1</v>
      </c>
    </row>
    <row r="1104" spans="1:9" ht="13">
      <c r="A1104" s="25" t="s">
        <v>2423</v>
      </c>
      <c r="B1104" s="163" t="s">
        <v>2427</v>
      </c>
      <c r="C1104" s="28" t="s">
        <v>2360</v>
      </c>
      <c r="D1104" s="5">
        <v>2019</v>
      </c>
      <c r="E1104" s="4">
        <v>12</v>
      </c>
      <c r="F1104" s="5" t="s">
        <v>32</v>
      </c>
      <c r="G1104" s="29">
        <v>168</v>
      </c>
      <c r="H1104" s="17"/>
      <c r="I1104" s="30"/>
    </row>
    <row r="1105" spans="1:9" ht="13">
      <c r="A1105" s="25" t="s">
        <v>2428</v>
      </c>
      <c r="B1105" s="163" t="s">
        <v>2429</v>
      </c>
      <c r="C1105" s="28" t="s">
        <v>2360</v>
      </c>
      <c r="D1105" s="5">
        <v>2019</v>
      </c>
      <c r="E1105" s="4">
        <v>12</v>
      </c>
      <c r="F1105" s="5" t="s">
        <v>32</v>
      </c>
      <c r="G1105" s="29">
        <v>180</v>
      </c>
      <c r="H1105" s="17"/>
      <c r="I1105" s="18">
        <v>1</v>
      </c>
    </row>
    <row r="1106" spans="1:9" ht="33">
      <c r="A1106" s="714" t="s">
        <v>2430</v>
      </c>
      <c r="B1106" s="689"/>
      <c r="C1106" s="689"/>
      <c r="D1106" s="689"/>
      <c r="E1106" s="689"/>
      <c r="F1106" s="689"/>
      <c r="G1106" s="689"/>
      <c r="H1106" s="689"/>
      <c r="I1106" s="690"/>
    </row>
    <row r="1107" spans="1:9" ht="23">
      <c r="A1107" s="715" t="s">
        <v>2431</v>
      </c>
      <c r="B1107" s="689"/>
      <c r="C1107" s="689"/>
      <c r="D1107" s="689"/>
      <c r="E1107" s="689"/>
      <c r="F1107" s="689"/>
      <c r="G1107" s="689"/>
      <c r="H1107" s="689"/>
      <c r="I1107" s="690"/>
    </row>
    <row r="1108" spans="1:9" ht="18">
      <c r="A1108" s="694" t="s">
        <v>2432</v>
      </c>
      <c r="B1108" s="689"/>
      <c r="C1108" s="689"/>
      <c r="D1108" s="689"/>
      <c r="E1108" s="689"/>
      <c r="F1108" s="689"/>
      <c r="G1108" s="689"/>
      <c r="H1108" s="689"/>
      <c r="I1108" s="690"/>
    </row>
    <row r="1109" spans="1:9" ht="13">
      <c r="A1109" s="152" t="s">
        <v>2433</v>
      </c>
      <c r="B1109" s="70" t="s">
        <v>2434</v>
      </c>
      <c r="C1109" s="68" t="s">
        <v>2435</v>
      </c>
      <c r="D1109" s="132">
        <v>2021</v>
      </c>
      <c r="E1109" s="69">
        <v>12</v>
      </c>
      <c r="F1109" s="70" t="s">
        <v>32</v>
      </c>
      <c r="G1109" s="133">
        <v>216</v>
      </c>
      <c r="H1109" s="169"/>
      <c r="I1109" s="72"/>
    </row>
    <row r="1110" spans="1:9" ht="13">
      <c r="A1110" s="152" t="s">
        <v>2436</v>
      </c>
      <c r="B1110" s="70" t="s">
        <v>2437</v>
      </c>
      <c r="C1110" s="68" t="s">
        <v>2438</v>
      </c>
      <c r="D1110" s="132">
        <v>2017</v>
      </c>
      <c r="E1110" s="69">
        <v>12</v>
      </c>
      <c r="F1110" s="70" t="s">
        <v>32</v>
      </c>
      <c r="G1110" s="133">
        <v>312</v>
      </c>
      <c r="H1110" s="169"/>
      <c r="I1110" s="72"/>
    </row>
    <row r="1111" spans="1:9" ht="18">
      <c r="A1111" s="694" t="s">
        <v>2439</v>
      </c>
      <c r="B1111" s="689"/>
      <c r="C1111" s="689"/>
      <c r="D1111" s="689"/>
      <c r="E1111" s="689"/>
      <c r="F1111" s="689"/>
      <c r="G1111" s="689"/>
      <c r="H1111" s="689"/>
      <c r="I1111" s="690"/>
    </row>
    <row r="1112" spans="1:9" ht="13">
      <c r="A1112" s="170" t="s">
        <v>2440</v>
      </c>
      <c r="B1112" s="58" t="s">
        <v>2441</v>
      </c>
      <c r="C1112" s="103" t="s">
        <v>2442</v>
      </c>
      <c r="D1112" s="5">
        <v>2022</v>
      </c>
      <c r="E1112" s="4">
        <v>12</v>
      </c>
      <c r="F1112" s="5" t="s">
        <v>32</v>
      </c>
      <c r="G1112" s="29">
        <v>174</v>
      </c>
      <c r="H1112" s="171"/>
      <c r="I1112" s="172">
        <v>1</v>
      </c>
    </row>
    <row r="1113" spans="1:9" ht="13">
      <c r="A1113" s="170" t="s">
        <v>2443</v>
      </c>
      <c r="B1113" s="58" t="s">
        <v>2441</v>
      </c>
      <c r="C1113" s="103" t="s">
        <v>2442</v>
      </c>
      <c r="D1113" s="5">
        <v>2021</v>
      </c>
      <c r="E1113" s="4">
        <v>12</v>
      </c>
      <c r="F1113" s="5" t="s">
        <v>32</v>
      </c>
      <c r="G1113" s="29">
        <v>162</v>
      </c>
      <c r="H1113" s="173"/>
      <c r="I1113" s="172">
        <v>1</v>
      </c>
    </row>
    <row r="1114" spans="1:9" ht="13">
      <c r="A1114" s="170" t="s">
        <v>2444</v>
      </c>
      <c r="B1114" s="58" t="s">
        <v>2445</v>
      </c>
      <c r="C1114" s="103" t="s">
        <v>133</v>
      </c>
      <c r="D1114" s="5">
        <v>2022</v>
      </c>
      <c r="E1114" s="4">
        <v>12</v>
      </c>
      <c r="F1114" s="5" t="s">
        <v>32</v>
      </c>
      <c r="G1114" s="29">
        <v>192</v>
      </c>
      <c r="H1114" s="171"/>
      <c r="I1114" s="8"/>
    </row>
    <row r="1115" spans="1:9" ht="13">
      <c r="A1115" s="170" t="s">
        <v>2446</v>
      </c>
      <c r="B1115" s="58" t="s">
        <v>2447</v>
      </c>
      <c r="C1115" s="103" t="s">
        <v>2435</v>
      </c>
      <c r="D1115" s="5">
        <v>2020</v>
      </c>
      <c r="E1115" s="4">
        <v>12</v>
      </c>
      <c r="F1115" s="5" t="s">
        <v>32</v>
      </c>
      <c r="G1115" s="29">
        <v>234</v>
      </c>
      <c r="H1115" s="173"/>
      <c r="I1115" s="172">
        <v>1</v>
      </c>
    </row>
    <row r="1116" spans="1:9" ht="13">
      <c r="A1116" s="174" t="s">
        <v>2448</v>
      </c>
      <c r="B1116" s="63" t="s">
        <v>2449</v>
      </c>
      <c r="C1116" s="103" t="s">
        <v>2450</v>
      </c>
      <c r="D1116" s="5">
        <v>2019</v>
      </c>
      <c r="E1116" s="4">
        <v>12</v>
      </c>
      <c r="F1116" s="5" t="s">
        <v>32</v>
      </c>
      <c r="G1116" s="29">
        <v>210</v>
      </c>
      <c r="H1116" s="173"/>
      <c r="I1116" s="172">
        <v>1</v>
      </c>
    </row>
    <row r="1117" spans="1:9" ht="13">
      <c r="A1117" s="170" t="s">
        <v>2451</v>
      </c>
      <c r="B1117" s="58" t="s">
        <v>2452</v>
      </c>
      <c r="C1117" s="103" t="s">
        <v>133</v>
      </c>
      <c r="D1117" s="5">
        <v>2020</v>
      </c>
      <c r="E1117" s="4">
        <v>12</v>
      </c>
      <c r="F1117" s="5" t="s">
        <v>32</v>
      </c>
      <c r="G1117" s="29">
        <v>360</v>
      </c>
      <c r="H1117" s="173"/>
      <c r="I1117" s="172">
        <v>1</v>
      </c>
    </row>
    <row r="1118" spans="1:9" ht="13">
      <c r="A1118" s="175" t="s">
        <v>2451</v>
      </c>
      <c r="B1118" s="58" t="s">
        <v>2453</v>
      </c>
      <c r="C1118" s="103" t="s">
        <v>133</v>
      </c>
      <c r="D1118" s="5">
        <v>2021</v>
      </c>
      <c r="E1118" s="4">
        <v>12</v>
      </c>
      <c r="F1118" s="5" t="s">
        <v>32</v>
      </c>
      <c r="G1118" s="29">
        <v>360</v>
      </c>
      <c r="H1118" s="171"/>
      <c r="I1118" s="172">
        <v>1</v>
      </c>
    </row>
    <row r="1119" spans="1:9" ht="13">
      <c r="A1119" s="175" t="s">
        <v>2454</v>
      </c>
      <c r="B1119" s="58" t="s">
        <v>2453</v>
      </c>
      <c r="C1119" s="103" t="s">
        <v>133</v>
      </c>
      <c r="D1119" s="5">
        <v>2020</v>
      </c>
      <c r="E1119" s="4">
        <v>12</v>
      </c>
      <c r="F1119" s="5" t="s">
        <v>32</v>
      </c>
      <c r="G1119" s="29">
        <v>360</v>
      </c>
      <c r="H1119" s="173"/>
      <c r="I1119" s="172">
        <v>1</v>
      </c>
    </row>
    <row r="1120" spans="1:9" ht="13">
      <c r="A1120" s="64" t="s">
        <v>2455</v>
      </c>
      <c r="B1120" s="58" t="s">
        <v>2456</v>
      </c>
      <c r="C1120" s="103" t="s">
        <v>2457</v>
      </c>
      <c r="D1120" s="5">
        <v>2021</v>
      </c>
      <c r="E1120" s="4">
        <v>12</v>
      </c>
      <c r="F1120" s="5" t="s">
        <v>32</v>
      </c>
      <c r="G1120" s="29">
        <v>228</v>
      </c>
      <c r="H1120" s="171"/>
      <c r="I1120" s="172">
        <v>1</v>
      </c>
    </row>
    <row r="1121" spans="1:9" ht="23">
      <c r="A1121" s="715" t="s">
        <v>2458</v>
      </c>
      <c r="B1121" s="689"/>
      <c r="C1121" s="689"/>
      <c r="D1121" s="689"/>
      <c r="E1121" s="689"/>
      <c r="F1121" s="689"/>
      <c r="G1121" s="689"/>
      <c r="H1121" s="689"/>
      <c r="I1121" s="690"/>
    </row>
    <row r="1122" spans="1:9" ht="18">
      <c r="A1122" s="694" t="s">
        <v>2459</v>
      </c>
      <c r="B1122" s="689"/>
      <c r="C1122" s="689"/>
      <c r="D1122" s="689"/>
      <c r="E1122" s="689"/>
      <c r="F1122" s="689"/>
      <c r="G1122" s="689"/>
      <c r="H1122" s="689"/>
      <c r="I1122" s="690"/>
    </row>
    <row r="1123" spans="1:9" ht="13">
      <c r="A1123" s="25" t="s">
        <v>2460</v>
      </c>
      <c r="B1123" s="5" t="s">
        <v>2461</v>
      </c>
      <c r="C1123" s="28" t="s">
        <v>2462</v>
      </c>
      <c r="D1123" s="5">
        <v>2021</v>
      </c>
      <c r="E1123" s="4">
        <v>12</v>
      </c>
      <c r="F1123" s="5" t="s">
        <v>32</v>
      </c>
      <c r="G1123" s="29">
        <v>180</v>
      </c>
      <c r="H1123" s="17"/>
      <c r="I1123" s="19"/>
    </row>
    <row r="1124" spans="1:9" ht="13">
      <c r="A1124" s="15" t="s">
        <v>2463</v>
      </c>
      <c r="B1124" s="5" t="s">
        <v>2464</v>
      </c>
      <c r="C1124" s="28" t="s">
        <v>2465</v>
      </c>
      <c r="D1124" s="5">
        <v>2022</v>
      </c>
      <c r="E1124" s="4">
        <v>12</v>
      </c>
      <c r="F1124" s="5" t="s">
        <v>32</v>
      </c>
      <c r="G1124" s="29">
        <v>108</v>
      </c>
      <c r="H1124" s="171"/>
      <c r="I1124" s="18"/>
    </row>
    <row r="1125" spans="1:9" ht="13">
      <c r="A1125" s="54" t="s">
        <v>2466</v>
      </c>
      <c r="B1125" s="5" t="s">
        <v>2467</v>
      </c>
      <c r="C1125" s="28" t="s">
        <v>2468</v>
      </c>
      <c r="D1125" s="5">
        <v>2023</v>
      </c>
      <c r="E1125" s="4">
        <v>12</v>
      </c>
      <c r="F1125" s="5" t="s">
        <v>32</v>
      </c>
      <c r="G1125" s="29">
        <v>120</v>
      </c>
      <c r="H1125" s="171"/>
      <c r="I1125" s="18"/>
    </row>
    <row r="1126" spans="1:9" ht="13">
      <c r="A1126" s="25" t="s">
        <v>2469</v>
      </c>
      <c r="B1126" s="5" t="s">
        <v>2470</v>
      </c>
      <c r="C1126" s="28" t="s">
        <v>2471</v>
      </c>
      <c r="D1126" s="5">
        <v>2021</v>
      </c>
      <c r="E1126" s="4">
        <v>12</v>
      </c>
      <c r="F1126" s="5" t="s">
        <v>32</v>
      </c>
      <c r="G1126" s="29">
        <v>120</v>
      </c>
      <c r="H1126" s="17"/>
      <c r="I1126" s="13"/>
    </row>
    <row r="1127" spans="1:9" ht="13">
      <c r="A1127" s="15" t="s">
        <v>2472</v>
      </c>
      <c r="B1127" s="5" t="s">
        <v>2473</v>
      </c>
      <c r="C1127" s="28" t="s">
        <v>2474</v>
      </c>
      <c r="D1127" s="5">
        <v>2022</v>
      </c>
      <c r="E1127" s="4">
        <v>12</v>
      </c>
      <c r="F1127" s="5" t="s">
        <v>32</v>
      </c>
      <c r="G1127" s="29">
        <v>138</v>
      </c>
      <c r="H1127" s="17"/>
      <c r="I1127" s="13"/>
    </row>
    <row r="1128" spans="1:9" ht="13">
      <c r="A1128" s="15" t="s">
        <v>2475</v>
      </c>
      <c r="B1128" s="5" t="s">
        <v>2476</v>
      </c>
      <c r="C1128" s="28" t="s">
        <v>2474</v>
      </c>
      <c r="D1128" s="5">
        <v>2021</v>
      </c>
      <c r="E1128" s="4">
        <v>12</v>
      </c>
      <c r="F1128" s="5" t="s">
        <v>32</v>
      </c>
      <c r="G1128" s="29">
        <v>174</v>
      </c>
      <c r="H1128" s="171"/>
      <c r="I1128" s="18"/>
    </row>
    <row r="1129" spans="1:9" ht="13">
      <c r="A1129" s="15" t="s">
        <v>2477</v>
      </c>
      <c r="B1129" s="5" t="s">
        <v>2478</v>
      </c>
      <c r="C1129" s="28" t="s">
        <v>2474</v>
      </c>
      <c r="D1129" s="5">
        <v>2017</v>
      </c>
      <c r="E1129" s="4">
        <v>12</v>
      </c>
      <c r="F1129" s="5" t="s">
        <v>32</v>
      </c>
      <c r="G1129" s="29">
        <v>252</v>
      </c>
      <c r="H1129" s="17"/>
      <c r="I1129" s="13"/>
    </row>
    <row r="1130" spans="1:9" ht="13">
      <c r="A1130" s="15" t="s">
        <v>2479</v>
      </c>
      <c r="B1130" s="5" t="s">
        <v>2480</v>
      </c>
      <c r="C1130" s="28" t="s">
        <v>2481</v>
      </c>
      <c r="D1130" s="5">
        <v>2023</v>
      </c>
      <c r="E1130" s="4">
        <v>12</v>
      </c>
      <c r="F1130" s="5" t="s">
        <v>32</v>
      </c>
      <c r="G1130" s="29">
        <v>144</v>
      </c>
      <c r="H1130" s="171"/>
      <c r="I1130" s="18"/>
    </row>
    <row r="1131" spans="1:9" ht="13">
      <c r="A1131" s="15" t="s">
        <v>2482</v>
      </c>
      <c r="B1131" s="5" t="s">
        <v>2483</v>
      </c>
      <c r="C1131" s="28" t="s">
        <v>2474</v>
      </c>
      <c r="D1131" s="5">
        <v>2022</v>
      </c>
      <c r="E1131" s="4">
        <v>6</v>
      </c>
      <c r="F1131" s="5" t="s">
        <v>32</v>
      </c>
      <c r="G1131" s="29">
        <v>117</v>
      </c>
      <c r="H1131" s="171"/>
      <c r="I1131" s="18"/>
    </row>
    <row r="1132" spans="1:9" ht="13">
      <c r="A1132" s="54" t="s">
        <v>2484</v>
      </c>
      <c r="B1132" s="5" t="s">
        <v>2485</v>
      </c>
      <c r="C1132" s="28" t="s">
        <v>2486</v>
      </c>
      <c r="D1132" s="5" t="s">
        <v>5</v>
      </c>
      <c r="E1132" s="4">
        <v>12</v>
      </c>
      <c r="F1132" s="5" t="s">
        <v>32</v>
      </c>
      <c r="G1132" s="29">
        <v>162</v>
      </c>
      <c r="H1132" s="176"/>
      <c r="I1132" s="18"/>
    </row>
    <row r="1133" spans="1:9" ht="13">
      <c r="A1133" s="54" t="s">
        <v>2487</v>
      </c>
      <c r="B1133" s="5" t="s">
        <v>2488</v>
      </c>
      <c r="C1133" s="28" t="s">
        <v>2489</v>
      </c>
      <c r="D1133" s="5" t="s">
        <v>5</v>
      </c>
      <c r="E1133" s="4">
        <v>12</v>
      </c>
      <c r="F1133" s="5" t="s">
        <v>32</v>
      </c>
      <c r="G1133" s="29">
        <v>252</v>
      </c>
      <c r="H1133" s="176"/>
      <c r="I1133" s="13"/>
    </row>
    <row r="1134" spans="1:9" ht="13">
      <c r="A1134" s="15" t="s">
        <v>2490</v>
      </c>
      <c r="B1134" s="5" t="s">
        <v>2491</v>
      </c>
      <c r="C1134" s="28" t="s">
        <v>1827</v>
      </c>
      <c r="D1134" s="5" t="s">
        <v>5</v>
      </c>
      <c r="E1134" s="4">
        <v>12</v>
      </c>
      <c r="F1134" s="5" t="s">
        <v>32</v>
      </c>
      <c r="G1134" s="29">
        <v>468</v>
      </c>
      <c r="H1134" s="176"/>
      <c r="I1134" s="13"/>
    </row>
    <row r="1135" spans="1:9" ht="13">
      <c r="A1135" s="15" t="s">
        <v>2492</v>
      </c>
      <c r="B1135" s="5" t="s">
        <v>2493</v>
      </c>
      <c r="C1135" s="28" t="s">
        <v>2494</v>
      </c>
      <c r="D1135" s="5">
        <v>2017</v>
      </c>
      <c r="E1135" s="4">
        <v>12</v>
      </c>
      <c r="F1135" s="5" t="s">
        <v>32</v>
      </c>
      <c r="G1135" s="29">
        <v>468</v>
      </c>
      <c r="H1135" s="176"/>
      <c r="I1135" s="13"/>
    </row>
    <row r="1136" spans="1:9" ht="13">
      <c r="A1136" s="25" t="s">
        <v>2495</v>
      </c>
      <c r="B1136" s="5" t="s">
        <v>2496</v>
      </c>
      <c r="C1136" s="28" t="s">
        <v>2497</v>
      </c>
      <c r="D1136" s="5">
        <v>2019</v>
      </c>
      <c r="E1136" s="4">
        <v>12</v>
      </c>
      <c r="F1136" s="5" t="s">
        <v>32</v>
      </c>
      <c r="G1136" s="29">
        <v>168</v>
      </c>
      <c r="H1136" s="176"/>
      <c r="I1136" s="13"/>
    </row>
    <row r="1137" spans="1:9" ht="23">
      <c r="A1137" s="715" t="s">
        <v>2498</v>
      </c>
      <c r="B1137" s="689"/>
      <c r="C1137" s="689"/>
      <c r="D1137" s="689"/>
      <c r="E1137" s="689"/>
      <c r="F1137" s="689"/>
      <c r="G1137" s="689"/>
      <c r="H1137" s="689"/>
      <c r="I1137" s="690"/>
    </row>
    <row r="1138" spans="1:9" ht="18">
      <c r="A1138" s="696" t="s">
        <v>2499</v>
      </c>
      <c r="B1138" s="689"/>
      <c r="C1138" s="689"/>
      <c r="D1138" s="689"/>
      <c r="E1138" s="689"/>
      <c r="F1138" s="689"/>
      <c r="G1138" s="689"/>
      <c r="H1138" s="689"/>
      <c r="I1138" s="690"/>
    </row>
    <row r="1139" spans="1:9" ht="13">
      <c r="A1139" s="15" t="s">
        <v>2500</v>
      </c>
      <c r="B1139" s="5" t="s">
        <v>2501</v>
      </c>
      <c r="C1139" s="28" t="s">
        <v>2502</v>
      </c>
      <c r="D1139" s="5">
        <v>2024</v>
      </c>
      <c r="E1139" s="4">
        <v>12</v>
      </c>
      <c r="F1139" s="5" t="s">
        <v>32</v>
      </c>
      <c r="G1139" s="29">
        <v>156</v>
      </c>
      <c r="H1139" s="52"/>
      <c r="I1139" s="18"/>
    </row>
    <row r="1140" spans="1:9" ht="13">
      <c r="A1140" s="39" t="s">
        <v>2503</v>
      </c>
      <c r="B1140" s="5" t="s">
        <v>2504</v>
      </c>
      <c r="C1140" s="28" t="s">
        <v>2505</v>
      </c>
      <c r="D1140" s="5">
        <v>2020</v>
      </c>
      <c r="E1140" s="4">
        <v>12</v>
      </c>
      <c r="F1140" s="5" t="s">
        <v>32</v>
      </c>
      <c r="G1140" s="29">
        <v>174</v>
      </c>
      <c r="H1140" s="17"/>
      <c r="I1140" s="19"/>
    </row>
    <row r="1141" spans="1:9" ht="13">
      <c r="A1141" s="15" t="s">
        <v>2506</v>
      </c>
      <c r="B1141" s="5" t="s">
        <v>2507</v>
      </c>
      <c r="C1141" s="28" t="s">
        <v>2435</v>
      </c>
      <c r="D1141" s="5">
        <v>2023</v>
      </c>
      <c r="E1141" s="4">
        <v>12</v>
      </c>
      <c r="F1141" s="5" t="s">
        <v>32</v>
      </c>
      <c r="G1141" s="29">
        <v>132</v>
      </c>
      <c r="H1141" s="52"/>
      <c r="I1141" s="18"/>
    </row>
    <row r="1142" spans="1:9" ht="13">
      <c r="A1142" s="15" t="s">
        <v>2508</v>
      </c>
      <c r="B1142" s="43" t="s">
        <v>2509</v>
      </c>
      <c r="C1142" s="28" t="s">
        <v>2474</v>
      </c>
      <c r="D1142" s="5">
        <v>2024</v>
      </c>
      <c r="E1142" s="4">
        <v>12</v>
      </c>
      <c r="F1142" s="5" t="s">
        <v>32</v>
      </c>
      <c r="G1142" s="29">
        <v>150</v>
      </c>
      <c r="H1142" s="52"/>
      <c r="I1142" s="18"/>
    </row>
    <row r="1143" spans="1:9" ht="13">
      <c r="A1143" s="15" t="s">
        <v>2510</v>
      </c>
      <c r="B1143" s="5" t="s">
        <v>2511</v>
      </c>
      <c r="C1143" s="28" t="s">
        <v>2382</v>
      </c>
      <c r="D1143" s="5">
        <v>2022</v>
      </c>
      <c r="E1143" s="4">
        <v>12</v>
      </c>
      <c r="F1143" s="5" t="s">
        <v>32</v>
      </c>
      <c r="G1143" s="29">
        <v>168</v>
      </c>
      <c r="H1143" s="52"/>
      <c r="I1143" s="18"/>
    </row>
    <row r="1144" spans="1:9" ht="13">
      <c r="A1144" s="15" t="s">
        <v>2512</v>
      </c>
      <c r="B1144" s="5" t="s">
        <v>2511</v>
      </c>
      <c r="C1144" s="28" t="s">
        <v>2382</v>
      </c>
      <c r="D1144" s="5">
        <v>2018</v>
      </c>
      <c r="E1144" s="4">
        <v>12</v>
      </c>
      <c r="F1144" s="5" t="s">
        <v>32</v>
      </c>
      <c r="G1144" s="29">
        <v>174</v>
      </c>
      <c r="H1144" s="44"/>
      <c r="I1144" s="18">
        <v>1</v>
      </c>
    </row>
    <row r="1145" spans="1:9" ht="13">
      <c r="A1145" s="39" t="s">
        <v>2513</v>
      </c>
      <c r="B1145" s="5" t="s">
        <v>2514</v>
      </c>
      <c r="C1145" s="28" t="s">
        <v>2505</v>
      </c>
      <c r="D1145" s="5">
        <v>2018</v>
      </c>
      <c r="E1145" s="4">
        <v>12</v>
      </c>
      <c r="F1145" s="5" t="s">
        <v>32</v>
      </c>
      <c r="G1145" s="29">
        <v>138</v>
      </c>
      <c r="H1145" s="17"/>
      <c r="I1145" s="13"/>
    </row>
    <row r="1146" spans="1:9" ht="13">
      <c r="A1146" s="40" t="s">
        <v>2515</v>
      </c>
      <c r="B1146" s="5" t="s">
        <v>2516</v>
      </c>
      <c r="C1146" s="28" t="s">
        <v>2517</v>
      </c>
      <c r="D1146" s="5">
        <v>2024</v>
      </c>
      <c r="E1146" s="4">
        <v>12</v>
      </c>
      <c r="F1146" s="5" t="s">
        <v>32</v>
      </c>
      <c r="G1146" s="29">
        <v>132</v>
      </c>
      <c r="H1146" s="52"/>
      <c r="I1146" s="18"/>
    </row>
    <row r="1147" spans="1:9" ht="13">
      <c r="A1147" s="25" t="s">
        <v>2518</v>
      </c>
      <c r="B1147" s="5" t="s">
        <v>2519</v>
      </c>
      <c r="C1147" s="28" t="s">
        <v>2520</v>
      </c>
      <c r="D1147" s="5" t="s">
        <v>5</v>
      </c>
      <c r="E1147" s="4">
        <v>12</v>
      </c>
      <c r="F1147" s="5" t="s">
        <v>32</v>
      </c>
      <c r="G1147" s="29">
        <v>96</v>
      </c>
      <c r="H1147" s="17"/>
      <c r="I1147" s="30"/>
    </row>
    <row r="1148" spans="1:9" ht="13">
      <c r="A1148" s="25" t="s">
        <v>2521</v>
      </c>
      <c r="B1148" s="43" t="s">
        <v>2522</v>
      </c>
      <c r="C1148" s="28" t="s">
        <v>2523</v>
      </c>
      <c r="D1148" s="5">
        <v>2017</v>
      </c>
      <c r="E1148" s="4">
        <v>12</v>
      </c>
      <c r="F1148" s="5" t="s">
        <v>32</v>
      </c>
      <c r="G1148" s="29">
        <v>138</v>
      </c>
      <c r="H1148" s="17"/>
      <c r="I1148" s="30"/>
    </row>
    <row r="1149" spans="1:9" ht="13">
      <c r="A1149" s="15" t="s">
        <v>2524</v>
      </c>
      <c r="B1149" s="5" t="s">
        <v>2525</v>
      </c>
      <c r="C1149" s="28" t="s">
        <v>2526</v>
      </c>
      <c r="D1149" s="5" t="s">
        <v>5</v>
      </c>
      <c r="E1149" s="4">
        <v>12</v>
      </c>
      <c r="F1149" s="5" t="s">
        <v>2327</v>
      </c>
      <c r="G1149" s="29">
        <v>162</v>
      </c>
      <c r="H1149" s="52"/>
      <c r="I1149" s="8"/>
    </row>
    <row r="1150" spans="1:9" ht="13">
      <c r="A1150" s="25" t="s">
        <v>2527</v>
      </c>
      <c r="B1150" s="5" t="s">
        <v>2528</v>
      </c>
      <c r="C1150" s="28" t="s">
        <v>2529</v>
      </c>
      <c r="D1150" s="5" t="s">
        <v>5</v>
      </c>
      <c r="E1150" s="4">
        <v>12</v>
      </c>
      <c r="F1150" s="5" t="s">
        <v>2327</v>
      </c>
      <c r="G1150" s="29">
        <v>174</v>
      </c>
      <c r="H1150" s="52"/>
      <c r="I1150" s="8"/>
    </row>
    <row r="1151" spans="1:9" ht="13">
      <c r="A1151" s="54" t="s">
        <v>2530</v>
      </c>
      <c r="B1151" s="5" t="s">
        <v>2531</v>
      </c>
      <c r="C1151" s="28" t="s">
        <v>2532</v>
      </c>
      <c r="D1151" s="5">
        <v>2020</v>
      </c>
      <c r="E1151" s="4">
        <v>12</v>
      </c>
      <c r="F1151" s="5" t="s">
        <v>32</v>
      </c>
      <c r="G1151" s="41">
        <v>210</v>
      </c>
      <c r="H1151" s="52"/>
      <c r="I1151" s="8"/>
    </row>
    <row r="1152" spans="1:9" ht="13">
      <c r="A1152" s="54" t="s">
        <v>2533</v>
      </c>
      <c r="B1152" s="5" t="s">
        <v>2534</v>
      </c>
      <c r="C1152" s="28" t="s">
        <v>2535</v>
      </c>
      <c r="D1152" s="5">
        <v>2022</v>
      </c>
      <c r="E1152" s="4">
        <v>12</v>
      </c>
      <c r="F1152" s="5" t="s">
        <v>32</v>
      </c>
      <c r="G1152" s="41">
        <v>240</v>
      </c>
      <c r="H1152" s="36"/>
      <c r="I1152" s="18"/>
    </row>
    <row r="1153" spans="1:9" ht="13">
      <c r="A1153" s="54" t="s">
        <v>2536</v>
      </c>
      <c r="B1153" s="5" t="s">
        <v>2534</v>
      </c>
      <c r="C1153" s="28" t="s">
        <v>2535</v>
      </c>
      <c r="D1153" s="5">
        <v>2021</v>
      </c>
      <c r="E1153" s="4">
        <v>12</v>
      </c>
      <c r="F1153" s="5" t="s">
        <v>32</v>
      </c>
      <c r="G1153" s="41">
        <v>222</v>
      </c>
      <c r="H1153" s="176"/>
      <c r="I1153" s="18"/>
    </row>
    <row r="1154" spans="1:9" ht="18">
      <c r="A1154" s="694" t="s">
        <v>2537</v>
      </c>
      <c r="B1154" s="689"/>
      <c r="C1154" s="689"/>
      <c r="D1154" s="689"/>
      <c r="E1154" s="689"/>
      <c r="F1154" s="689"/>
      <c r="G1154" s="689"/>
      <c r="H1154" s="689"/>
      <c r="I1154" s="690"/>
    </row>
    <row r="1155" spans="1:9" ht="13">
      <c r="A1155" s="15" t="s">
        <v>2538</v>
      </c>
      <c r="B1155" s="5" t="s">
        <v>2539</v>
      </c>
      <c r="C1155" s="28" t="s">
        <v>2540</v>
      </c>
      <c r="D1155" s="5">
        <v>2022</v>
      </c>
      <c r="E1155" s="4">
        <v>12</v>
      </c>
      <c r="F1155" s="5" t="s">
        <v>32</v>
      </c>
      <c r="G1155" s="29">
        <v>192</v>
      </c>
      <c r="H1155" s="23"/>
      <c r="I1155" s="8"/>
    </row>
    <row r="1156" spans="1:9" ht="13">
      <c r="A1156" s="15" t="s">
        <v>2541</v>
      </c>
      <c r="B1156" s="5" t="s">
        <v>2542</v>
      </c>
      <c r="C1156" s="28" t="s">
        <v>2543</v>
      </c>
      <c r="D1156" s="5">
        <v>2024</v>
      </c>
      <c r="E1156" s="4">
        <v>12</v>
      </c>
      <c r="F1156" s="5" t="s">
        <v>32</v>
      </c>
      <c r="G1156" s="29">
        <v>138</v>
      </c>
      <c r="H1156" s="23"/>
      <c r="I1156" s="18"/>
    </row>
    <row r="1157" spans="1:9" ht="13">
      <c r="A1157" s="15" t="s">
        <v>2544</v>
      </c>
      <c r="B1157" s="5" t="s">
        <v>2545</v>
      </c>
      <c r="C1157" s="28" t="s">
        <v>4</v>
      </c>
      <c r="D1157" s="5">
        <v>2024</v>
      </c>
      <c r="E1157" s="4">
        <v>12</v>
      </c>
      <c r="F1157" s="5" t="s">
        <v>32</v>
      </c>
      <c r="G1157" s="29">
        <v>126</v>
      </c>
      <c r="H1157" s="23"/>
      <c r="I1157" s="18"/>
    </row>
    <row r="1158" spans="1:9" ht="13">
      <c r="A1158" s="15" t="s">
        <v>2546</v>
      </c>
      <c r="B1158" s="5" t="s">
        <v>2547</v>
      </c>
      <c r="C1158" s="28" t="s">
        <v>2548</v>
      </c>
      <c r="D1158" s="5">
        <v>2024</v>
      </c>
      <c r="E1158" s="4">
        <v>12</v>
      </c>
      <c r="F1158" s="5" t="s">
        <v>32</v>
      </c>
      <c r="G1158" s="29">
        <v>162</v>
      </c>
      <c r="H1158" s="23"/>
      <c r="I1158" s="18"/>
    </row>
    <row r="1159" spans="1:9" ht="13">
      <c r="A1159" s="54" t="s">
        <v>2549</v>
      </c>
      <c r="B1159" s="5" t="s">
        <v>2550</v>
      </c>
      <c r="C1159" s="128" t="s">
        <v>2551</v>
      </c>
      <c r="D1159" s="5">
        <v>2023</v>
      </c>
      <c r="E1159" s="4">
        <v>12</v>
      </c>
      <c r="F1159" s="5" t="s">
        <v>32</v>
      </c>
      <c r="G1159" s="29">
        <v>162</v>
      </c>
      <c r="H1159" s="61"/>
      <c r="I1159" s="18"/>
    </row>
    <row r="1160" spans="1:9" ht="13">
      <c r="A1160" s="54" t="s">
        <v>2552</v>
      </c>
      <c r="B1160" s="5" t="s">
        <v>2553</v>
      </c>
      <c r="C1160" s="28" t="s">
        <v>2540</v>
      </c>
      <c r="D1160" s="5">
        <v>2021</v>
      </c>
      <c r="E1160" s="4">
        <v>12</v>
      </c>
      <c r="F1160" s="5" t="s">
        <v>32</v>
      </c>
      <c r="G1160" s="29">
        <v>234</v>
      </c>
      <c r="H1160" s="23"/>
      <c r="I1160" s="18"/>
    </row>
    <row r="1161" spans="1:9" ht="13">
      <c r="A1161" s="54" t="s">
        <v>2554</v>
      </c>
      <c r="B1161" s="5" t="s">
        <v>2555</v>
      </c>
      <c r="C1161" s="28" t="s">
        <v>4</v>
      </c>
      <c r="D1161" s="5">
        <v>2021</v>
      </c>
      <c r="E1161" s="4">
        <v>12</v>
      </c>
      <c r="F1161" s="5" t="s">
        <v>32</v>
      </c>
      <c r="G1161" s="29">
        <v>234</v>
      </c>
      <c r="H1161" s="23"/>
      <c r="I1161" s="18"/>
    </row>
    <row r="1162" spans="1:9" ht="13">
      <c r="A1162" s="39" t="s">
        <v>2556</v>
      </c>
      <c r="B1162" s="5" t="s">
        <v>2557</v>
      </c>
      <c r="C1162" s="28" t="s">
        <v>2558</v>
      </c>
      <c r="D1162" s="5">
        <v>2024</v>
      </c>
      <c r="E1162" s="4">
        <v>12</v>
      </c>
      <c r="F1162" s="5" t="s">
        <v>32</v>
      </c>
      <c r="G1162" s="29">
        <v>108</v>
      </c>
      <c r="H1162" s="23"/>
      <c r="I1162" s="18"/>
    </row>
    <row r="1163" spans="1:9" ht="13">
      <c r="A1163" s="25" t="s">
        <v>2559</v>
      </c>
      <c r="B1163" s="5" t="s">
        <v>2560</v>
      </c>
      <c r="C1163" s="28" t="s">
        <v>2561</v>
      </c>
      <c r="D1163" s="5">
        <v>2022</v>
      </c>
      <c r="E1163" s="4">
        <v>12</v>
      </c>
      <c r="F1163" s="5" t="s">
        <v>32</v>
      </c>
      <c r="G1163" s="29">
        <v>108</v>
      </c>
      <c r="H1163" s="23"/>
      <c r="I1163" s="18"/>
    </row>
    <row r="1164" spans="1:9" ht="13">
      <c r="A1164" s="25" t="s">
        <v>2562</v>
      </c>
      <c r="B1164" s="5" t="s">
        <v>2563</v>
      </c>
      <c r="C1164" s="28" t="s">
        <v>2523</v>
      </c>
      <c r="D1164" s="5">
        <v>2021</v>
      </c>
      <c r="E1164" s="4">
        <v>12</v>
      </c>
      <c r="F1164" s="5" t="s">
        <v>32</v>
      </c>
      <c r="G1164" s="29">
        <v>126</v>
      </c>
      <c r="H1164" s="23"/>
      <c r="I1164" s="8"/>
    </row>
    <row r="1165" spans="1:9" ht="13">
      <c r="A1165" s="25" t="s">
        <v>2564</v>
      </c>
      <c r="B1165" s="5" t="s">
        <v>2565</v>
      </c>
      <c r="C1165" s="28" t="s">
        <v>2566</v>
      </c>
      <c r="D1165" s="5">
        <v>2022</v>
      </c>
      <c r="E1165" s="4">
        <v>12</v>
      </c>
      <c r="F1165" s="5" t="s">
        <v>32</v>
      </c>
      <c r="G1165" s="29">
        <v>126</v>
      </c>
      <c r="H1165" s="23"/>
      <c r="I1165" s="19"/>
    </row>
    <row r="1166" spans="1:9" ht="13">
      <c r="A1166" s="40" t="s">
        <v>2567</v>
      </c>
      <c r="B1166" s="5" t="s">
        <v>2568</v>
      </c>
      <c r="C1166" s="28" t="s">
        <v>2566</v>
      </c>
      <c r="D1166" s="5">
        <v>2023</v>
      </c>
      <c r="E1166" s="4">
        <v>12</v>
      </c>
      <c r="F1166" s="5" t="s">
        <v>32</v>
      </c>
      <c r="G1166" s="29">
        <v>162</v>
      </c>
      <c r="H1166" s="52"/>
      <c r="I1166" s="19"/>
    </row>
    <row r="1167" spans="1:9" ht="13">
      <c r="A1167" s="40" t="s">
        <v>2569</v>
      </c>
      <c r="B1167" s="5" t="s">
        <v>2570</v>
      </c>
      <c r="C1167" s="28" t="s">
        <v>2566</v>
      </c>
      <c r="D1167" s="5">
        <v>2022</v>
      </c>
      <c r="E1167" s="4">
        <v>6</v>
      </c>
      <c r="F1167" s="5" t="s">
        <v>304</v>
      </c>
      <c r="G1167" s="29">
        <v>171</v>
      </c>
      <c r="H1167" s="31"/>
      <c r="I1167" s="19"/>
    </row>
    <row r="1168" spans="1:9" ht="13">
      <c r="A1168" s="25" t="s">
        <v>2571</v>
      </c>
      <c r="B1168" s="5" t="s">
        <v>2572</v>
      </c>
      <c r="C1168" s="28" t="s">
        <v>2558</v>
      </c>
      <c r="D1168" s="5">
        <v>2021</v>
      </c>
      <c r="E1168" s="4">
        <v>12</v>
      </c>
      <c r="F1168" s="5" t="s">
        <v>32</v>
      </c>
      <c r="G1168" s="29">
        <v>162</v>
      </c>
      <c r="H1168" s="23"/>
      <c r="I1168" s="18"/>
    </row>
    <row r="1169" spans="1:9" ht="13">
      <c r="A1169" s="25" t="s">
        <v>2573</v>
      </c>
      <c r="B1169" s="5" t="s">
        <v>2574</v>
      </c>
      <c r="C1169" s="28" t="s">
        <v>463</v>
      </c>
      <c r="D1169" s="5">
        <v>2021</v>
      </c>
      <c r="E1169" s="4">
        <v>12</v>
      </c>
      <c r="F1169" s="5" t="s">
        <v>32</v>
      </c>
      <c r="G1169" s="29">
        <v>234</v>
      </c>
      <c r="H1169" s="31"/>
      <c r="I1169" s="18">
        <v>1</v>
      </c>
    </row>
    <row r="1170" spans="1:9" ht="13">
      <c r="A1170" s="25" t="s">
        <v>2575</v>
      </c>
      <c r="B1170" s="5" t="s">
        <v>2576</v>
      </c>
      <c r="C1170" s="28" t="s">
        <v>2566</v>
      </c>
      <c r="D1170" s="5">
        <v>2017</v>
      </c>
      <c r="E1170" s="4">
        <v>12</v>
      </c>
      <c r="F1170" s="5" t="s">
        <v>32</v>
      </c>
      <c r="G1170" s="29">
        <v>348</v>
      </c>
      <c r="H1170" s="17"/>
      <c r="I1170" s="18">
        <v>1</v>
      </c>
    </row>
    <row r="1171" spans="1:9" ht="18">
      <c r="A1171" s="694" t="s">
        <v>2577</v>
      </c>
      <c r="B1171" s="689"/>
      <c r="C1171" s="689"/>
      <c r="D1171" s="689"/>
      <c r="E1171" s="689"/>
      <c r="F1171" s="689"/>
      <c r="G1171" s="689"/>
      <c r="H1171" s="689"/>
      <c r="I1171" s="690"/>
    </row>
    <row r="1172" spans="1:9" ht="13">
      <c r="A1172" s="15" t="s">
        <v>2578</v>
      </c>
      <c r="B1172" s="5" t="s">
        <v>2579</v>
      </c>
      <c r="C1172" s="28" t="s">
        <v>2580</v>
      </c>
      <c r="D1172" s="5">
        <v>2022</v>
      </c>
      <c r="E1172" s="4">
        <v>12</v>
      </c>
      <c r="F1172" s="5" t="s">
        <v>32</v>
      </c>
      <c r="G1172" s="29">
        <v>180</v>
      </c>
      <c r="H1172" s="23"/>
      <c r="I1172" s="18">
        <v>1</v>
      </c>
    </row>
    <row r="1173" spans="1:9" ht="13">
      <c r="A1173" s="15" t="s">
        <v>2581</v>
      </c>
      <c r="B1173" s="5" t="s">
        <v>2582</v>
      </c>
      <c r="C1173" s="28" t="s">
        <v>2583</v>
      </c>
      <c r="D1173" s="5">
        <v>2023</v>
      </c>
      <c r="E1173" s="4">
        <v>12</v>
      </c>
      <c r="F1173" s="5" t="s">
        <v>32</v>
      </c>
      <c r="G1173" s="29">
        <v>120</v>
      </c>
      <c r="H1173" s="52"/>
      <c r="I1173" s="18"/>
    </row>
    <row r="1174" spans="1:9" ht="13">
      <c r="A1174" s="54" t="s">
        <v>2584</v>
      </c>
      <c r="B1174" s="5" t="s">
        <v>2585</v>
      </c>
      <c r="C1174" s="28" t="s">
        <v>2586</v>
      </c>
      <c r="D1174" s="5" t="s">
        <v>5</v>
      </c>
      <c r="E1174" s="4">
        <v>12</v>
      </c>
      <c r="F1174" s="5" t="s">
        <v>32</v>
      </c>
      <c r="G1174" s="29">
        <v>126</v>
      </c>
      <c r="H1174" s="52"/>
      <c r="I1174" s="18"/>
    </row>
    <row r="1175" spans="1:9" ht="13">
      <c r="A1175" s="54" t="s">
        <v>2587</v>
      </c>
      <c r="B1175" s="5" t="s">
        <v>2588</v>
      </c>
      <c r="C1175" s="28" t="s">
        <v>2586</v>
      </c>
      <c r="D1175" s="5" t="s">
        <v>5</v>
      </c>
      <c r="E1175" s="4">
        <v>1</v>
      </c>
      <c r="F1175" s="5" t="s">
        <v>2589</v>
      </c>
      <c r="G1175" s="29">
        <v>210</v>
      </c>
      <c r="H1175" s="52"/>
      <c r="I1175" s="19"/>
    </row>
    <row r="1176" spans="1:9" ht="13">
      <c r="A1176" s="39" t="s">
        <v>2590</v>
      </c>
      <c r="B1176" s="5" t="s">
        <v>2591</v>
      </c>
      <c r="C1176" s="28" t="s">
        <v>2566</v>
      </c>
      <c r="D1176" s="5">
        <v>2024</v>
      </c>
      <c r="E1176" s="4">
        <v>12</v>
      </c>
      <c r="F1176" s="5" t="s">
        <v>32</v>
      </c>
      <c r="G1176" s="29">
        <v>120</v>
      </c>
      <c r="H1176" s="52"/>
      <c r="I1176" s="18">
        <v>1</v>
      </c>
    </row>
    <row r="1177" spans="1:9" ht="13">
      <c r="A1177" s="25" t="s">
        <v>2592</v>
      </c>
      <c r="B1177" s="5" t="s">
        <v>2593</v>
      </c>
      <c r="C1177" s="28" t="s">
        <v>2594</v>
      </c>
      <c r="D1177" s="5">
        <v>2019</v>
      </c>
      <c r="E1177" s="4">
        <v>12</v>
      </c>
      <c r="F1177" s="5" t="s">
        <v>32</v>
      </c>
      <c r="G1177" s="29">
        <v>114</v>
      </c>
      <c r="H1177" s="44"/>
      <c r="I1177" s="18">
        <v>1</v>
      </c>
    </row>
    <row r="1178" spans="1:9" ht="13">
      <c r="A1178" s="25" t="s">
        <v>2595</v>
      </c>
      <c r="B1178" s="5" t="s">
        <v>2596</v>
      </c>
      <c r="C1178" s="28" t="s">
        <v>2594</v>
      </c>
      <c r="D1178" s="5">
        <v>2019</v>
      </c>
      <c r="E1178" s="4">
        <v>6</v>
      </c>
      <c r="F1178" s="5" t="s">
        <v>304</v>
      </c>
      <c r="G1178" s="29">
        <v>114</v>
      </c>
      <c r="H1178" s="44"/>
      <c r="I1178" s="19"/>
    </row>
    <row r="1179" spans="1:9" ht="13">
      <c r="A1179" s="25" t="s">
        <v>2597</v>
      </c>
      <c r="B1179" s="5" t="s">
        <v>2598</v>
      </c>
      <c r="C1179" s="28" t="s">
        <v>463</v>
      </c>
      <c r="D1179" s="5">
        <v>2024</v>
      </c>
      <c r="E1179" s="4">
        <v>12</v>
      </c>
      <c r="F1179" s="5" t="s">
        <v>32</v>
      </c>
      <c r="G1179" s="29">
        <v>132</v>
      </c>
      <c r="H1179" s="52"/>
      <c r="I1179" s="18">
        <v>1</v>
      </c>
    </row>
    <row r="1180" spans="1:9" ht="13">
      <c r="A1180" s="25" t="s">
        <v>2599</v>
      </c>
      <c r="B1180" s="5" t="s">
        <v>2600</v>
      </c>
      <c r="C1180" s="28" t="s">
        <v>2523</v>
      </c>
      <c r="D1180" s="5">
        <v>2019</v>
      </c>
      <c r="E1180" s="4">
        <v>12</v>
      </c>
      <c r="F1180" s="5" t="s">
        <v>32</v>
      </c>
      <c r="G1180" s="29">
        <v>126</v>
      </c>
      <c r="H1180" s="44"/>
      <c r="I1180" s="18">
        <v>1</v>
      </c>
    </row>
    <row r="1181" spans="1:9" ht="13">
      <c r="A1181" s="25" t="s">
        <v>2601</v>
      </c>
      <c r="B1181" s="5" t="s">
        <v>2602</v>
      </c>
      <c r="C1181" s="102" t="s">
        <v>2603</v>
      </c>
      <c r="D1181" s="5">
        <v>2019</v>
      </c>
      <c r="E1181" s="4">
        <v>12</v>
      </c>
      <c r="F1181" s="5" t="s">
        <v>32</v>
      </c>
      <c r="G1181" s="29">
        <v>126</v>
      </c>
      <c r="H1181" s="44"/>
      <c r="I1181" s="18">
        <v>1</v>
      </c>
    </row>
    <row r="1182" spans="1:9" ht="13">
      <c r="A1182" s="25" t="s">
        <v>2604</v>
      </c>
      <c r="B1182" s="5" t="s">
        <v>2605</v>
      </c>
      <c r="C1182" s="28" t="s">
        <v>2606</v>
      </c>
      <c r="D1182" s="5">
        <v>2019</v>
      </c>
      <c r="E1182" s="4">
        <v>12</v>
      </c>
      <c r="F1182" s="5" t="s">
        <v>32</v>
      </c>
      <c r="G1182" s="29">
        <v>126</v>
      </c>
      <c r="H1182" s="44"/>
      <c r="I1182" s="18">
        <v>1</v>
      </c>
    </row>
    <row r="1183" spans="1:9" ht="13">
      <c r="A1183" s="54" t="s">
        <v>2607</v>
      </c>
      <c r="B1183" s="5" t="s">
        <v>2608</v>
      </c>
      <c r="C1183" s="28" t="s">
        <v>2609</v>
      </c>
      <c r="D1183" s="5">
        <v>2017</v>
      </c>
      <c r="E1183" s="4">
        <v>12</v>
      </c>
      <c r="F1183" s="5" t="s">
        <v>32</v>
      </c>
      <c r="G1183" s="29">
        <v>222</v>
      </c>
      <c r="H1183" s="44"/>
      <c r="I1183" s="19"/>
    </row>
    <row r="1184" spans="1:9" ht="13">
      <c r="A1184" s="54" t="s">
        <v>2610</v>
      </c>
      <c r="B1184" s="5" t="s">
        <v>2611</v>
      </c>
      <c r="C1184" s="28" t="s">
        <v>2612</v>
      </c>
      <c r="D1184" s="5">
        <v>2021</v>
      </c>
      <c r="E1184" s="4">
        <v>12</v>
      </c>
      <c r="F1184" s="5" t="s">
        <v>32</v>
      </c>
      <c r="G1184" s="29">
        <v>276</v>
      </c>
      <c r="H1184" s="52"/>
      <c r="I1184" s="18"/>
    </row>
    <row r="1185" spans="1:9" ht="13">
      <c r="A1185" s="54" t="s">
        <v>2613</v>
      </c>
      <c r="B1185" s="5" t="s">
        <v>2614</v>
      </c>
      <c r="C1185" s="28" t="s">
        <v>2615</v>
      </c>
      <c r="D1185" s="5">
        <v>2022</v>
      </c>
      <c r="E1185" s="4">
        <v>12</v>
      </c>
      <c r="F1185" s="5" t="s">
        <v>32</v>
      </c>
      <c r="G1185" s="29">
        <v>276</v>
      </c>
      <c r="H1185" s="52"/>
      <c r="I1185" s="18"/>
    </row>
    <row r="1186" spans="1:9" ht="13">
      <c r="A1186" s="25" t="s">
        <v>2616</v>
      </c>
      <c r="B1186" s="5" t="s">
        <v>2617</v>
      </c>
      <c r="C1186" s="28" t="s">
        <v>463</v>
      </c>
      <c r="D1186" s="5">
        <v>2022</v>
      </c>
      <c r="E1186" s="4">
        <v>12</v>
      </c>
      <c r="F1186" s="5" t="s">
        <v>32</v>
      </c>
      <c r="G1186" s="29">
        <v>276</v>
      </c>
      <c r="H1186" s="44"/>
      <c r="I1186" s="18"/>
    </row>
    <row r="1187" spans="1:9" ht="13">
      <c r="A1187" s="15" t="s">
        <v>2618</v>
      </c>
      <c r="B1187" s="5" t="s">
        <v>2619</v>
      </c>
      <c r="C1187" s="28" t="s">
        <v>4</v>
      </c>
      <c r="D1187" s="5">
        <v>2023</v>
      </c>
      <c r="E1187" s="4">
        <v>12</v>
      </c>
      <c r="F1187" s="5" t="s">
        <v>32</v>
      </c>
      <c r="G1187" s="29">
        <v>162</v>
      </c>
      <c r="H1187" s="52"/>
      <c r="I1187" s="18"/>
    </row>
    <row r="1188" spans="1:9" ht="13">
      <c r="A1188" s="15" t="s">
        <v>2620</v>
      </c>
      <c r="B1188" s="5" t="s">
        <v>2621</v>
      </c>
      <c r="C1188" s="102" t="s">
        <v>2622</v>
      </c>
      <c r="D1188" s="5">
        <v>2022</v>
      </c>
      <c r="E1188" s="4">
        <v>12</v>
      </c>
      <c r="F1188" s="5" t="s">
        <v>32</v>
      </c>
      <c r="G1188" s="29">
        <v>162</v>
      </c>
      <c r="H1188" s="23"/>
      <c r="I1188" s="19"/>
    </row>
    <row r="1189" spans="1:9" ht="13">
      <c r="A1189" s="25" t="s">
        <v>2623</v>
      </c>
      <c r="B1189" s="5" t="s">
        <v>2624</v>
      </c>
      <c r="C1189" s="102" t="s">
        <v>2622</v>
      </c>
      <c r="D1189" s="5" t="s">
        <v>5</v>
      </c>
      <c r="E1189" s="4">
        <v>12</v>
      </c>
      <c r="F1189" s="5" t="s">
        <v>32</v>
      </c>
      <c r="G1189" s="29">
        <v>186</v>
      </c>
      <c r="H1189" s="23"/>
      <c r="I1189" s="18"/>
    </row>
    <row r="1190" spans="1:9" ht="13">
      <c r="A1190" s="25" t="s">
        <v>2625</v>
      </c>
      <c r="B1190" s="5" t="s">
        <v>2626</v>
      </c>
      <c r="C1190" s="102" t="s">
        <v>2603</v>
      </c>
      <c r="D1190" s="5">
        <v>2018</v>
      </c>
      <c r="E1190" s="4">
        <v>12</v>
      </c>
      <c r="F1190" s="5" t="s">
        <v>32</v>
      </c>
      <c r="G1190" s="29">
        <v>186</v>
      </c>
      <c r="H1190" s="44"/>
      <c r="I1190" s="8"/>
    </row>
    <row r="1191" spans="1:9" ht="13">
      <c r="A1191" s="25" t="s">
        <v>2627</v>
      </c>
      <c r="B1191" s="5" t="s">
        <v>2628</v>
      </c>
      <c r="C1191" s="102" t="s">
        <v>2603</v>
      </c>
      <c r="D1191" s="5">
        <v>2018</v>
      </c>
      <c r="E1191" s="4">
        <v>6</v>
      </c>
      <c r="F1191" s="5" t="s">
        <v>304</v>
      </c>
      <c r="G1191" s="29">
        <v>216</v>
      </c>
      <c r="H1191" s="44"/>
      <c r="I1191" s="18">
        <v>1</v>
      </c>
    </row>
    <row r="1192" spans="1:9" ht="23">
      <c r="A1192" s="715" t="s">
        <v>2629</v>
      </c>
      <c r="B1192" s="689"/>
      <c r="C1192" s="689"/>
      <c r="D1192" s="689"/>
      <c r="E1192" s="689"/>
      <c r="F1192" s="689"/>
      <c r="G1192" s="689"/>
      <c r="H1192" s="689"/>
      <c r="I1192" s="690"/>
    </row>
    <row r="1193" spans="1:9" ht="18">
      <c r="A1193" s="694" t="s">
        <v>2630</v>
      </c>
      <c r="B1193" s="689"/>
      <c r="C1193" s="689"/>
      <c r="D1193" s="689"/>
      <c r="E1193" s="689"/>
      <c r="F1193" s="689"/>
      <c r="G1193" s="689"/>
      <c r="H1193" s="689"/>
      <c r="I1193" s="690"/>
    </row>
    <row r="1194" spans="1:9" ht="13">
      <c r="A1194" s="177" t="s">
        <v>2631</v>
      </c>
      <c r="B1194" s="5" t="s">
        <v>2632</v>
      </c>
      <c r="C1194" s="77" t="s">
        <v>2633</v>
      </c>
      <c r="D1194" s="5" t="s">
        <v>5</v>
      </c>
      <c r="E1194" s="4">
        <v>24</v>
      </c>
      <c r="F1194" s="5" t="s">
        <v>564</v>
      </c>
      <c r="G1194" s="29">
        <v>72</v>
      </c>
      <c r="H1194" s="47" t="s">
        <v>2634</v>
      </c>
      <c r="I1194" s="18">
        <v>1</v>
      </c>
    </row>
    <row r="1195" spans="1:9" ht="13">
      <c r="A1195" s="177" t="s">
        <v>2635</v>
      </c>
      <c r="B1195" s="5" t="s">
        <v>2636</v>
      </c>
      <c r="C1195" s="77" t="s">
        <v>2637</v>
      </c>
      <c r="D1195" s="5" t="s">
        <v>5</v>
      </c>
      <c r="E1195" s="4">
        <v>24</v>
      </c>
      <c r="F1195" s="5" t="s">
        <v>564</v>
      </c>
      <c r="G1195" s="29">
        <v>72</v>
      </c>
      <c r="H1195" s="47" t="s">
        <v>2634</v>
      </c>
      <c r="I1195" s="18">
        <v>1</v>
      </c>
    </row>
    <row r="1196" spans="1:9" ht="18">
      <c r="A1196" s="694" t="s">
        <v>2638</v>
      </c>
      <c r="B1196" s="689"/>
      <c r="C1196" s="689"/>
      <c r="D1196" s="689"/>
      <c r="E1196" s="689"/>
      <c r="F1196" s="689"/>
      <c r="G1196" s="689"/>
      <c r="H1196" s="689"/>
      <c r="I1196" s="690"/>
    </row>
    <row r="1197" spans="1:9" ht="13">
      <c r="A1197" s="54" t="s">
        <v>2639</v>
      </c>
      <c r="B1197" s="5" t="s">
        <v>2640</v>
      </c>
      <c r="C1197" s="103" t="s">
        <v>2641</v>
      </c>
      <c r="D1197" s="5" t="s">
        <v>5</v>
      </c>
      <c r="E1197" s="4">
        <v>12</v>
      </c>
      <c r="F1197" s="5" t="s">
        <v>32</v>
      </c>
      <c r="G1197" s="29">
        <v>120</v>
      </c>
      <c r="H1197" s="44"/>
      <c r="I1197" s="18">
        <v>1</v>
      </c>
    </row>
    <row r="1198" spans="1:9" ht="13">
      <c r="A1198" s="15" t="s">
        <v>2642</v>
      </c>
      <c r="B1198" s="5" t="s">
        <v>2643</v>
      </c>
      <c r="C1198" s="103" t="s">
        <v>2644</v>
      </c>
      <c r="D1198" s="5">
        <v>2015</v>
      </c>
      <c r="E1198" s="4">
        <v>12</v>
      </c>
      <c r="F1198" s="5" t="s">
        <v>32</v>
      </c>
      <c r="G1198" s="29">
        <v>132</v>
      </c>
      <c r="H1198" s="44"/>
      <c r="I1198" s="13"/>
    </row>
    <row r="1199" spans="1:9" ht="13">
      <c r="A1199" s="15" t="s">
        <v>2645</v>
      </c>
      <c r="B1199" s="5" t="s">
        <v>2646</v>
      </c>
      <c r="C1199" s="103" t="s">
        <v>2647</v>
      </c>
      <c r="D1199" s="5">
        <v>2022</v>
      </c>
      <c r="E1199" s="4">
        <v>12</v>
      </c>
      <c r="F1199" s="5" t="s">
        <v>32</v>
      </c>
      <c r="G1199" s="29">
        <v>114</v>
      </c>
      <c r="H1199" s="44"/>
      <c r="I1199" s="18">
        <v>1</v>
      </c>
    </row>
    <row r="1200" spans="1:9" ht="13">
      <c r="A1200" s="39" t="s">
        <v>2648</v>
      </c>
      <c r="B1200" s="43" t="s">
        <v>2649</v>
      </c>
      <c r="C1200" s="28" t="s">
        <v>463</v>
      </c>
      <c r="D1200" s="5">
        <v>2023</v>
      </c>
      <c r="E1200" s="4">
        <v>12</v>
      </c>
      <c r="F1200" s="5" t="s">
        <v>32</v>
      </c>
      <c r="G1200" s="29">
        <v>114</v>
      </c>
      <c r="H1200" s="52"/>
      <c r="I1200" s="18">
        <v>1</v>
      </c>
    </row>
    <row r="1201" spans="1:9" ht="13">
      <c r="A1201" s="54" t="s">
        <v>2650</v>
      </c>
      <c r="B1201" s="43" t="s">
        <v>2651</v>
      </c>
      <c r="C1201" s="103" t="s">
        <v>2652</v>
      </c>
      <c r="D1201" s="5">
        <v>2021</v>
      </c>
      <c r="E1201" s="4">
        <v>12</v>
      </c>
      <c r="F1201" s="5" t="s">
        <v>32</v>
      </c>
      <c r="G1201" s="29">
        <v>186</v>
      </c>
      <c r="H1201" s="44"/>
      <c r="I1201" s="18">
        <v>1</v>
      </c>
    </row>
    <row r="1202" spans="1:9" ht="13">
      <c r="A1202" s="54" t="s">
        <v>2653</v>
      </c>
      <c r="B1202" s="43" t="s">
        <v>2651</v>
      </c>
      <c r="C1202" s="103" t="s">
        <v>2652</v>
      </c>
      <c r="D1202" s="5">
        <v>2022</v>
      </c>
      <c r="E1202" s="4">
        <v>12</v>
      </c>
      <c r="F1202" s="5" t="s">
        <v>32</v>
      </c>
      <c r="G1202" s="29">
        <v>186</v>
      </c>
      <c r="H1202" s="52"/>
      <c r="I1202" s="18">
        <v>1</v>
      </c>
    </row>
    <row r="1203" spans="1:9" ht="13">
      <c r="A1203" s="25" t="s">
        <v>2654</v>
      </c>
      <c r="B1203" s="43" t="s">
        <v>2655</v>
      </c>
      <c r="C1203" s="28" t="s">
        <v>2656</v>
      </c>
      <c r="D1203" s="5" t="s">
        <v>5</v>
      </c>
      <c r="E1203" s="4">
        <v>12</v>
      </c>
      <c r="F1203" s="5" t="s">
        <v>32</v>
      </c>
      <c r="G1203" s="29">
        <v>174</v>
      </c>
      <c r="H1203" s="44"/>
      <c r="I1203" s="13"/>
    </row>
    <row r="1204" spans="1:9" ht="13">
      <c r="A1204" s="15" t="s">
        <v>2657</v>
      </c>
      <c r="B1204" s="43" t="s">
        <v>2658</v>
      </c>
      <c r="C1204" s="28" t="s">
        <v>2659</v>
      </c>
      <c r="D1204" s="5">
        <v>2024</v>
      </c>
      <c r="E1204" s="4">
        <v>12</v>
      </c>
      <c r="F1204" s="5" t="s">
        <v>32</v>
      </c>
      <c r="G1204" s="29">
        <v>108</v>
      </c>
      <c r="H1204" s="52"/>
      <c r="I1204" s="8"/>
    </row>
    <row r="1205" spans="1:9" ht="13">
      <c r="A1205" s="25" t="s">
        <v>2660</v>
      </c>
      <c r="B1205" s="43" t="s">
        <v>2661</v>
      </c>
      <c r="C1205" s="28" t="s">
        <v>2594</v>
      </c>
      <c r="D1205" s="5">
        <v>2023</v>
      </c>
      <c r="E1205" s="4">
        <v>12</v>
      </c>
      <c r="F1205" s="5" t="s">
        <v>32</v>
      </c>
      <c r="G1205" s="29">
        <v>108</v>
      </c>
      <c r="H1205" s="52"/>
      <c r="I1205" s="18">
        <v>1</v>
      </c>
    </row>
    <row r="1206" spans="1:9" ht="13">
      <c r="A1206" s="15" t="s">
        <v>2662</v>
      </c>
      <c r="B1206" s="178" t="s">
        <v>2663</v>
      </c>
      <c r="C1206" s="179" t="s">
        <v>2664</v>
      </c>
      <c r="D1206" s="180">
        <v>2020</v>
      </c>
      <c r="E1206" s="181">
        <v>12</v>
      </c>
      <c r="F1206" s="178" t="s">
        <v>32</v>
      </c>
      <c r="G1206" s="60">
        <v>96</v>
      </c>
      <c r="H1206" s="44" t="s">
        <v>2665</v>
      </c>
      <c r="I1206" s="18">
        <v>1</v>
      </c>
    </row>
    <row r="1207" spans="1:9" ht="13">
      <c r="A1207" s="27" t="s">
        <v>2666</v>
      </c>
      <c r="B1207" s="178" t="s">
        <v>2667</v>
      </c>
      <c r="C1207" s="179" t="s">
        <v>2523</v>
      </c>
      <c r="D1207" s="180">
        <v>2020</v>
      </c>
      <c r="E1207" s="181">
        <v>12</v>
      </c>
      <c r="F1207" s="178" t="s">
        <v>32</v>
      </c>
      <c r="G1207" s="60">
        <v>96</v>
      </c>
      <c r="H1207" s="44" t="s">
        <v>2665</v>
      </c>
      <c r="I1207" s="18"/>
    </row>
    <row r="1208" spans="1:9" ht="13">
      <c r="A1208" s="54" t="s">
        <v>2668</v>
      </c>
      <c r="B1208" s="43" t="s">
        <v>2669</v>
      </c>
      <c r="C1208" s="182" t="s">
        <v>2670</v>
      </c>
      <c r="D1208" s="5">
        <v>2024</v>
      </c>
      <c r="E1208" s="4">
        <v>12</v>
      </c>
      <c r="F1208" s="5" t="s">
        <v>32</v>
      </c>
      <c r="G1208" s="29">
        <v>120</v>
      </c>
      <c r="H1208" s="52" t="s">
        <v>2665</v>
      </c>
      <c r="I1208" s="18">
        <v>1</v>
      </c>
    </row>
    <row r="1209" spans="1:9" ht="13">
      <c r="A1209" s="25" t="s">
        <v>2671</v>
      </c>
      <c r="B1209" s="43" t="s">
        <v>2672</v>
      </c>
      <c r="C1209" s="183" t="s">
        <v>2673</v>
      </c>
      <c r="D1209" s="5">
        <v>2023</v>
      </c>
      <c r="E1209" s="4">
        <v>12</v>
      </c>
      <c r="F1209" s="5" t="s">
        <v>32</v>
      </c>
      <c r="G1209" s="29">
        <v>120</v>
      </c>
      <c r="H1209" s="52"/>
      <c r="I1209" s="18">
        <v>1</v>
      </c>
    </row>
    <row r="1210" spans="1:9" ht="13">
      <c r="A1210" s="15" t="s">
        <v>2674</v>
      </c>
      <c r="B1210" s="43" t="s">
        <v>2675</v>
      </c>
      <c r="C1210" s="77" t="s">
        <v>2474</v>
      </c>
      <c r="D1210" s="5">
        <v>2024</v>
      </c>
      <c r="E1210" s="4">
        <v>12</v>
      </c>
      <c r="F1210" s="5" t="s">
        <v>32</v>
      </c>
      <c r="G1210" s="29">
        <v>108</v>
      </c>
      <c r="H1210" s="52"/>
      <c r="I1210" s="18"/>
    </row>
    <row r="1211" spans="1:9" ht="13">
      <c r="A1211" s="25" t="s">
        <v>2676</v>
      </c>
      <c r="B1211" s="43" t="s">
        <v>2677</v>
      </c>
      <c r="C1211" s="28" t="s">
        <v>2566</v>
      </c>
      <c r="D1211" s="5">
        <v>2023</v>
      </c>
      <c r="E1211" s="4">
        <v>12</v>
      </c>
      <c r="F1211" s="5" t="s">
        <v>32</v>
      </c>
      <c r="G1211" s="29">
        <v>138</v>
      </c>
      <c r="H1211" s="52"/>
      <c r="I1211" s="18">
        <v>1</v>
      </c>
    </row>
    <row r="1212" spans="1:9" ht="13">
      <c r="A1212" s="184" t="s">
        <v>2678</v>
      </c>
      <c r="B1212" s="185" t="s">
        <v>2679</v>
      </c>
      <c r="C1212" s="186" t="s">
        <v>463</v>
      </c>
      <c r="D1212" s="185">
        <v>2020</v>
      </c>
      <c r="E1212" s="187">
        <v>12</v>
      </c>
      <c r="F1212" s="185" t="s">
        <v>32</v>
      </c>
      <c r="G1212" s="188">
        <v>138</v>
      </c>
      <c r="H1212" s="189" t="s">
        <v>2680</v>
      </c>
      <c r="I1212" s="189"/>
    </row>
    <row r="1213" spans="1:9" ht="13">
      <c r="A1213" s="54" t="s">
        <v>2681</v>
      </c>
      <c r="B1213" s="5" t="s">
        <v>2682</v>
      </c>
      <c r="C1213" s="28" t="s">
        <v>2652</v>
      </c>
      <c r="D1213" s="5">
        <v>2020</v>
      </c>
      <c r="E1213" s="4">
        <v>12</v>
      </c>
      <c r="F1213" s="5" t="s">
        <v>32</v>
      </c>
      <c r="G1213" s="29">
        <v>186</v>
      </c>
      <c r="H1213" s="44"/>
      <c r="I1213" s="18">
        <v>1</v>
      </c>
    </row>
    <row r="1214" spans="1:9" ht="13">
      <c r="A1214" s="25" t="s">
        <v>2683</v>
      </c>
      <c r="B1214" s="5" t="s">
        <v>2684</v>
      </c>
      <c r="C1214" s="28" t="s">
        <v>2685</v>
      </c>
      <c r="D1214" s="5">
        <v>2015</v>
      </c>
      <c r="E1214" s="4">
        <v>12</v>
      </c>
      <c r="F1214" s="5" t="s">
        <v>32</v>
      </c>
      <c r="G1214" s="29">
        <v>150</v>
      </c>
      <c r="H1214" s="44"/>
      <c r="I1214" s="13"/>
    </row>
    <row r="1215" spans="1:9" ht="13">
      <c r="A1215" s="54" t="s">
        <v>2686</v>
      </c>
      <c r="B1215" s="5" t="s">
        <v>2687</v>
      </c>
      <c r="C1215" s="183" t="s">
        <v>2688</v>
      </c>
      <c r="D1215" s="5">
        <v>2021</v>
      </c>
      <c r="E1215" s="4">
        <v>12</v>
      </c>
      <c r="F1215" s="5" t="s">
        <v>32</v>
      </c>
      <c r="G1215" s="60">
        <v>180</v>
      </c>
      <c r="H1215" s="190" t="s">
        <v>2689</v>
      </c>
      <c r="I1215" s="18">
        <v>1</v>
      </c>
    </row>
    <row r="1216" spans="1:9" ht="13">
      <c r="A1216" s="40" t="s">
        <v>2690</v>
      </c>
      <c r="B1216" s="5" t="s">
        <v>2691</v>
      </c>
      <c r="C1216" s="183" t="s">
        <v>2692</v>
      </c>
      <c r="D1216" s="5">
        <v>2020</v>
      </c>
      <c r="E1216" s="4">
        <v>12</v>
      </c>
      <c r="F1216" s="5" t="s">
        <v>32</v>
      </c>
      <c r="G1216" s="60">
        <v>96</v>
      </c>
      <c r="H1216" s="190" t="s">
        <v>2693</v>
      </c>
      <c r="I1216" s="18">
        <v>1</v>
      </c>
    </row>
    <row r="1217" spans="1:9" ht="13">
      <c r="A1217" s="25" t="s">
        <v>2694</v>
      </c>
      <c r="B1217" s="5" t="s">
        <v>2695</v>
      </c>
      <c r="C1217" s="103" t="s">
        <v>2696</v>
      </c>
      <c r="D1217" s="5" t="s">
        <v>5</v>
      </c>
      <c r="E1217" s="4">
        <v>12</v>
      </c>
      <c r="F1217" s="5" t="s">
        <v>32</v>
      </c>
      <c r="G1217" s="29">
        <v>258</v>
      </c>
      <c r="H1217" s="52"/>
      <c r="I1217" s="18">
        <v>1</v>
      </c>
    </row>
    <row r="1218" spans="1:9" ht="13">
      <c r="A1218" s="25" t="s">
        <v>2697</v>
      </c>
      <c r="B1218" s="5" t="s">
        <v>2698</v>
      </c>
      <c r="C1218" s="28" t="s">
        <v>2699</v>
      </c>
      <c r="D1218" s="5" t="s">
        <v>5</v>
      </c>
      <c r="E1218" s="4">
        <v>12</v>
      </c>
      <c r="F1218" s="5" t="s">
        <v>32</v>
      </c>
      <c r="G1218" s="29">
        <v>258</v>
      </c>
      <c r="H1218" s="44"/>
      <c r="I1218" s="13"/>
    </row>
    <row r="1219" spans="1:9" ht="13">
      <c r="A1219" s="25" t="s">
        <v>2700</v>
      </c>
      <c r="B1219" s="5" t="s">
        <v>2701</v>
      </c>
      <c r="C1219" s="182" t="s">
        <v>2702</v>
      </c>
      <c r="D1219" s="5">
        <v>2014</v>
      </c>
      <c r="E1219" s="4">
        <v>12</v>
      </c>
      <c r="F1219" s="5" t="s">
        <v>32</v>
      </c>
      <c r="G1219" s="60">
        <v>240</v>
      </c>
      <c r="H1219" s="191" t="s">
        <v>2703</v>
      </c>
      <c r="I1219" s="13"/>
    </row>
    <row r="1220" spans="1:9" ht="33">
      <c r="A1220" s="716" t="s">
        <v>2704</v>
      </c>
      <c r="B1220" s="689"/>
      <c r="C1220" s="689"/>
      <c r="D1220" s="689"/>
      <c r="E1220" s="689"/>
      <c r="F1220" s="689"/>
      <c r="G1220" s="689"/>
      <c r="H1220" s="689"/>
      <c r="I1220" s="690"/>
    </row>
    <row r="1221" spans="1:9" ht="23">
      <c r="A1221" s="717" t="s">
        <v>2705</v>
      </c>
      <c r="B1221" s="689"/>
      <c r="C1221" s="689"/>
      <c r="D1221" s="689"/>
      <c r="E1221" s="689"/>
      <c r="F1221" s="689"/>
      <c r="G1221" s="689"/>
      <c r="H1221" s="689"/>
      <c r="I1221" s="690"/>
    </row>
    <row r="1222" spans="1:9" ht="18">
      <c r="A1222" s="696" t="s">
        <v>2638</v>
      </c>
      <c r="B1222" s="689"/>
      <c r="C1222" s="689"/>
      <c r="D1222" s="689"/>
      <c r="E1222" s="689"/>
      <c r="F1222" s="689"/>
      <c r="G1222" s="689"/>
      <c r="H1222" s="689"/>
      <c r="I1222" s="690"/>
    </row>
    <row r="1223" spans="1:9" ht="13">
      <c r="A1223" s="15" t="s">
        <v>2706</v>
      </c>
      <c r="B1223" s="5" t="s">
        <v>2707</v>
      </c>
      <c r="C1223" s="77" t="s">
        <v>2708</v>
      </c>
      <c r="D1223" s="5">
        <v>2021</v>
      </c>
      <c r="E1223" s="4">
        <v>12</v>
      </c>
      <c r="F1223" s="5" t="s">
        <v>32</v>
      </c>
      <c r="G1223" s="29">
        <v>120</v>
      </c>
      <c r="H1223" s="44"/>
      <c r="I1223" s="18">
        <v>1</v>
      </c>
    </row>
    <row r="1224" spans="1:9" ht="13">
      <c r="A1224" s="15" t="s">
        <v>2709</v>
      </c>
      <c r="B1224" s="5" t="s">
        <v>2707</v>
      </c>
      <c r="C1224" s="77" t="s">
        <v>2708</v>
      </c>
      <c r="D1224" s="5">
        <v>2022</v>
      </c>
      <c r="E1224" s="4">
        <v>12</v>
      </c>
      <c r="F1224" s="5" t="s">
        <v>32</v>
      </c>
      <c r="G1224" s="29">
        <v>120</v>
      </c>
      <c r="H1224" s="52"/>
      <c r="I1224" s="18">
        <v>1</v>
      </c>
    </row>
    <row r="1225" spans="1:9" ht="13">
      <c r="A1225" s="54" t="s">
        <v>2710</v>
      </c>
      <c r="B1225" s="5" t="s">
        <v>2711</v>
      </c>
      <c r="C1225" s="28" t="s">
        <v>2708</v>
      </c>
      <c r="D1225" s="5">
        <v>2022</v>
      </c>
      <c r="E1225" s="4">
        <v>12</v>
      </c>
      <c r="F1225" s="5" t="s">
        <v>32</v>
      </c>
      <c r="G1225" s="29">
        <v>144</v>
      </c>
      <c r="H1225" s="190" t="s">
        <v>228</v>
      </c>
      <c r="I1225" s="18">
        <v>1</v>
      </c>
    </row>
    <row r="1226" spans="1:9" ht="23">
      <c r="A1226" s="717" t="s">
        <v>2712</v>
      </c>
      <c r="B1226" s="689"/>
      <c r="C1226" s="689"/>
      <c r="D1226" s="689"/>
      <c r="E1226" s="689"/>
      <c r="F1226" s="689"/>
      <c r="G1226" s="689"/>
      <c r="H1226" s="689"/>
      <c r="I1226" s="690"/>
    </row>
    <row r="1227" spans="1:9" ht="18">
      <c r="A1227" s="696" t="s">
        <v>2713</v>
      </c>
      <c r="B1227" s="689"/>
      <c r="C1227" s="689"/>
      <c r="D1227" s="689"/>
      <c r="E1227" s="689"/>
      <c r="F1227" s="689"/>
      <c r="G1227" s="689"/>
      <c r="H1227" s="689"/>
      <c r="I1227" s="690"/>
    </row>
    <row r="1228" spans="1:9" ht="13">
      <c r="A1228" s="54" t="s">
        <v>2714</v>
      </c>
      <c r="B1228" s="5" t="s">
        <v>2715</v>
      </c>
      <c r="C1228" s="77" t="s">
        <v>2716</v>
      </c>
      <c r="D1228" s="5">
        <v>2021</v>
      </c>
      <c r="E1228" s="4">
        <v>12</v>
      </c>
      <c r="F1228" s="5" t="s">
        <v>32</v>
      </c>
      <c r="G1228" s="29">
        <v>162</v>
      </c>
      <c r="H1228" s="44"/>
      <c r="I1228" s="19"/>
    </row>
    <row r="1229" spans="1:9" ht="13">
      <c r="A1229" s="54" t="s">
        <v>2717</v>
      </c>
      <c r="B1229" s="5" t="s">
        <v>2718</v>
      </c>
      <c r="C1229" s="77" t="s">
        <v>1827</v>
      </c>
      <c r="D1229" s="5">
        <v>2021</v>
      </c>
      <c r="E1229" s="4">
        <v>12</v>
      </c>
      <c r="F1229" s="5" t="s">
        <v>32</v>
      </c>
      <c r="G1229" s="29">
        <v>174</v>
      </c>
      <c r="H1229" s="44"/>
      <c r="I1229" s="13"/>
    </row>
    <row r="1230" spans="1:9" ht="13">
      <c r="A1230" s="54" t="s">
        <v>2719</v>
      </c>
      <c r="B1230" s="5" t="s">
        <v>2720</v>
      </c>
      <c r="C1230" s="77" t="s">
        <v>2716</v>
      </c>
      <c r="D1230" s="5">
        <v>2021</v>
      </c>
      <c r="E1230" s="4">
        <v>12</v>
      </c>
      <c r="F1230" s="5" t="s">
        <v>32</v>
      </c>
      <c r="G1230" s="29">
        <v>192</v>
      </c>
      <c r="H1230" s="44"/>
      <c r="I1230" s="19"/>
    </row>
    <row r="1231" spans="1:9" ht="13">
      <c r="A1231" s="25" t="s">
        <v>2721</v>
      </c>
      <c r="B1231" s="5" t="s">
        <v>2722</v>
      </c>
      <c r="C1231" s="77" t="s">
        <v>2566</v>
      </c>
      <c r="D1231" s="5">
        <v>2021</v>
      </c>
      <c r="E1231" s="4">
        <v>12</v>
      </c>
      <c r="F1231" s="5" t="s">
        <v>32</v>
      </c>
      <c r="G1231" s="29">
        <v>162</v>
      </c>
      <c r="H1231" s="44"/>
      <c r="I1231" s="19"/>
    </row>
    <row r="1232" spans="1:9" ht="13">
      <c r="A1232" s="25" t="s">
        <v>2723</v>
      </c>
      <c r="B1232" s="5" t="s">
        <v>2724</v>
      </c>
      <c r="C1232" s="77" t="s">
        <v>2385</v>
      </c>
      <c r="D1232" s="5">
        <v>2021</v>
      </c>
      <c r="E1232" s="4">
        <v>12</v>
      </c>
      <c r="F1232" s="5" t="s">
        <v>32</v>
      </c>
      <c r="G1232" s="29">
        <v>174</v>
      </c>
      <c r="H1232" s="44"/>
      <c r="I1232" s="19"/>
    </row>
    <row r="1233" spans="1:9" ht="13">
      <c r="A1233" s="25" t="s">
        <v>2725</v>
      </c>
      <c r="B1233" s="5" t="s">
        <v>2726</v>
      </c>
      <c r="C1233" s="77" t="s">
        <v>2727</v>
      </c>
      <c r="D1233" s="5">
        <v>2021</v>
      </c>
      <c r="E1233" s="4">
        <v>12</v>
      </c>
      <c r="F1233" s="5" t="s">
        <v>32</v>
      </c>
      <c r="G1233" s="29">
        <v>204</v>
      </c>
      <c r="H1233" s="44"/>
      <c r="I1233" s="13"/>
    </row>
    <row r="1234" spans="1:9" ht="18">
      <c r="A1234" s="696" t="s">
        <v>2728</v>
      </c>
      <c r="B1234" s="689"/>
      <c r="C1234" s="689"/>
      <c r="D1234" s="689"/>
      <c r="E1234" s="689"/>
      <c r="F1234" s="689"/>
      <c r="G1234" s="689"/>
      <c r="H1234" s="689"/>
      <c r="I1234" s="690"/>
    </row>
    <row r="1235" spans="1:9" ht="13">
      <c r="A1235" s="15" t="s">
        <v>2729</v>
      </c>
      <c r="B1235" s="5" t="s">
        <v>2730</v>
      </c>
      <c r="C1235" s="77" t="s">
        <v>2716</v>
      </c>
      <c r="D1235" s="5">
        <v>2020</v>
      </c>
      <c r="E1235" s="4">
        <v>6</v>
      </c>
      <c r="F1235" s="5" t="s">
        <v>32</v>
      </c>
      <c r="G1235" s="29">
        <v>87</v>
      </c>
      <c r="H1235" s="44"/>
      <c r="I1235" s="19"/>
    </row>
    <row r="1236" spans="1:9" ht="13">
      <c r="A1236" s="15" t="s">
        <v>2731</v>
      </c>
      <c r="B1236" s="5" t="s">
        <v>2732</v>
      </c>
      <c r="C1236" s="77" t="s">
        <v>2733</v>
      </c>
      <c r="D1236" s="5">
        <v>2020</v>
      </c>
      <c r="E1236" s="4">
        <v>6</v>
      </c>
      <c r="F1236" s="5" t="s">
        <v>32</v>
      </c>
      <c r="G1236" s="29">
        <v>87</v>
      </c>
      <c r="H1236" s="44"/>
      <c r="I1236" s="30"/>
    </row>
    <row r="1237" spans="1:9" ht="13">
      <c r="A1237" s="15" t="s">
        <v>2734</v>
      </c>
      <c r="B1237" s="5" t="s">
        <v>2735</v>
      </c>
      <c r="C1237" s="77" t="s">
        <v>2736</v>
      </c>
      <c r="D1237" s="5">
        <v>2021</v>
      </c>
      <c r="E1237" s="4">
        <v>12</v>
      </c>
      <c r="F1237" s="5" t="s">
        <v>32</v>
      </c>
      <c r="G1237" s="29">
        <v>108</v>
      </c>
      <c r="H1237" s="61"/>
      <c r="I1237" s="30"/>
    </row>
    <row r="1238" spans="1:9" ht="13">
      <c r="A1238" s="54" t="s">
        <v>2737</v>
      </c>
      <c r="B1238" s="5" t="s">
        <v>2738</v>
      </c>
      <c r="C1238" s="77" t="s">
        <v>2739</v>
      </c>
      <c r="D1238" s="5">
        <v>2021</v>
      </c>
      <c r="E1238" s="4">
        <v>12</v>
      </c>
      <c r="F1238" s="5" t="s">
        <v>32</v>
      </c>
      <c r="G1238" s="29">
        <v>108</v>
      </c>
      <c r="H1238" s="44"/>
      <c r="I1238" s="18"/>
    </row>
    <row r="1239" spans="1:9" ht="13">
      <c r="A1239" s="15" t="s">
        <v>2740</v>
      </c>
      <c r="B1239" s="5" t="s">
        <v>2741</v>
      </c>
      <c r="C1239" s="77" t="s">
        <v>2742</v>
      </c>
      <c r="D1239" s="5">
        <v>2021</v>
      </c>
      <c r="E1239" s="4">
        <v>12</v>
      </c>
      <c r="F1239" s="5" t="s">
        <v>32</v>
      </c>
      <c r="G1239" s="29">
        <v>204</v>
      </c>
      <c r="H1239" s="44"/>
      <c r="I1239" s="18">
        <v>1</v>
      </c>
    </row>
    <row r="1240" spans="1:9" ht="13">
      <c r="A1240" s="54" t="s">
        <v>2743</v>
      </c>
      <c r="B1240" s="5" t="s">
        <v>2744</v>
      </c>
      <c r="C1240" s="77" t="s">
        <v>2745</v>
      </c>
      <c r="D1240" s="5">
        <v>2021</v>
      </c>
      <c r="E1240" s="4">
        <v>12</v>
      </c>
      <c r="F1240" s="5" t="s">
        <v>32</v>
      </c>
      <c r="G1240" s="29">
        <v>150</v>
      </c>
      <c r="H1240" s="44"/>
      <c r="I1240" s="30"/>
    </row>
    <row r="1241" spans="1:9" ht="13">
      <c r="A1241" s="54" t="s">
        <v>2746</v>
      </c>
      <c r="B1241" s="5" t="s">
        <v>2747</v>
      </c>
      <c r="C1241" s="77" t="s">
        <v>2748</v>
      </c>
      <c r="D1241" s="5">
        <v>2021</v>
      </c>
      <c r="E1241" s="4">
        <v>12</v>
      </c>
      <c r="F1241" s="5" t="s">
        <v>32</v>
      </c>
      <c r="G1241" s="29">
        <v>174</v>
      </c>
      <c r="H1241" s="44"/>
      <c r="I1241" s="30"/>
    </row>
    <row r="1242" spans="1:9" ht="13">
      <c r="A1242" s="54" t="s">
        <v>2749</v>
      </c>
      <c r="B1242" s="5" t="s">
        <v>2750</v>
      </c>
      <c r="C1242" s="77" t="s">
        <v>2748</v>
      </c>
      <c r="D1242" s="5">
        <v>2020</v>
      </c>
      <c r="E1242" s="4">
        <v>6</v>
      </c>
      <c r="F1242" s="5" t="s">
        <v>32</v>
      </c>
      <c r="G1242" s="29">
        <v>87</v>
      </c>
      <c r="H1242" s="44"/>
      <c r="I1242" s="30"/>
    </row>
    <row r="1243" spans="1:9" ht="13">
      <c r="A1243" s="40" t="s">
        <v>2751</v>
      </c>
      <c r="B1243" s="5" t="s">
        <v>2752</v>
      </c>
      <c r="C1243" s="77" t="s">
        <v>2523</v>
      </c>
      <c r="D1243" s="5">
        <v>2022</v>
      </c>
      <c r="E1243" s="4">
        <v>12</v>
      </c>
      <c r="F1243" s="5" t="s">
        <v>32</v>
      </c>
      <c r="G1243" s="29">
        <v>96</v>
      </c>
      <c r="H1243" s="61"/>
      <c r="I1243" s="30"/>
    </row>
    <row r="1244" spans="1:9" ht="13">
      <c r="A1244" s="25" t="s">
        <v>2753</v>
      </c>
      <c r="B1244" s="5" t="s">
        <v>2754</v>
      </c>
      <c r="C1244" s="77" t="s">
        <v>2385</v>
      </c>
      <c r="D1244" s="5">
        <v>2020</v>
      </c>
      <c r="E1244" s="4">
        <v>12</v>
      </c>
      <c r="F1244" s="5" t="s">
        <v>32</v>
      </c>
      <c r="G1244" s="29">
        <v>162</v>
      </c>
      <c r="H1244" s="44"/>
      <c r="I1244" s="19"/>
    </row>
    <row r="1245" spans="1:9" ht="23">
      <c r="A1245" s="717" t="s">
        <v>2755</v>
      </c>
      <c r="B1245" s="689"/>
      <c r="C1245" s="689"/>
      <c r="D1245" s="689"/>
      <c r="E1245" s="689"/>
      <c r="F1245" s="689"/>
      <c r="G1245" s="689"/>
      <c r="H1245" s="689"/>
      <c r="I1245" s="690"/>
    </row>
    <row r="1246" spans="1:9" ht="18">
      <c r="A1246" s="696" t="s">
        <v>2756</v>
      </c>
      <c r="B1246" s="689"/>
      <c r="C1246" s="689"/>
      <c r="D1246" s="689"/>
      <c r="E1246" s="689"/>
      <c r="F1246" s="689"/>
      <c r="G1246" s="689"/>
      <c r="H1246" s="689"/>
      <c r="I1246" s="690"/>
    </row>
    <row r="1247" spans="1:9" ht="13">
      <c r="A1247" s="15" t="s">
        <v>2757</v>
      </c>
      <c r="B1247" s="5" t="s">
        <v>2758</v>
      </c>
      <c r="C1247" s="77" t="s">
        <v>2759</v>
      </c>
      <c r="D1247" s="5">
        <v>2018</v>
      </c>
      <c r="E1247" s="4">
        <v>12</v>
      </c>
      <c r="F1247" s="5" t="s">
        <v>32</v>
      </c>
      <c r="G1247" s="29">
        <v>156</v>
      </c>
      <c r="H1247" s="17"/>
      <c r="I1247" s="30"/>
    </row>
    <row r="1248" spans="1:9" ht="13">
      <c r="A1248" s="15" t="s">
        <v>2760</v>
      </c>
      <c r="B1248" s="5" t="s">
        <v>2761</v>
      </c>
      <c r="C1248" s="28" t="s">
        <v>2759</v>
      </c>
      <c r="D1248" s="5">
        <v>2022</v>
      </c>
      <c r="E1248" s="4">
        <v>12</v>
      </c>
      <c r="F1248" s="5" t="s">
        <v>32</v>
      </c>
      <c r="G1248" s="29">
        <v>210</v>
      </c>
      <c r="H1248" s="23"/>
      <c r="I1248" s="30"/>
    </row>
    <row r="1249" spans="1:9" ht="13">
      <c r="A1249" s="15" t="s">
        <v>2762</v>
      </c>
      <c r="B1249" s="5" t="s">
        <v>2763</v>
      </c>
      <c r="C1249" s="28" t="s">
        <v>2764</v>
      </c>
      <c r="D1249" s="5">
        <v>2020</v>
      </c>
      <c r="E1249" s="4">
        <v>12</v>
      </c>
      <c r="F1249" s="5" t="s">
        <v>32</v>
      </c>
      <c r="G1249" s="29">
        <v>186</v>
      </c>
      <c r="H1249" s="17"/>
      <c r="I1249" s="30"/>
    </row>
    <row r="1250" spans="1:9" ht="13">
      <c r="A1250" s="15" t="s">
        <v>2765</v>
      </c>
      <c r="B1250" s="5" t="s">
        <v>2766</v>
      </c>
      <c r="C1250" s="28" t="s">
        <v>2767</v>
      </c>
      <c r="D1250" s="5">
        <v>2018</v>
      </c>
      <c r="E1250" s="4">
        <v>12</v>
      </c>
      <c r="F1250" s="5" t="s">
        <v>32</v>
      </c>
      <c r="G1250" s="29">
        <v>150</v>
      </c>
      <c r="H1250" s="17"/>
      <c r="I1250" s="30"/>
    </row>
    <row r="1251" spans="1:9" ht="13">
      <c r="A1251" s="15" t="s">
        <v>2768</v>
      </c>
      <c r="B1251" s="5" t="s">
        <v>2769</v>
      </c>
      <c r="C1251" s="28" t="s">
        <v>2716</v>
      </c>
      <c r="D1251" s="5">
        <v>2022</v>
      </c>
      <c r="E1251" s="4">
        <v>12</v>
      </c>
      <c r="F1251" s="5" t="s">
        <v>32</v>
      </c>
      <c r="G1251" s="29">
        <v>192</v>
      </c>
      <c r="H1251" s="23"/>
      <c r="I1251" s="30"/>
    </row>
    <row r="1252" spans="1:9" ht="13">
      <c r="A1252" s="15" t="s">
        <v>2770</v>
      </c>
      <c r="B1252" s="5" t="s">
        <v>2771</v>
      </c>
      <c r="C1252" s="28" t="s">
        <v>2716</v>
      </c>
      <c r="D1252" s="5">
        <v>2021</v>
      </c>
      <c r="E1252" s="4">
        <v>12</v>
      </c>
      <c r="F1252" s="5" t="s">
        <v>32</v>
      </c>
      <c r="G1252" s="29">
        <v>168</v>
      </c>
      <c r="H1252" s="17"/>
      <c r="I1252" s="30"/>
    </row>
    <row r="1253" spans="1:9" ht="13">
      <c r="A1253" s="54" t="s">
        <v>2772</v>
      </c>
      <c r="B1253" s="150" t="s">
        <v>2773</v>
      </c>
      <c r="C1253" s="192" t="s">
        <v>2759</v>
      </c>
      <c r="D1253" s="5">
        <v>2018</v>
      </c>
      <c r="E1253" s="4">
        <v>12</v>
      </c>
      <c r="F1253" s="5" t="s">
        <v>32</v>
      </c>
      <c r="G1253" s="29">
        <v>150</v>
      </c>
      <c r="H1253" s="17"/>
      <c r="I1253" s="30"/>
    </row>
    <row r="1254" spans="1:9" ht="13">
      <c r="A1254" s="54" t="s">
        <v>2774</v>
      </c>
      <c r="B1254" s="5" t="s">
        <v>2775</v>
      </c>
      <c r="C1254" s="28" t="s">
        <v>2759</v>
      </c>
      <c r="D1254" s="5">
        <v>2022</v>
      </c>
      <c r="E1254" s="4">
        <v>12</v>
      </c>
      <c r="F1254" s="5" t="s">
        <v>32</v>
      </c>
      <c r="G1254" s="29">
        <v>192</v>
      </c>
      <c r="H1254" s="23"/>
      <c r="I1254" s="30"/>
    </row>
    <row r="1255" spans="1:9" ht="13">
      <c r="A1255" s="54" t="s">
        <v>2776</v>
      </c>
      <c r="B1255" s="5" t="s">
        <v>2777</v>
      </c>
      <c r="C1255" s="28" t="s">
        <v>2778</v>
      </c>
      <c r="D1255" s="5">
        <v>2022</v>
      </c>
      <c r="E1255" s="4">
        <v>12</v>
      </c>
      <c r="F1255" s="5" t="s">
        <v>32</v>
      </c>
      <c r="G1255" s="29">
        <v>192</v>
      </c>
      <c r="H1255" s="23"/>
      <c r="I1255" s="30"/>
    </row>
    <row r="1256" spans="1:9" ht="13">
      <c r="A1256" s="25" t="s">
        <v>2779</v>
      </c>
      <c r="B1256" s="5" t="s">
        <v>2780</v>
      </c>
      <c r="C1256" s="28" t="s">
        <v>2781</v>
      </c>
      <c r="D1256" s="5">
        <v>2022</v>
      </c>
      <c r="E1256" s="4">
        <v>12</v>
      </c>
      <c r="F1256" s="5" t="s">
        <v>32</v>
      </c>
      <c r="G1256" s="29">
        <v>210</v>
      </c>
      <c r="H1256" s="31"/>
      <c r="I1256" s="30"/>
    </row>
    <row r="1257" spans="1:9" ht="13">
      <c r="A1257" s="25" t="s">
        <v>2782</v>
      </c>
      <c r="B1257" s="5" t="s">
        <v>2783</v>
      </c>
      <c r="C1257" s="28" t="s">
        <v>2385</v>
      </c>
      <c r="D1257" s="5">
        <v>2022</v>
      </c>
      <c r="E1257" s="4">
        <v>12</v>
      </c>
      <c r="F1257" s="5" t="s">
        <v>32</v>
      </c>
      <c r="G1257" s="29">
        <v>192</v>
      </c>
      <c r="H1257" s="23"/>
      <c r="I1257" s="30"/>
    </row>
    <row r="1258" spans="1:9" ht="33">
      <c r="A1258" s="719" t="s">
        <v>2784</v>
      </c>
      <c r="B1258" s="689"/>
      <c r="C1258" s="689"/>
      <c r="D1258" s="689"/>
      <c r="E1258" s="689"/>
      <c r="F1258" s="689"/>
      <c r="G1258" s="689"/>
      <c r="H1258" s="689"/>
      <c r="I1258" s="690"/>
    </row>
    <row r="1259" spans="1:9" ht="23">
      <c r="A1259" s="720" t="s">
        <v>2785</v>
      </c>
      <c r="B1259" s="689"/>
      <c r="C1259" s="689"/>
      <c r="D1259" s="689"/>
      <c r="E1259" s="689"/>
      <c r="F1259" s="689"/>
      <c r="G1259" s="689"/>
      <c r="H1259" s="689"/>
      <c r="I1259" s="690"/>
    </row>
    <row r="1260" spans="1:9" ht="18">
      <c r="A1260" s="696" t="s">
        <v>2786</v>
      </c>
      <c r="B1260" s="689"/>
      <c r="C1260" s="689"/>
      <c r="D1260" s="689"/>
      <c r="E1260" s="689"/>
      <c r="F1260" s="689"/>
      <c r="G1260" s="689"/>
      <c r="H1260" s="689"/>
      <c r="I1260" s="690"/>
    </row>
    <row r="1261" spans="1:9" ht="13">
      <c r="A1261" s="1" t="s">
        <v>2787</v>
      </c>
      <c r="B1261" s="193" t="s">
        <v>2788</v>
      </c>
      <c r="C1261" s="183" t="s">
        <v>2789</v>
      </c>
      <c r="D1261" s="193">
        <v>2020</v>
      </c>
      <c r="E1261" s="4">
        <v>12</v>
      </c>
      <c r="F1261" s="2" t="s">
        <v>32</v>
      </c>
      <c r="G1261" s="46">
        <v>120</v>
      </c>
      <c r="H1261" s="168" t="s">
        <v>2790</v>
      </c>
      <c r="I1261" s="19"/>
    </row>
    <row r="1262" spans="1:9" ht="13">
      <c r="A1262" s="1" t="s">
        <v>2791</v>
      </c>
      <c r="B1262" s="193" t="s">
        <v>2792</v>
      </c>
      <c r="C1262" s="183" t="s">
        <v>2793</v>
      </c>
      <c r="D1262" s="193" t="s">
        <v>5</v>
      </c>
      <c r="E1262" s="4">
        <v>12</v>
      </c>
      <c r="F1262" s="2" t="s">
        <v>32</v>
      </c>
      <c r="G1262" s="46">
        <v>120</v>
      </c>
      <c r="H1262" s="168" t="s">
        <v>2790</v>
      </c>
      <c r="I1262" s="19"/>
    </row>
    <row r="1263" spans="1:9" ht="13">
      <c r="A1263" s="1" t="s">
        <v>2794</v>
      </c>
      <c r="B1263" s="193" t="s">
        <v>2795</v>
      </c>
      <c r="C1263" s="183" t="s">
        <v>709</v>
      </c>
      <c r="D1263" s="193">
        <v>2018</v>
      </c>
      <c r="E1263" s="4">
        <v>12</v>
      </c>
      <c r="F1263" s="2" t="s">
        <v>32</v>
      </c>
      <c r="G1263" s="6">
        <v>162</v>
      </c>
      <c r="H1263" s="17"/>
      <c r="I1263" s="30"/>
    </row>
    <row r="1264" spans="1:9" ht="13">
      <c r="A1264" s="1" t="s">
        <v>2796</v>
      </c>
      <c r="B1264" s="193" t="s">
        <v>2797</v>
      </c>
      <c r="C1264" s="183" t="s">
        <v>2798</v>
      </c>
      <c r="D1264" s="193">
        <v>2019</v>
      </c>
      <c r="E1264" s="4">
        <v>12</v>
      </c>
      <c r="F1264" s="2" t="s">
        <v>32</v>
      </c>
      <c r="G1264" s="46">
        <v>120</v>
      </c>
      <c r="H1264" s="168" t="s">
        <v>2790</v>
      </c>
      <c r="I1264" s="19"/>
    </row>
    <row r="1265" spans="1:9" ht="13">
      <c r="A1265" s="1" t="s">
        <v>2799</v>
      </c>
      <c r="B1265" s="193" t="s">
        <v>2800</v>
      </c>
      <c r="C1265" s="183" t="s">
        <v>2801</v>
      </c>
      <c r="D1265" s="193">
        <v>2019</v>
      </c>
      <c r="E1265" s="4">
        <v>12</v>
      </c>
      <c r="F1265" s="2" t="s">
        <v>32</v>
      </c>
      <c r="G1265" s="46">
        <v>120</v>
      </c>
      <c r="H1265" s="168" t="s">
        <v>2790</v>
      </c>
      <c r="I1265" s="19"/>
    </row>
    <row r="1266" spans="1:9" ht="13">
      <c r="A1266" s="37" t="s">
        <v>2802</v>
      </c>
      <c r="B1266" s="193" t="s">
        <v>2803</v>
      </c>
      <c r="C1266" s="183" t="s">
        <v>2798</v>
      </c>
      <c r="D1266" s="193">
        <v>2018</v>
      </c>
      <c r="E1266" s="4">
        <v>12</v>
      </c>
      <c r="F1266" s="2" t="s">
        <v>32</v>
      </c>
      <c r="G1266" s="6">
        <v>162</v>
      </c>
      <c r="H1266" s="17"/>
      <c r="I1266" s="30"/>
    </row>
    <row r="1267" spans="1:9" ht="13">
      <c r="A1267" s="1" t="s">
        <v>2804</v>
      </c>
      <c r="B1267" s="193" t="s">
        <v>2805</v>
      </c>
      <c r="C1267" s="183" t="s">
        <v>709</v>
      </c>
      <c r="D1267" s="193">
        <v>2019</v>
      </c>
      <c r="E1267" s="4">
        <v>12</v>
      </c>
      <c r="F1267" s="2" t="s">
        <v>32</v>
      </c>
      <c r="G1267" s="46">
        <v>120</v>
      </c>
      <c r="H1267" s="168" t="s">
        <v>2345</v>
      </c>
      <c r="I1267" s="30"/>
    </row>
    <row r="1268" spans="1:9" ht="13">
      <c r="A1268" s="1" t="s">
        <v>2806</v>
      </c>
      <c r="B1268" s="193" t="s">
        <v>2807</v>
      </c>
      <c r="C1268" s="183" t="s">
        <v>2808</v>
      </c>
      <c r="D1268" s="193">
        <v>2019</v>
      </c>
      <c r="E1268" s="4">
        <v>12</v>
      </c>
      <c r="F1268" s="2" t="s">
        <v>32</v>
      </c>
      <c r="G1268" s="46">
        <v>120</v>
      </c>
      <c r="H1268" s="168" t="s">
        <v>2345</v>
      </c>
      <c r="I1268" s="30"/>
    </row>
    <row r="1269" spans="1:9" ht="13">
      <c r="A1269" s="37" t="s">
        <v>2809</v>
      </c>
      <c r="B1269" s="193" t="s">
        <v>2810</v>
      </c>
      <c r="C1269" s="183" t="s">
        <v>709</v>
      </c>
      <c r="D1269" s="193">
        <v>2016</v>
      </c>
      <c r="E1269" s="4">
        <v>12</v>
      </c>
      <c r="F1269" s="2" t="s">
        <v>32</v>
      </c>
      <c r="G1269" s="6">
        <v>162</v>
      </c>
      <c r="H1269" s="17"/>
      <c r="I1269" s="30"/>
    </row>
    <row r="1270" spans="1:9" ht="13">
      <c r="A1270" s="1" t="s">
        <v>2811</v>
      </c>
      <c r="B1270" s="193" t="s">
        <v>2812</v>
      </c>
      <c r="C1270" s="183" t="s">
        <v>2813</v>
      </c>
      <c r="D1270" s="193">
        <v>2017</v>
      </c>
      <c r="E1270" s="4">
        <v>12</v>
      </c>
      <c r="F1270" s="2" t="s">
        <v>32</v>
      </c>
      <c r="G1270" s="6">
        <v>162</v>
      </c>
      <c r="H1270" s="17"/>
      <c r="I1270" s="30"/>
    </row>
    <row r="1271" spans="1:9" ht="13">
      <c r="A1271" s="10" t="s">
        <v>2814</v>
      </c>
      <c r="B1271" s="193" t="s">
        <v>2815</v>
      </c>
      <c r="C1271" s="183" t="s">
        <v>2816</v>
      </c>
      <c r="D1271" s="193">
        <v>2018</v>
      </c>
      <c r="E1271" s="4">
        <v>12</v>
      </c>
      <c r="F1271" s="2" t="s">
        <v>32</v>
      </c>
      <c r="G1271" s="6">
        <v>162</v>
      </c>
      <c r="H1271" s="17"/>
      <c r="I1271" s="30"/>
    </row>
    <row r="1272" spans="1:9" ht="13">
      <c r="A1272" s="10" t="s">
        <v>2817</v>
      </c>
      <c r="B1272" s="193" t="s">
        <v>2818</v>
      </c>
      <c r="C1272" s="183" t="s">
        <v>2819</v>
      </c>
      <c r="D1272" s="193">
        <v>2018</v>
      </c>
      <c r="E1272" s="4">
        <v>12</v>
      </c>
      <c r="F1272" s="2" t="s">
        <v>32</v>
      </c>
      <c r="G1272" s="6">
        <v>162</v>
      </c>
      <c r="H1272" s="17"/>
      <c r="I1272" s="30"/>
    </row>
    <row r="1273" spans="1:9" ht="13">
      <c r="A1273" s="14" t="s">
        <v>2820</v>
      </c>
      <c r="B1273" s="193" t="s">
        <v>2821</v>
      </c>
      <c r="C1273" s="183" t="s">
        <v>463</v>
      </c>
      <c r="D1273" s="193">
        <v>2017</v>
      </c>
      <c r="E1273" s="4">
        <v>12</v>
      </c>
      <c r="F1273" s="2" t="s">
        <v>32</v>
      </c>
      <c r="G1273" s="6">
        <v>162</v>
      </c>
      <c r="H1273" s="17"/>
      <c r="I1273" s="30"/>
    </row>
    <row r="1274" spans="1:9" ht="13">
      <c r="A1274" s="14" t="s">
        <v>2822</v>
      </c>
      <c r="B1274" s="193" t="s">
        <v>2823</v>
      </c>
      <c r="C1274" s="183" t="s">
        <v>2824</v>
      </c>
      <c r="D1274" s="193">
        <v>2018</v>
      </c>
      <c r="E1274" s="4">
        <v>12</v>
      </c>
      <c r="F1274" s="2" t="s">
        <v>32</v>
      </c>
      <c r="G1274" s="46">
        <v>120</v>
      </c>
      <c r="H1274" s="168" t="s">
        <v>2345</v>
      </c>
      <c r="I1274" s="30"/>
    </row>
    <row r="1275" spans="1:9" ht="13">
      <c r="A1275" s="14" t="s">
        <v>2825</v>
      </c>
      <c r="B1275" s="193" t="s">
        <v>2826</v>
      </c>
      <c r="C1275" s="183" t="s">
        <v>2827</v>
      </c>
      <c r="D1275" s="193">
        <v>2020</v>
      </c>
      <c r="E1275" s="4">
        <v>12</v>
      </c>
      <c r="F1275" s="2" t="s">
        <v>32</v>
      </c>
      <c r="G1275" s="46">
        <v>120</v>
      </c>
      <c r="H1275" s="168" t="s">
        <v>2790</v>
      </c>
      <c r="I1275" s="19"/>
    </row>
    <row r="1276" spans="1:9" ht="18">
      <c r="A1276" s="696" t="s">
        <v>2828</v>
      </c>
      <c r="B1276" s="689"/>
      <c r="C1276" s="689"/>
      <c r="D1276" s="689"/>
      <c r="E1276" s="689"/>
      <c r="F1276" s="689"/>
      <c r="G1276" s="689"/>
      <c r="H1276" s="689"/>
      <c r="I1276" s="690"/>
    </row>
    <row r="1277" spans="1:9" ht="13">
      <c r="A1277" s="1" t="s">
        <v>2829</v>
      </c>
      <c r="B1277" s="194" t="s">
        <v>2830</v>
      </c>
      <c r="C1277" s="182" t="s">
        <v>4</v>
      </c>
      <c r="D1277" s="5">
        <v>2022</v>
      </c>
      <c r="E1277" s="4">
        <v>12</v>
      </c>
      <c r="F1277" s="2" t="s">
        <v>32</v>
      </c>
      <c r="G1277" s="6">
        <v>210</v>
      </c>
      <c r="H1277" s="52"/>
      <c r="I1277" s="32"/>
    </row>
    <row r="1278" spans="1:9" ht="13">
      <c r="A1278" s="1" t="s">
        <v>2831</v>
      </c>
      <c r="B1278" s="193" t="s">
        <v>2832</v>
      </c>
      <c r="C1278" s="183" t="s">
        <v>2833</v>
      </c>
      <c r="D1278" s="193">
        <v>2022</v>
      </c>
      <c r="E1278" s="4">
        <v>12</v>
      </c>
      <c r="F1278" s="2" t="s">
        <v>32</v>
      </c>
      <c r="G1278" s="6">
        <v>144</v>
      </c>
      <c r="H1278" s="52"/>
      <c r="I1278" s="30"/>
    </row>
    <row r="1279" spans="1:9" ht="13">
      <c r="A1279" s="1" t="s">
        <v>2834</v>
      </c>
      <c r="B1279" s="193" t="s">
        <v>2835</v>
      </c>
      <c r="C1279" s="183" t="s">
        <v>1827</v>
      </c>
      <c r="D1279" s="193">
        <v>2022</v>
      </c>
      <c r="E1279" s="4">
        <v>12</v>
      </c>
      <c r="F1279" s="2" t="s">
        <v>32</v>
      </c>
      <c r="G1279" s="6">
        <v>192</v>
      </c>
      <c r="H1279" s="116"/>
      <c r="I1279" s="18"/>
    </row>
    <row r="1280" spans="1:9" ht="13">
      <c r="A1280" s="1" t="s">
        <v>2836</v>
      </c>
      <c r="B1280" s="193" t="s">
        <v>2837</v>
      </c>
      <c r="C1280" s="183" t="s">
        <v>2838</v>
      </c>
      <c r="D1280" s="193">
        <v>2022</v>
      </c>
      <c r="E1280" s="4">
        <v>12</v>
      </c>
      <c r="F1280" s="2" t="s">
        <v>32</v>
      </c>
      <c r="G1280" s="6">
        <v>192</v>
      </c>
      <c r="H1280" s="52"/>
      <c r="I1280" s="32"/>
    </row>
    <row r="1281" spans="1:9" ht="13">
      <c r="A1281" s="1" t="s">
        <v>2839</v>
      </c>
      <c r="B1281" s="195" t="s">
        <v>2840</v>
      </c>
      <c r="C1281" s="103" t="s">
        <v>2494</v>
      </c>
      <c r="D1281" s="195">
        <v>2019</v>
      </c>
      <c r="E1281" s="196">
        <v>12</v>
      </c>
      <c r="F1281" s="195" t="s">
        <v>32</v>
      </c>
      <c r="G1281" s="48">
        <v>192</v>
      </c>
      <c r="H1281" s="52"/>
      <c r="I1281" s="32"/>
    </row>
    <row r="1282" spans="1:9" ht="13">
      <c r="A1282" s="1" t="s">
        <v>2841</v>
      </c>
      <c r="B1282" s="194" t="s">
        <v>2842</v>
      </c>
      <c r="C1282" s="182" t="s">
        <v>2350</v>
      </c>
      <c r="D1282" s="5">
        <v>2019</v>
      </c>
      <c r="E1282" s="4">
        <v>12</v>
      </c>
      <c r="F1282" s="2" t="s">
        <v>32</v>
      </c>
      <c r="G1282" s="6">
        <v>126</v>
      </c>
      <c r="H1282" s="44"/>
      <c r="I1282" s="30"/>
    </row>
    <row r="1283" spans="1:9" ht="13">
      <c r="A1283" s="1" t="s">
        <v>2843</v>
      </c>
      <c r="B1283" s="193" t="s">
        <v>2844</v>
      </c>
      <c r="C1283" s="183" t="s">
        <v>4</v>
      </c>
      <c r="D1283" s="193">
        <v>2017</v>
      </c>
      <c r="E1283" s="4">
        <v>12</v>
      </c>
      <c r="F1283" s="2" t="s">
        <v>32</v>
      </c>
      <c r="G1283" s="6">
        <v>156</v>
      </c>
      <c r="H1283" s="44"/>
      <c r="I1283" s="30"/>
    </row>
    <row r="1284" spans="1:9" ht="13">
      <c r="A1284" s="1" t="s">
        <v>2845</v>
      </c>
      <c r="B1284" s="193" t="s">
        <v>2846</v>
      </c>
      <c r="C1284" s="183" t="s">
        <v>2833</v>
      </c>
      <c r="D1284" s="193">
        <v>2018</v>
      </c>
      <c r="E1284" s="4">
        <v>12</v>
      </c>
      <c r="F1284" s="2" t="s">
        <v>32</v>
      </c>
      <c r="G1284" s="46">
        <v>168</v>
      </c>
      <c r="H1284" s="168" t="s">
        <v>330</v>
      </c>
      <c r="I1284" s="19"/>
    </row>
    <row r="1285" spans="1:9" ht="13">
      <c r="A1285" s="1" t="s">
        <v>2847</v>
      </c>
      <c r="B1285" s="193" t="s">
        <v>2848</v>
      </c>
      <c r="C1285" s="183" t="s">
        <v>4</v>
      </c>
      <c r="D1285" s="195">
        <v>2018</v>
      </c>
      <c r="E1285" s="4">
        <v>12</v>
      </c>
      <c r="F1285" s="2" t="s">
        <v>32</v>
      </c>
      <c r="G1285" s="46">
        <v>168</v>
      </c>
      <c r="H1285" s="168" t="s">
        <v>330</v>
      </c>
      <c r="I1285" s="19"/>
    </row>
    <row r="1286" spans="1:9" ht="13">
      <c r="A1286" s="1" t="s">
        <v>2849</v>
      </c>
      <c r="B1286" s="193" t="s">
        <v>2850</v>
      </c>
      <c r="C1286" s="183" t="s">
        <v>2851</v>
      </c>
      <c r="D1286" s="193">
        <v>2018</v>
      </c>
      <c r="E1286" s="4">
        <v>12</v>
      </c>
      <c r="F1286" s="2" t="s">
        <v>32</v>
      </c>
      <c r="G1286" s="6">
        <v>198</v>
      </c>
      <c r="H1286" s="44"/>
      <c r="I1286" s="19"/>
    </row>
    <row r="1287" spans="1:9" ht="33">
      <c r="A1287" s="691" t="s">
        <v>2852</v>
      </c>
      <c r="B1287" s="689"/>
      <c r="C1287" s="689"/>
      <c r="D1287" s="689"/>
      <c r="E1287" s="689"/>
      <c r="F1287" s="689"/>
      <c r="G1287" s="689"/>
      <c r="H1287" s="689"/>
      <c r="I1287" s="690"/>
    </row>
    <row r="1288" spans="1:9" ht="23">
      <c r="A1288" s="693" t="s">
        <v>2853</v>
      </c>
      <c r="B1288" s="689"/>
      <c r="C1288" s="689"/>
      <c r="D1288" s="689"/>
      <c r="E1288" s="689"/>
      <c r="F1288" s="689"/>
      <c r="G1288" s="689"/>
      <c r="H1288" s="689"/>
      <c r="I1288" s="690"/>
    </row>
    <row r="1289" spans="1:9" ht="18">
      <c r="A1289" s="696" t="s">
        <v>2854</v>
      </c>
      <c r="B1289" s="689"/>
      <c r="C1289" s="689"/>
      <c r="D1289" s="689"/>
      <c r="E1289" s="689"/>
      <c r="F1289" s="689"/>
      <c r="G1289" s="689"/>
      <c r="H1289" s="689"/>
      <c r="I1289" s="690"/>
    </row>
    <row r="1290" spans="1:9" ht="13">
      <c r="A1290" s="15" t="s">
        <v>2855</v>
      </c>
      <c r="B1290" s="5" t="s">
        <v>2856</v>
      </c>
      <c r="C1290" s="192" t="s">
        <v>2857</v>
      </c>
      <c r="D1290" s="163">
        <v>2023</v>
      </c>
      <c r="E1290" s="4">
        <v>12</v>
      </c>
      <c r="F1290" s="2" t="s">
        <v>32</v>
      </c>
      <c r="G1290" s="29">
        <v>150</v>
      </c>
      <c r="H1290" s="44"/>
      <c r="I1290" s="19"/>
    </row>
    <row r="1291" spans="1:9" ht="13">
      <c r="A1291" s="39" t="s">
        <v>2858</v>
      </c>
      <c r="B1291" s="5" t="s">
        <v>2859</v>
      </c>
      <c r="C1291" s="192" t="s">
        <v>2860</v>
      </c>
      <c r="D1291" s="163">
        <v>2023</v>
      </c>
      <c r="E1291" s="4">
        <v>12</v>
      </c>
      <c r="F1291" s="2" t="s">
        <v>32</v>
      </c>
      <c r="G1291" s="29">
        <v>150</v>
      </c>
      <c r="H1291" s="44"/>
      <c r="I1291" s="19"/>
    </row>
    <row r="1292" spans="1:9" ht="13">
      <c r="A1292" s="15" t="s">
        <v>2861</v>
      </c>
      <c r="B1292" s="5" t="s">
        <v>2862</v>
      </c>
      <c r="C1292" s="192" t="s">
        <v>2474</v>
      </c>
      <c r="D1292" s="163">
        <v>2022</v>
      </c>
      <c r="E1292" s="4">
        <v>12</v>
      </c>
      <c r="F1292" s="2" t="s">
        <v>32</v>
      </c>
      <c r="G1292" s="29">
        <v>216</v>
      </c>
      <c r="H1292" s="23"/>
      <c r="I1292" s="18"/>
    </row>
    <row r="1293" spans="1:9" ht="13">
      <c r="A1293" s="15" t="s">
        <v>2863</v>
      </c>
      <c r="B1293" s="5" t="s">
        <v>2864</v>
      </c>
      <c r="C1293" s="192" t="s">
        <v>1827</v>
      </c>
      <c r="D1293" s="163">
        <v>2022</v>
      </c>
      <c r="E1293" s="4">
        <v>12</v>
      </c>
      <c r="F1293" s="2" t="s">
        <v>32</v>
      </c>
      <c r="G1293" s="29">
        <v>216</v>
      </c>
      <c r="H1293" s="23"/>
      <c r="I1293" s="18"/>
    </row>
    <row r="1294" spans="1:9" ht="13">
      <c r="A1294" s="54" t="s">
        <v>2865</v>
      </c>
      <c r="B1294" s="5" t="s">
        <v>2866</v>
      </c>
      <c r="C1294" s="192" t="s">
        <v>2867</v>
      </c>
      <c r="D1294" s="163">
        <v>2022</v>
      </c>
      <c r="E1294" s="4">
        <v>12</v>
      </c>
      <c r="F1294" s="2" t="s">
        <v>32</v>
      </c>
      <c r="G1294" s="29">
        <v>216</v>
      </c>
      <c r="H1294" s="197"/>
      <c r="I1294" s="138"/>
    </row>
    <row r="1295" spans="1:9" ht="13">
      <c r="A1295" s="54" t="s">
        <v>2868</v>
      </c>
      <c r="B1295" s="5" t="s">
        <v>2869</v>
      </c>
      <c r="C1295" s="192" t="s">
        <v>2474</v>
      </c>
      <c r="D1295" s="163">
        <v>2017</v>
      </c>
      <c r="E1295" s="4">
        <v>12</v>
      </c>
      <c r="F1295" s="2" t="s">
        <v>32</v>
      </c>
      <c r="G1295" s="29">
        <v>258</v>
      </c>
      <c r="H1295" s="44"/>
      <c r="I1295" s="19"/>
    </row>
    <row r="1296" spans="1:9" ht="13">
      <c r="A1296" s="25" t="s">
        <v>2870</v>
      </c>
      <c r="B1296" s="5" t="s">
        <v>2871</v>
      </c>
      <c r="C1296" s="192" t="s">
        <v>2872</v>
      </c>
      <c r="D1296" s="163">
        <v>2024</v>
      </c>
      <c r="E1296" s="4">
        <v>12</v>
      </c>
      <c r="F1296" s="2" t="s">
        <v>32</v>
      </c>
      <c r="G1296" s="29">
        <v>150</v>
      </c>
      <c r="H1296" s="197"/>
      <c r="I1296" s="138"/>
    </row>
    <row r="1297" spans="1:9" ht="13">
      <c r="A1297" s="25" t="s">
        <v>2873</v>
      </c>
      <c r="B1297" s="5" t="s">
        <v>2874</v>
      </c>
      <c r="C1297" s="192" t="s">
        <v>2875</v>
      </c>
      <c r="D1297" s="163">
        <v>2022</v>
      </c>
      <c r="E1297" s="4">
        <v>12</v>
      </c>
      <c r="F1297" s="2" t="s">
        <v>32</v>
      </c>
      <c r="G1297" s="29">
        <v>198</v>
      </c>
      <c r="H1297" s="197"/>
      <c r="I1297" s="138"/>
    </row>
    <row r="1298" spans="1:9" ht="13">
      <c r="A1298" s="25" t="s">
        <v>2876</v>
      </c>
      <c r="B1298" s="5" t="s">
        <v>2877</v>
      </c>
      <c r="C1298" s="192" t="s">
        <v>2566</v>
      </c>
      <c r="D1298" s="163">
        <v>2022</v>
      </c>
      <c r="E1298" s="4">
        <v>12</v>
      </c>
      <c r="F1298" s="2" t="s">
        <v>32</v>
      </c>
      <c r="G1298" s="29">
        <v>216</v>
      </c>
      <c r="H1298" s="197"/>
      <c r="I1298" s="138"/>
    </row>
    <row r="1299" spans="1:9" ht="23">
      <c r="A1299" s="693" t="s">
        <v>2878</v>
      </c>
      <c r="B1299" s="689"/>
      <c r="C1299" s="689"/>
      <c r="D1299" s="689"/>
      <c r="E1299" s="689"/>
      <c r="F1299" s="689"/>
      <c r="G1299" s="689"/>
      <c r="H1299" s="689"/>
      <c r="I1299" s="690"/>
    </row>
    <row r="1300" spans="1:9" ht="18">
      <c r="A1300" s="696" t="s">
        <v>2879</v>
      </c>
      <c r="B1300" s="689"/>
      <c r="C1300" s="689"/>
      <c r="D1300" s="689"/>
      <c r="E1300" s="689"/>
      <c r="F1300" s="689"/>
      <c r="G1300" s="689"/>
      <c r="H1300" s="689"/>
      <c r="I1300" s="690"/>
    </row>
    <row r="1301" spans="1:9" ht="13">
      <c r="A1301" s="1" t="s">
        <v>2880</v>
      </c>
      <c r="B1301" s="5" t="s">
        <v>2881</v>
      </c>
      <c r="C1301" s="192" t="s">
        <v>2882</v>
      </c>
      <c r="D1301" s="163" t="s">
        <v>5</v>
      </c>
      <c r="E1301" s="4">
        <v>12</v>
      </c>
      <c r="F1301" s="2" t="s">
        <v>32</v>
      </c>
      <c r="G1301" s="29">
        <v>132</v>
      </c>
      <c r="H1301" s="44"/>
      <c r="I1301" s="32"/>
    </row>
    <row r="1302" spans="1:9" ht="13">
      <c r="A1302" s="1" t="s">
        <v>2883</v>
      </c>
      <c r="B1302" s="5" t="s">
        <v>2884</v>
      </c>
      <c r="C1302" s="192" t="s">
        <v>133</v>
      </c>
      <c r="D1302" s="163">
        <v>2019</v>
      </c>
      <c r="E1302" s="4">
        <v>12</v>
      </c>
      <c r="F1302" s="2" t="s">
        <v>32</v>
      </c>
      <c r="G1302" s="29">
        <v>126</v>
      </c>
      <c r="H1302" s="44"/>
      <c r="I1302" s="30"/>
    </row>
    <row r="1303" spans="1:9" ht="13">
      <c r="A1303" s="1" t="s">
        <v>2885</v>
      </c>
      <c r="B1303" s="5" t="s">
        <v>2886</v>
      </c>
      <c r="C1303" s="192" t="s">
        <v>2887</v>
      </c>
      <c r="D1303" s="163">
        <v>2015</v>
      </c>
      <c r="E1303" s="4">
        <v>12</v>
      </c>
      <c r="F1303" s="2" t="s">
        <v>32</v>
      </c>
      <c r="G1303" s="29">
        <v>168</v>
      </c>
      <c r="H1303" s="44"/>
      <c r="I1303" s="30"/>
    </row>
    <row r="1304" spans="1:9" ht="13">
      <c r="A1304" s="15" t="s">
        <v>2888</v>
      </c>
      <c r="B1304" s="5" t="s">
        <v>2889</v>
      </c>
      <c r="C1304" s="192" t="s">
        <v>2474</v>
      </c>
      <c r="D1304" s="163">
        <v>2021</v>
      </c>
      <c r="E1304" s="4">
        <v>12</v>
      </c>
      <c r="F1304" s="2" t="s">
        <v>32</v>
      </c>
      <c r="G1304" s="29">
        <v>138</v>
      </c>
      <c r="H1304" s="44"/>
      <c r="I1304" s="19"/>
    </row>
    <row r="1305" spans="1:9" ht="13">
      <c r="A1305" s="15" t="s">
        <v>2890</v>
      </c>
      <c r="B1305" s="5" t="s">
        <v>2891</v>
      </c>
      <c r="C1305" s="192" t="s">
        <v>2892</v>
      </c>
      <c r="D1305" s="163">
        <v>2018</v>
      </c>
      <c r="E1305" s="4">
        <v>12</v>
      </c>
      <c r="F1305" s="2" t="s">
        <v>32</v>
      </c>
      <c r="G1305" s="29">
        <v>180</v>
      </c>
      <c r="H1305" s="44"/>
      <c r="I1305" s="19"/>
    </row>
    <row r="1306" spans="1:9" ht="13">
      <c r="A1306" s="15" t="s">
        <v>2893</v>
      </c>
      <c r="B1306" s="5" t="s">
        <v>2894</v>
      </c>
      <c r="C1306" s="192" t="s">
        <v>133</v>
      </c>
      <c r="D1306" s="163">
        <v>2022</v>
      </c>
      <c r="E1306" s="4">
        <v>12</v>
      </c>
      <c r="F1306" s="2" t="s">
        <v>32</v>
      </c>
      <c r="G1306" s="29">
        <v>156</v>
      </c>
      <c r="H1306" s="44"/>
      <c r="I1306" s="32"/>
    </row>
    <row r="1307" spans="1:9" ht="13">
      <c r="A1307" s="15" t="s">
        <v>2895</v>
      </c>
      <c r="B1307" s="5" t="s">
        <v>2896</v>
      </c>
      <c r="C1307" s="192" t="s">
        <v>2897</v>
      </c>
      <c r="D1307" s="163">
        <v>2018</v>
      </c>
      <c r="E1307" s="4">
        <v>12</v>
      </c>
      <c r="F1307" s="2" t="s">
        <v>32</v>
      </c>
      <c r="G1307" s="29">
        <v>216</v>
      </c>
      <c r="H1307" s="44"/>
      <c r="I1307" s="19"/>
    </row>
    <row r="1308" spans="1:9" ht="13">
      <c r="A1308" s="54" t="s">
        <v>2898</v>
      </c>
      <c r="B1308" s="5" t="s">
        <v>2899</v>
      </c>
      <c r="C1308" s="192" t="s">
        <v>709</v>
      </c>
      <c r="D1308" s="163">
        <v>2018</v>
      </c>
      <c r="E1308" s="4">
        <v>12</v>
      </c>
      <c r="F1308" s="2" t="s">
        <v>32</v>
      </c>
      <c r="G1308" s="29">
        <v>132</v>
      </c>
      <c r="H1308" s="44"/>
      <c r="I1308" s="30"/>
    </row>
    <row r="1309" spans="1:9" ht="13">
      <c r="A1309" s="54" t="s">
        <v>2900</v>
      </c>
      <c r="B1309" s="5" t="s">
        <v>2901</v>
      </c>
      <c r="C1309" s="192" t="s">
        <v>709</v>
      </c>
      <c r="D1309" s="163" t="s">
        <v>5</v>
      </c>
      <c r="E1309" s="4">
        <v>12</v>
      </c>
      <c r="F1309" s="2" t="s">
        <v>32</v>
      </c>
      <c r="G1309" s="29">
        <v>126</v>
      </c>
      <c r="H1309" s="17"/>
      <c r="I1309" s="30"/>
    </row>
    <row r="1310" spans="1:9" ht="13">
      <c r="A1310" s="15" t="s">
        <v>2902</v>
      </c>
      <c r="B1310" s="5" t="s">
        <v>2903</v>
      </c>
      <c r="C1310" s="192" t="s">
        <v>2904</v>
      </c>
      <c r="D1310" s="163">
        <v>2020</v>
      </c>
      <c r="E1310" s="4">
        <v>12</v>
      </c>
      <c r="F1310" s="2" t="s">
        <v>32</v>
      </c>
      <c r="G1310" s="29">
        <v>138</v>
      </c>
      <c r="H1310" s="17"/>
      <c r="I1310" s="30"/>
    </row>
    <row r="1311" spans="1:9" ht="13">
      <c r="A1311" s="54" t="s">
        <v>2905</v>
      </c>
      <c r="B1311" s="5" t="s">
        <v>2906</v>
      </c>
      <c r="C1311" s="192" t="s">
        <v>133</v>
      </c>
      <c r="D1311" s="163">
        <v>2017</v>
      </c>
      <c r="E1311" s="4">
        <v>12</v>
      </c>
      <c r="F1311" s="2" t="s">
        <v>32</v>
      </c>
      <c r="G1311" s="29">
        <v>132</v>
      </c>
      <c r="H1311" s="44"/>
      <c r="I1311" s="30"/>
    </row>
    <row r="1312" spans="1:9" ht="13">
      <c r="A1312" s="54" t="s">
        <v>2907</v>
      </c>
      <c r="B1312" s="5" t="s">
        <v>2908</v>
      </c>
      <c r="C1312" s="192" t="s">
        <v>2909</v>
      </c>
      <c r="D1312" s="163">
        <v>2020</v>
      </c>
      <c r="E1312" s="4">
        <v>12</v>
      </c>
      <c r="F1312" s="2" t="s">
        <v>32</v>
      </c>
      <c r="G1312" s="29">
        <v>168</v>
      </c>
      <c r="H1312" s="44"/>
      <c r="I1312" s="30"/>
    </row>
    <row r="1313" spans="1:9" ht="13">
      <c r="A1313" s="54" t="s">
        <v>2910</v>
      </c>
      <c r="B1313" s="5" t="s">
        <v>2911</v>
      </c>
      <c r="C1313" s="192" t="s">
        <v>2474</v>
      </c>
      <c r="D1313" s="163">
        <v>2020</v>
      </c>
      <c r="E1313" s="4">
        <v>12</v>
      </c>
      <c r="F1313" s="2" t="s">
        <v>32</v>
      </c>
      <c r="G1313" s="29">
        <v>192</v>
      </c>
      <c r="H1313" s="44"/>
      <c r="I1313" s="30"/>
    </row>
    <row r="1314" spans="1:9" ht="13">
      <c r="A1314" s="54" t="s">
        <v>2912</v>
      </c>
      <c r="B1314" s="5" t="s">
        <v>2913</v>
      </c>
      <c r="C1314" s="192" t="s">
        <v>709</v>
      </c>
      <c r="D1314" s="163">
        <v>2020</v>
      </c>
      <c r="E1314" s="4">
        <v>12</v>
      </c>
      <c r="F1314" s="2" t="s">
        <v>32</v>
      </c>
      <c r="G1314" s="29">
        <v>174</v>
      </c>
      <c r="H1314" s="44"/>
      <c r="I1314" s="19"/>
    </row>
    <row r="1315" spans="1:9" ht="13">
      <c r="A1315" s="54" t="s">
        <v>2914</v>
      </c>
      <c r="B1315" s="5" t="s">
        <v>2915</v>
      </c>
      <c r="C1315" s="192" t="s">
        <v>2916</v>
      </c>
      <c r="D1315" s="163">
        <v>2017</v>
      </c>
      <c r="E1315" s="4">
        <v>12</v>
      </c>
      <c r="F1315" s="2" t="s">
        <v>32</v>
      </c>
      <c r="G1315" s="29">
        <v>186</v>
      </c>
      <c r="H1315" s="44"/>
      <c r="I1315" s="30"/>
    </row>
    <row r="1316" spans="1:9" ht="13">
      <c r="A1316" s="54" t="s">
        <v>2917</v>
      </c>
      <c r="B1316" s="5" t="s">
        <v>2918</v>
      </c>
      <c r="C1316" s="192" t="s">
        <v>2919</v>
      </c>
      <c r="D1316" s="163">
        <v>2019</v>
      </c>
      <c r="E1316" s="4">
        <v>12</v>
      </c>
      <c r="F1316" s="2" t="s">
        <v>32</v>
      </c>
      <c r="G1316" s="29">
        <v>234</v>
      </c>
      <c r="H1316" s="44"/>
      <c r="I1316" s="19"/>
    </row>
    <row r="1317" spans="1:9" ht="13">
      <c r="A1317" s="54" t="s">
        <v>2920</v>
      </c>
      <c r="B1317" s="5" t="s">
        <v>2921</v>
      </c>
      <c r="C1317" s="192" t="s">
        <v>1827</v>
      </c>
      <c r="D1317" s="163">
        <v>2019</v>
      </c>
      <c r="E1317" s="4">
        <v>12</v>
      </c>
      <c r="F1317" s="2" t="s">
        <v>32</v>
      </c>
      <c r="G1317" s="29">
        <v>192</v>
      </c>
      <c r="H1317" s="44"/>
      <c r="I1317" s="32"/>
    </row>
    <row r="1318" spans="1:9" ht="13">
      <c r="A1318" s="54" t="s">
        <v>2922</v>
      </c>
      <c r="B1318" s="5" t="s">
        <v>2923</v>
      </c>
      <c r="C1318" s="192" t="s">
        <v>2474</v>
      </c>
      <c r="D1318" s="163">
        <v>2021</v>
      </c>
      <c r="E1318" s="4">
        <v>12</v>
      </c>
      <c r="F1318" s="2" t="s">
        <v>32</v>
      </c>
      <c r="G1318" s="29">
        <v>156</v>
      </c>
      <c r="H1318" s="44"/>
      <c r="I1318" s="30"/>
    </row>
    <row r="1319" spans="1:9" ht="13">
      <c r="A1319" s="54" t="s">
        <v>2924</v>
      </c>
      <c r="B1319" s="5" t="s">
        <v>2925</v>
      </c>
      <c r="C1319" s="192" t="s">
        <v>2909</v>
      </c>
      <c r="D1319" s="163">
        <v>2017</v>
      </c>
      <c r="E1319" s="4">
        <v>12</v>
      </c>
      <c r="F1319" s="2" t="s">
        <v>32</v>
      </c>
      <c r="G1319" s="29">
        <v>162</v>
      </c>
      <c r="H1319" s="44"/>
      <c r="I1319" s="30"/>
    </row>
    <row r="1320" spans="1:9" ht="13">
      <c r="A1320" s="54" t="s">
        <v>2926</v>
      </c>
      <c r="B1320" s="5" t="s">
        <v>2927</v>
      </c>
      <c r="C1320" s="192" t="s">
        <v>2548</v>
      </c>
      <c r="D1320" s="163">
        <v>2015</v>
      </c>
      <c r="E1320" s="4">
        <v>12</v>
      </c>
      <c r="F1320" s="2" t="s">
        <v>32</v>
      </c>
      <c r="G1320" s="29">
        <v>282</v>
      </c>
      <c r="H1320" s="44"/>
      <c r="I1320" s="30"/>
    </row>
    <row r="1321" spans="1:9" ht="13">
      <c r="A1321" s="39" t="s">
        <v>2928</v>
      </c>
      <c r="B1321" s="5" t="s">
        <v>2929</v>
      </c>
      <c r="C1321" s="192" t="s">
        <v>2930</v>
      </c>
      <c r="D1321" s="163">
        <v>2020</v>
      </c>
      <c r="E1321" s="4">
        <v>12</v>
      </c>
      <c r="F1321" s="2" t="s">
        <v>32</v>
      </c>
      <c r="G1321" s="29">
        <v>138</v>
      </c>
      <c r="H1321" s="44"/>
      <c r="I1321" s="30"/>
    </row>
    <row r="1322" spans="1:9" ht="13">
      <c r="A1322" s="39" t="s">
        <v>2931</v>
      </c>
      <c r="B1322" s="5" t="s">
        <v>2932</v>
      </c>
      <c r="C1322" s="192" t="s">
        <v>2933</v>
      </c>
      <c r="D1322" s="163">
        <v>2020</v>
      </c>
      <c r="E1322" s="4">
        <v>12</v>
      </c>
      <c r="F1322" s="2" t="s">
        <v>32</v>
      </c>
      <c r="G1322" s="29">
        <v>174</v>
      </c>
      <c r="H1322" s="44"/>
      <c r="I1322" s="18">
        <v>1</v>
      </c>
    </row>
    <row r="1323" spans="1:9" ht="13">
      <c r="A1323" s="14" t="s">
        <v>2934</v>
      </c>
      <c r="B1323" s="5" t="s">
        <v>2935</v>
      </c>
      <c r="C1323" s="192" t="s">
        <v>2936</v>
      </c>
      <c r="D1323" s="163" t="s">
        <v>5</v>
      </c>
      <c r="E1323" s="4">
        <v>12</v>
      </c>
      <c r="F1323" s="2" t="s">
        <v>32</v>
      </c>
      <c r="G1323" s="29">
        <v>126</v>
      </c>
      <c r="H1323" s="44"/>
      <c r="I1323" s="18"/>
    </row>
    <row r="1324" spans="1:9" ht="13">
      <c r="A1324" s="25" t="s">
        <v>2937</v>
      </c>
      <c r="B1324" s="5" t="s">
        <v>2938</v>
      </c>
      <c r="C1324" s="192" t="s">
        <v>2939</v>
      </c>
      <c r="D1324" s="163">
        <v>2017</v>
      </c>
      <c r="E1324" s="4">
        <v>12</v>
      </c>
      <c r="F1324" s="2" t="s">
        <v>32</v>
      </c>
      <c r="G1324" s="29">
        <v>168</v>
      </c>
      <c r="H1324" s="44"/>
      <c r="I1324" s="30"/>
    </row>
    <row r="1325" spans="1:9" ht="13">
      <c r="A1325" s="14" t="s">
        <v>2940</v>
      </c>
      <c r="B1325" s="5" t="s">
        <v>2941</v>
      </c>
      <c r="C1325" s="192" t="s">
        <v>2566</v>
      </c>
      <c r="D1325" s="163">
        <v>2018</v>
      </c>
      <c r="E1325" s="4">
        <v>12</v>
      </c>
      <c r="F1325" s="2" t="s">
        <v>32</v>
      </c>
      <c r="G1325" s="29">
        <v>234</v>
      </c>
      <c r="H1325" s="17"/>
      <c r="I1325" s="19"/>
    </row>
    <row r="1326" spans="1:9" ht="23">
      <c r="A1326" s="693" t="s">
        <v>2942</v>
      </c>
      <c r="B1326" s="689"/>
      <c r="C1326" s="689"/>
      <c r="D1326" s="689"/>
      <c r="E1326" s="689"/>
      <c r="F1326" s="689"/>
      <c r="G1326" s="689"/>
      <c r="H1326" s="689"/>
      <c r="I1326" s="690"/>
    </row>
    <row r="1327" spans="1:9" ht="18">
      <c r="A1327" s="696" t="s">
        <v>2943</v>
      </c>
      <c r="B1327" s="689"/>
      <c r="C1327" s="689"/>
      <c r="D1327" s="689"/>
      <c r="E1327" s="689"/>
      <c r="F1327" s="689"/>
      <c r="G1327" s="689"/>
      <c r="H1327" s="689"/>
      <c r="I1327" s="690"/>
    </row>
    <row r="1328" spans="1:9" ht="13">
      <c r="A1328" s="40" t="s">
        <v>2944</v>
      </c>
      <c r="B1328" s="5" t="s">
        <v>2945</v>
      </c>
      <c r="C1328" s="28" t="s">
        <v>2946</v>
      </c>
      <c r="D1328" s="5">
        <v>2022</v>
      </c>
      <c r="E1328" s="4">
        <v>12</v>
      </c>
      <c r="F1328" s="5" t="s">
        <v>32</v>
      </c>
      <c r="G1328" s="29">
        <v>150</v>
      </c>
      <c r="H1328" s="44"/>
      <c r="I1328" s="18">
        <v>1</v>
      </c>
    </row>
    <row r="1329" spans="1:9" ht="13">
      <c r="A1329" s="39" t="s">
        <v>2947</v>
      </c>
      <c r="B1329" s="5" t="s">
        <v>2948</v>
      </c>
      <c r="C1329" s="28" t="s">
        <v>2949</v>
      </c>
      <c r="D1329" s="5" t="s">
        <v>5</v>
      </c>
      <c r="E1329" s="4">
        <v>12</v>
      </c>
      <c r="F1329" s="5" t="s">
        <v>32</v>
      </c>
      <c r="G1329" s="29">
        <v>204</v>
      </c>
      <c r="H1329" s="44"/>
      <c r="I1329" s="18">
        <v>1</v>
      </c>
    </row>
    <row r="1330" spans="1:9" ht="13">
      <c r="A1330" s="15" t="s">
        <v>2950</v>
      </c>
      <c r="B1330" s="5" t="s">
        <v>2951</v>
      </c>
      <c r="C1330" s="28" t="s">
        <v>2494</v>
      </c>
      <c r="D1330" s="5">
        <v>2021</v>
      </c>
      <c r="E1330" s="4">
        <v>12</v>
      </c>
      <c r="F1330" s="2" t="s">
        <v>32</v>
      </c>
      <c r="G1330" s="29">
        <v>174</v>
      </c>
      <c r="H1330" s="44"/>
      <c r="I1330" s="19"/>
    </row>
    <row r="1331" spans="1:9" ht="13">
      <c r="A1331" s="1" t="s">
        <v>2952</v>
      </c>
      <c r="B1331" s="5" t="s">
        <v>2953</v>
      </c>
      <c r="C1331" s="28" t="s">
        <v>2474</v>
      </c>
      <c r="D1331" s="5">
        <v>2019</v>
      </c>
      <c r="E1331" s="4">
        <v>12</v>
      </c>
      <c r="F1331" s="2" t="s">
        <v>32</v>
      </c>
      <c r="G1331" s="29">
        <v>168</v>
      </c>
      <c r="H1331" s="44"/>
      <c r="I1331" s="19"/>
    </row>
    <row r="1332" spans="1:9" ht="13">
      <c r="A1332" s="54" t="s">
        <v>2954</v>
      </c>
      <c r="B1332" s="5" t="s">
        <v>2955</v>
      </c>
      <c r="C1332" s="28" t="s">
        <v>2956</v>
      </c>
      <c r="D1332" s="5">
        <v>2022</v>
      </c>
      <c r="E1332" s="4">
        <v>12</v>
      </c>
      <c r="F1332" s="2" t="s">
        <v>32</v>
      </c>
      <c r="G1332" s="29">
        <v>156</v>
      </c>
      <c r="H1332" s="44"/>
      <c r="I1332" s="19"/>
    </row>
    <row r="1333" spans="1:9" ht="13">
      <c r="A1333" s="37" t="s">
        <v>2957</v>
      </c>
      <c r="B1333" s="5" t="s">
        <v>2958</v>
      </c>
      <c r="C1333" s="122" t="s">
        <v>2959</v>
      </c>
      <c r="D1333" s="5">
        <v>2020</v>
      </c>
      <c r="E1333" s="4">
        <v>12</v>
      </c>
      <c r="F1333" s="2" t="s">
        <v>32</v>
      </c>
      <c r="G1333" s="29">
        <v>156</v>
      </c>
      <c r="H1333" s="44"/>
      <c r="I1333" s="18">
        <v>1</v>
      </c>
    </row>
    <row r="1334" spans="1:9" ht="13">
      <c r="A1334" s="14" t="s">
        <v>2960</v>
      </c>
      <c r="B1334" s="5" t="s">
        <v>2961</v>
      </c>
      <c r="C1334" s="122" t="s">
        <v>463</v>
      </c>
      <c r="D1334" s="5">
        <v>2019</v>
      </c>
      <c r="E1334" s="4">
        <v>12</v>
      </c>
      <c r="F1334" s="2" t="s">
        <v>32</v>
      </c>
      <c r="G1334" s="29">
        <v>204</v>
      </c>
      <c r="H1334" s="44"/>
      <c r="I1334" s="18">
        <v>1</v>
      </c>
    </row>
    <row r="1335" spans="1:9" ht="13">
      <c r="A1335" s="14" t="s">
        <v>2962</v>
      </c>
      <c r="B1335" s="5" t="s">
        <v>2963</v>
      </c>
      <c r="C1335" s="28" t="s">
        <v>2964</v>
      </c>
      <c r="D1335" s="5">
        <v>2017</v>
      </c>
      <c r="E1335" s="4">
        <v>12</v>
      </c>
      <c r="F1335" s="2" t="s">
        <v>32</v>
      </c>
      <c r="G1335" s="60">
        <v>156</v>
      </c>
      <c r="H1335" s="168" t="s">
        <v>2965</v>
      </c>
      <c r="I1335" s="30"/>
    </row>
    <row r="1336" spans="1:9" ht="13">
      <c r="A1336" s="14" t="s">
        <v>2966</v>
      </c>
      <c r="B1336" s="5" t="s">
        <v>2967</v>
      </c>
      <c r="C1336" s="28" t="s">
        <v>2566</v>
      </c>
      <c r="D1336" s="5">
        <v>2018</v>
      </c>
      <c r="E1336" s="4">
        <v>12</v>
      </c>
      <c r="F1336" s="2" t="s">
        <v>32</v>
      </c>
      <c r="G1336" s="29">
        <v>204</v>
      </c>
      <c r="H1336" s="44"/>
      <c r="I1336" s="18">
        <v>1</v>
      </c>
    </row>
    <row r="1337" spans="1:9" ht="33">
      <c r="A1337" s="709" t="s">
        <v>2968</v>
      </c>
      <c r="B1337" s="689"/>
      <c r="C1337" s="689"/>
      <c r="D1337" s="689"/>
      <c r="E1337" s="689"/>
      <c r="F1337" s="689"/>
      <c r="G1337" s="689"/>
      <c r="H1337" s="689"/>
      <c r="I1337" s="690"/>
    </row>
    <row r="1338" spans="1:9" ht="23">
      <c r="A1338" s="710" t="s">
        <v>2969</v>
      </c>
      <c r="B1338" s="689"/>
      <c r="C1338" s="689"/>
      <c r="D1338" s="689"/>
      <c r="E1338" s="689"/>
      <c r="F1338" s="689"/>
      <c r="G1338" s="689"/>
      <c r="H1338" s="689"/>
      <c r="I1338" s="690"/>
    </row>
    <row r="1339" spans="1:9" ht="18">
      <c r="A1339" s="696" t="s">
        <v>2970</v>
      </c>
      <c r="B1339" s="689"/>
      <c r="C1339" s="689"/>
      <c r="D1339" s="689"/>
      <c r="E1339" s="689"/>
      <c r="F1339" s="689"/>
      <c r="G1339" s="689"/>
      <c r="H1339" s="689"/>
      <c r="I1339" s="690"/>
    </row>
    <row r="1340" spans="1:9" ht="13">
      <c r="A1340" s="15" t="s">
        <v>2971</v>
      </c>
      <c r="B1340" s="43" t="s">
        <v>2972</v>
      </c>
      <c r="C1340" s="122" t="s">
        <v>2435</v>
      </c>
      <c r="D1340" s="43">
        <v>2019</v>
      </c>
      <c r="E1340" s="4">
        <v>12</v>
      </c>
      <c r="F1340" s="5" t="s">
        <v>32</v>
      </c>
      <c r="G1340" s="41">
        <v>156</v>
      </c>
      <c r="H1340" s="44"/>
      <c r="I1340" s="18">
        <v>1</v>
      </c>
    </row>
    <row r="1341" spans="1:9" ht="13">
      <c r="A1341" s="54" t="s">
        <v>2973</v>
      </c>
      <c r="B1341" s="43" t="s">
        <v>2974</v>
      </c>
      <c r="C1341" s="122" t="s">
        <v>2975</v>
      </c>
      <c r="D1341" s="43">
        <v>2022</v>
      </c>
      <c r="E1341" s="4">
        <v>12</v>
      </c>
      <c r="F1341" s="5" t="s">
        <v>32</v>
      </c>
      <c r="G1341" s="41">
        <v>156</v>
      </c>
      <c r="H1341" s="44"/>
      <c r="I1341" s="18">
        <v>1</v>
      </c>
    </row>
    <row r="1342" spans="1:9" ht="13">
      <c r="A1342" s="54" t="s">
        <v>2976</v>
      </c>
      <c r="B1342" s="43" t="s">
        <v>2977</v>
      </c>
      <c r="C1342" s="122" t="s">
        <v>1827</v>
      </c>
      <c r="D1342" s="43">
        <v>2020</v>
      </c>
      <c r="E1342" s="4">
        <v>12</v>
      </c>
      <c r="F1342" s="5" t="s">
        <v>32</v>
      </c>
      <c r="G1342" s="41">
        <v>204</v>
      </c>
      <c r="H1342" s="44"/>
      <c r="I1342" s="18">
        <v>1</v>
      </c>
    </row>
    <row r="1343" spans="1:9" ht="13">
      <c r="A1343" s="54" t="s">
        <v>2978</v>
      </c>
      <c r="B1343" s="43" t="s">
        <v>2979</v>
      </c>
      <c r="C1343" s="122" t="s">
        <v>133</v>
      </c>
      <c r="D1343" s="43">
        <v>2021</v>
      </c>
      <c r="E1343" s="4">
        <v>12</v>
      </c>
      <c r="F1343" s="5" t="s">
        <v>32</v>
      </c>
      <c r="G1343" s="41">
        <v>156</v>
      </c>
      <c r="H1343" s="44"/>
      <c r="I1343" s="13"/>
    </row>
    <row r="1344" spans="1:9" ht="13">
      <c r="A1344" s="198" t="s">
        <v>2980</v>
      </c>
      <c r="B1344" s="199" t="s">
        <v>2981</v>
      </c>
      <c r="C1344" s="200" t="s">
        <v>2982</v>
      </c>
      <c r="D1344" s="199">
        <v>2021</v>
      </c>
      <c r="E1344" s="108">
        <v>12</v>
      </c>
      <c r="F1344" s="106" t="s">
        <v>32</v>
      </c>
      <c r="G1344" s="201">
        <v>156</v>
      </c>
      <c r="H1344" s="44"/>
      <c r="I1344" s="18">
        <v>1</v>
      </c>
    </row>
    <row r="1345" spans="1:9" ht="13">
      <c r="A1345" s="25" t="s">
        <v>2983</v>
      </c>
      <c r="B1345" s="43" t="s">
        <v>2984</v>
      </c>
      <c r="C1345" s="122" t="s">
        <v>2985</v>
      </c>
      <c r="D1345" s="43">
        <v>2020</v>
      </c>
      <c r="E1345" s="4">
        <v>12</v>
      </c>
      <c r="F1345" s="5" t="s">
        <v>32</v>
      </c>
      <c r="G1345" s="41">
        <v>192</v>
      </c>
      <c r="H1345" s="44"/>
      <c r="I1345" s="18"/>
    </row>
    <row r="1346" spans="1:9" ht="18">
      <c r="A1346" s="696" t="s">
        <v>2986</v>
      </c>
      <c r="B1346" s="689"/>
      <c r="C1346" s="689"/>
      <c r="D1346" s="689"/>
      <c r="E1346" s="689"/>
      <c r="F1346" s="689"/>
      <c r="G1346" s="689"/>
      <c r="H1346" s="689"/>
      <c r="I1346" s="690"/>
    </row>
    <row r="1347" spans="1:9" ht="13">
      <c r="A1347" s="54" t="s">
        <v>2987</v>
      </c>
      <c r="B1347" s="43" t="s">
        <v>2988</v>
      </c>
      <c r="C1347" s="122" t="s">
        <v>2989</v>
      </c>
      <c r="D1347" s="43">
        <v>2018</v>
      </c>
      <c r="E1347" s="4">
        <v>12</v>
      </c>
      <c r="F1347" s="5" t="s">
        <v>32</v>
      </c>
      <c r="G1347" s="29">
        <v>252</v>
      </c>
      <c r="H1347" s="17"/>
      <c r="I1347" s="13"/>
    </row>
    <row r="1348" spans="1:9" ht="13">
      <c r="A1348" s="25" t="s">
        <v>2990</v>
      </c>
      <c r="B1348" s="43" t="s">
        <v>2991</v>
      </c>
      <c r="C1348" s="122" t="s">
        <v>2992</v>
      </c>
      <c r="D1348" s="43">
        <v>2019</v>
      </c>
      <c r="E1348" s="4">
        <v>12</v>
      </c>
      <c r="F1348" s="5" t="s">
        <v>32</v>
      </c>
      <c r="G1348" s="60">
        <v>120</v>
      </c>
      <c r="H1348" s="168" t="s">
        <v>1727</v>
      </c>
      <c r="I1348" s="13"/>
    </row>
    <row r="1349" spans="1:9" ht="13">
      <c r="A1349" s="25" t="s">
        <v>2993</v>
      </c>
      <c r="B1349" s="43" t="s">
        <v>2994</v>
      </c>
      <c r="C1349" s="122" t="s">
        <v>2523</v>
      </c>
      <c r="D1349" s="43">
        <v>2018</v>
      </c>
      <c r="E1349" s="4">
        <v>12</v>
      </c>
      <c r="F1349" s="5" t="s">
        <v>32</v>
      </c>
      <c r="G1349" s="60">
        <v>120</v>
      </c>
      <c r="H1349" s="168" t="s">
        <v>1727</v>
      </c>
      <c r="I1349" s="19"/>
    </row>
    <row r="1350" spans="1:9" ht="23">
      <c r="A1350" s="710" t="s">
        <v>2995</v>
      </c>
      <c r="B1350" s="689"/>
      <c r="C1350" s="689"/>
      <c r="D1350" s="689"/>
      <c r="E1350" s="689"/>
      <c r="F1350" s="689"/>
      <c r="G1350" s="689"/>
      <c r="H1350" s="689"/>
      <c r="I1350" s="690"/>
    </row>
    <row r="1351" spans="1:9" ht="18">
      <c r="A1351" s="696" t="s">
        <v>2996</v>
      </c>
      <c r="B1351" s="689"/>
      <c r="C1351" s="689"/>
      <c r="D1351" s="689"/>
      <c r="E1351" s="689"/>
      <c r="F1351" s="689"/>
      <c r="G1351" s="689"/>
      <c r="H1351" s="689"/>
      <c r="I1351" s="690"/>
    </row>
    <row r="1352" spans="1:9" ht="13">
      <c r="A1352" s="54" t="s">
        <v>2997</v>
      </c>
      <c r="B1352" s="5" t="s">
        <v>2998</v>
      </c>
      <c r="C1352" s="28" t="s">
        <v>2999</v>
      </c>
      <c r="D1352" s="5">
        <v>2022</v>
      </c>
      <c r="E1352" s="4">
        <v>12</v>
      </c>
      <c r="F1352" s="2" t="s">
        <v>32</v>
      </c>
      <c r="G1352" s="29">
        <v>168</v>
      </c>
      <c r="H1352" s="23"/>
      <c r="I1352" s="18"/>
    </row>
    <row r="1353" spans="1:9" ht="13">
      <c r="A1353" s="25" t="s">
        <v>3000</v>
      </c>
      <c r="B1353" s="5" t="s">
        <v>3001</v>
      </c>
      <c r="C1353" s="28" t="s">
        <v>3002</v>
      </c>
      <c r="D1353" s="5">
        <v>2022</v>
      </c>
      <c r="E1353" s="4">
        <v>12</v>
      </c>
      <c r="F1353" s="2" t="s">
        <v>32</v>
      </c>
      <c r="G1353" s="29">
        <v>168</v>
      </c>
      <c r="H1353" s="44"/>
      <c r="I1353" s="19"/>
    </row>
    <row r="1354" spans="1:9" ht="13">
      <c r="A1354" s="15" t="s">
        <v>3003</v>
      </c>
      <c r="B1354" s="5" t="s">
        <v>3004</v>
      </c>
      <c r="C1354" s="28" t="s">
        <v>3005</v>
      </c>
      <c r="D1354" s="5">
        <v>2019</v>
      </c>
      <c r="E1354" s="4">
        <v>12</v>
      </c>
      <c r="F1354" s="2" t="s">
        <v>32</v>
      </c>
      <c r="G1354" s="29">
        <v>252</v>
      </c>
      <c r="H1354" s="23"/>
      <c r="I1354" s="18"/>
    </row>
    <row r="1355" spans="1:9" ht="13">
      <c r="A1355" s="54" t="s">
        <v>3006</v>
      </c>
      <c r="B1355" s="202" t="s">
        <v>3007</v>
      </c>
      <c r="C1355" s="203" t="s">
        <v>3008</v>
      </c>
      <c r="D1355" s="204">
        <v>2020</v>
      </c>
      <c r="E1355" s="4">
        <v>12</v>
      </c>
      <c r="F1355" s="2" t="s">
        <v>32</v>
      </c>
      <c r="G1355" s="29">
        <v>252</v>
      </c>
      <c r="H1355" s="23"/>
      <c r="I1355" s="18"/>
    </row>
    <row r="1356" spans="1:9" ht="13">
      <c r="A1356" s="54" t="s">
        <v>3009</v>
      </c>
      <c r="B1356" s="5" t="s">
        <v>3007</v>
      </c>
      <c r="C1356" s="28" t="s">
        <v>3008</v>
      </c>
      <c r="D1356" s="5">
        <v>2017</v>
      </c>
      <c r="E1356" s="4">
        <v>12</v>
      </c>
      <c r="F1356" s="2" t="s">
        <v>32</v>
      </c>
      <c r="G1356" s="29">
        <v>252</v>
      </c>
      <c r="H1356" s="17"/>
      <c r="I1356" s="18"/>
    </row>
    <row r="1357" spans="1:9" ht="13">
      <c r="A1357" s="25" t="s">
        <v>3010</v>
      </c>
      <c r="B1357" s="5" t="s">
        <v>3011</v>
      </c>
      <c r="C1357" s="28" t="s">
        <v>3012</v>
      </c>
      <c r="D1357" s="5">
        <v>2020</v>
      </c>
      <c r="E1357" s="4">
        <v>12</v>
      </c>
      <c r="F1357" s="2" t="s">
        <v>32</v>
      </c>
      <c r="G1357" s="29">
        <v>252</v>
      </c>
      <c r="H1357" s="23"/>
      <c r="I1357" s="18"/>
    </row>
    <row r="1358" spans="1:9" ht="13">
      <c r="A1358" s="54" t="s">
        <v>3013</v>
      </c>
      <c r="B1358" s="5" t="s">
        <v>3014</v>
      </c>
      <c r="C1358" s="28" t="s">
        <v>2999</v>
      </c>
      <c r="D1358" s="5">
        <v>2020</v>
      </c>
      <c r="E1358" s="4">
        <v>12</v>
      </c>
      <c r="F1358" s="2" t="s">
        <v>32</v>
      </c>
      <c r="G1358" s="29">
        <v>312</v>
      </c>
      <c r="H1358" s="23"/>
      <c r="I1358" s="18"/>
    </row>
    <row r="1359" spans="1:9" ht="23">
      <c r="A1359" s="710" t="s">
        <v>3015</v>
      </c>
      <c r="B1359" s="689"/>
      <c r="C1359" s="689"/>
      <c r="D1359" s="689"/>
      <c r="E1359" s="689"/>
      <c r="F1359" s="689"/>
      <c r="G1359" s="689"/>
      <c r="H1359" s="689"/>
      <c r="I1359" s="690"/>
    </row>
    <row r="1360" spans="1:9" ht="18">
      <c r="A1360" s="696" t="s">
        <v>3016</v>
      </c>
      <c r="B1360" s="689"/>
      <c r="C1360" s="689"/>
      <c r="D1360" s="689"/>
      <c r="E1360" s="689"/>
      <c r="F1360" s="689"/>
      <c r="G1360" s="689"/>
      <c r="H1360" s="689"/>
      <c r="I1360" s="690"/>
    </row>
    <row r="1361" spans="1:9" ht="13">
      <c r="A1361" s="15" t="s">
        <v>3017</v>
      </c>
      <c r="B1361" s="43" t="s">
        <v>3018</v>
      </c>
      <c r="C1361" s="122" t="s">
        <v>3019</v>
      </c>
      <c r="D1361" s="43">
        <v>2024</v>
      </c>
      <c r="E1361" s="4">
        <v>12</v>
      </c>
      <c r="F1361" s="2" t="s">
        <v>32</v>
      </c>
      <c r="G1361" s="41">
        <v>156</v>
      </c>
      <c r="H1361" s="116"/>
      <c r="I1361" s="18"/>
    </row>
    <row r="1362" spans="1:9" ht="13">
      <c r="A1362" s="54" t="s">
        <v>3020</v>
      </c>
      <c r="B1362" s="43" t="s">
        <v>3021</v>
      </c>
      <c r="C1362" s="122" t="s">
        <v>3022</v>
      </c>
      <c r="D1362" s="43" t="s">
        <v>5</v>
      </c>
      <c r="E1362" s="4">
        <v>12</v>
      </c>
      <c r="F1362" s="2" t="s">
        <v>32</v>
      </c>
      <c r="G1362" s="41">
        <v>126</v>
      </c>
      <c r="H1362" s="116"/>
      <c r="I1362" s="18"/>
    </row>
    <row r="1363" spans="1:9" ht="13">
      <c r="A1363" s="54" t="s">
        <v>3023</v>
      </c>
      <c r="B1363" s="43" t="s">
        <v>3024</v>
      </c>
      <c r="C1363" s="122" t="s">
        <v>3025</v>
      </c>
      <c r="D1363" s="43">
        <v>2024</v>
      </c>
      <c r="E1363" s="4">
        <v>12</v>
      </c>
      <c r="F1363" s="2" t="s">
        <v>32</v>
      </c>
      <c r="G1363" s="41">
        <v>156</v>
      </c>
      <c r="H1363" s="116"/>
      <c r="I1363" s="18"/>
    </row>
    <row r="1364" spans="1:9" ht="13">
      <c r="A1364" s="39" t="s">
        <v>3026</v>
      </c>
      <c r="B1364" s="43" t="s">
        <v>3027</v>
      </c>
      <c r="C1364" s="122" t="s">
        <v>52</v>
      </c>
      <c r="D1364" s="43">
        <v>2022</v>
      </c>
      <c r="E1364" s="4">
        <v>12</v>
      </c>
      <c r="F1364" s="2" t="s">
        <v>32</v>
      </c>
      <c r="G1364" s="41">
        <v>120</v>
      </c>
      <c r="H1364" s="61"/>
      <c r="I1364" s="18"/>
    </row>
    <row r="1365" spans="1:9" ht="13">
      <c r="A1365" s="40" t="s">
        <v>3028</v>
      </c>
      <c r="B1365" s="43" t="s">
        <v>3029</v>
      </c>
      <c r="C1365" s="122" t="s">
        <v>3030</v>
      </c>
      <c r="D1365" s="43">
        <v>2019</v>
      </c>
      <c r="E1365" s="4">
        <v>12</v>
      </c>
      <c r="F1365" s="2" t="s">
        <v>32</v>
      </c>
      <c r="G1365" s="41">
        <v>120</v>
      </c>
      <c r="H1365" s="117"/>
      <c r="I1365" s="19"/>
    </row>
    <row r="1366" spans="1:9" ht="13">
      <c r="A1366" s="25" t="s">
        <v>3031</v>
      </c>
      <c r="B1366" s="43" t="s">
        <v>3032</v>
      </c>
      <c r="C1366" s="122" t="s">
        <v>3033</v>
      </c>
      <c r="D1366" s="43">
        <v>2022</v>
      </c>
      <c r="E1366" s="4">
        <v>12</v>
      </c>
      <c r="F1366" s="2" t="s">
        <v>32</v>
      </c>
      <c r="G1366" s="41">
        <v>120</v>
      </c>
      <c r="H1366" s="117"/>
      <c r="I1366" s="19"/>
    </row>
    <row r="1367" spans="1:9" ht="13">
      <c r="A1367" s="25" t="s">
        <v>3034</v>
      </c>
      <c r="B1367" s="43" t="s">
        <v>3035</v>
      </c>
      <c r="C1367" s="122" t="s">
        <v>52</v>
      </c>
      <c r="D1367" s="43">
        <v>2022</v>
      </c>
      <c r="E1367" s="4">
        <v>12</v>
      </c>
      <c r="F1367" s="2" t="s">
        <v>32</v>
      </c>
      <c r="G1367" s="41">
        <v>108</v>
      </c>
      <c r="H1367" s="52"/>
      <c r="I1367" s="18"/>
    </row>
    <row r="1368" spans="1:9" ht="13">
      <c r="A1368" s="25" t="s">
        <v>3036</v>
      </c>
      <c r="B1368" s="43" t="s">
        <v>3037</v>
      </c>
      <c r="C1368" s="122" t="s">
        <v>3038</v>
      </c>
      <c r="D1368" s="43">
        <v>2019</v>
      </c>
      <c r="E1368" s="4">
        <v>12</v>
      </c>
      <c r="F1368" s="2" t="s">
        <v>32</v>
      </c>
      <c r="G1368" s="41">
        <v>138</v>
      </c>
      <c r="H1368" s="61"/>
      <c r="I1368" s="18"/>
    </row>
    <row r="1369" spans="1:9" ht="18">
      <c r="A1369" s="696" t="s">
        <v>3039</v>
      </c>
      <c r="B1369" s="689"/>
      <c r="C1369" s="689"/>
      <c r="D1369" s="689"/>
      <c r="E1369" s="689"/>
      <c r="F1369" s="689"/>
      <c r="G1369" s="689"/>
      <c r="H1369" s="689"/>
      <c r="I1369" s="690"/>
    </row>
    <row r="1370" spans="1:9" ht="13">
      <c r="A1370" s="54" t="s">
        <v>3040</v>
      </c>
      <c r="B1370" s="43" t="s">
        <v>3041</v>
      </c>
      <c r="C1370" s="122" t="s">
        <v>3042</v>
      </c>
      <c r="D1370" s="43">
        <v>2021</v>
      </c>
      <c r="E1370" s="4">
        <v>12</v>
      </c>
      <c r="F1370" s="5" t="s">
        <v>32</v>
      </c>
      <c r="G1370" s="41">
        <v>156</v>
      </c>
      <c r="H1370" s="31"/>
      <c r="I1370" s="13"/>
    </row>
    <row r="1371" spans="1:9" ht="13">
      <c r="A1371" s="39" t="s">
        <v>3043</v>
      </c>
      <c r="B1371" s="43" t="s">
        <v>3044</v>
      </c>
      <c r="C1371" s="122" t="s">
        <v>307</v>
      </c>
      <c r="D1371" s="43">
        <v>2021</v>
      </c>
      <c r="E1371" s="4">
        <v>12</v>
      </c>
      <c r="F1371" s="5" t="s">
        <v>32</v>
      </c>
      <c r="G1371" s="41">
        <v>162</v>
      </c>
      <c r="H1371" s="31"/>
      <c r="I1371" s="13"/>
    </row>
    <row r="1372" spans="1:9" ht="13">
      <c r="A1372" s="25" t="s">
        <v>3045</v>
      </c>
      <c r="B1372" s="43" t="s">
        <v>3046</v>
      </c>
      <c r="C1372" s="122" t="s">
        <v>3047</v>
      </c>
      <c r="D1372" s="43">
        <v>2021</v>
      </c>
      <c r="E1372" s="4">
        <v>12</v>
      </c>
      <c r="F1372" s="5" t="s">
        <v>32</v>
      </c>
      <c r="G1372" s="41">
        <v>156</v>
      </c>
      <c r="H1372" s="31"/>
      <c r="I1372" s="13"/>
    </row>
    <row r="1373" spans="1:9" ht="13">
      <c r="A1373" s="25" t="s">
        <v>3048</v>
      </c>
      <c r="B1373" s="43" t="s">
        <v>3049</v>
      </c>
      <c r="C1373" s="122" t="s">
        <v>1342</v>
      </c>
      <c r="D1373" s="43">
        <v>2021</v>
      </c>
      <c r="E1373" s="4">
        <v>12</v>
      </c>
      <c r="F1373" s="5" t="s">
        <v>32</v>
      </c>
      <c r="G1373" s="41">
        <v>228</v>
      </c>
      <c r="H1373" s="31"/>
      <c r="I1373" s="8"/>
    </row>
    <row r="1374" spans="1:9" ht="18">
      <c r="A1374" s="696" t="s">
        <v>3050</v>
      </c>
      <c r="B1374" s="689"/>
      <c r="C1374" s="689"/>
      <c r="D1374" s="689"/>
      <c r="E1374" s="689"/>
      <c r="F1374" s="689"/>
      <c r="G1374" s="689"/>
      <c r="H1374" s="689"/>
      <c r="I1374" s="690"/>
    </row>
    <row r="1375" spans="1:9" ht="13">
      <c r="A1375" s="25" t="s">
        <v>3051</v>
      </c>
      <c r="B1375" s="43" t="s">
        <v>3052</v>
      </c>
      <c r="C1375" s="122" t="s">
        <v>3053</v>
      </c>
      <c r="D1375" s="43">
        <v>2020</v>
      </c>
      <c r="E1375" s="4">
        <v>12</v>
      </c>
      <c r="F1375" s="2" t="s">
        <v>32</v>
      </c>
      <c r="G1375" s="41">
        <v>156</v>
      </c>
      <c r="H1375" s="31"/>
      <c r="I1375" s="13"/>
    </row>
    <row r="1376" spans="1:9" ht="18">
      <c r="A1376" s="696" t="s">
        <v>3054</v>
      </c>
      <c r="B1376" s="689"/>
      <c r="C1376" s="689"/>
      <c r="D1376" s="689"/>
      <c r="E1376" s="689"/>
      <c r="F1376" s="689"/>
      <c r="G1376" s="689"/>
      <c r="H1376" s="689"/>
      <c r="I1376" s="690"/>
    </row>
    <row r="1377" spans="1:9" ht="13">
      <c r="A1377" s="25" t="s">
        <v>3055</v>
      </c>
      <c r="B1377" s="43" t="s">
        <v>3056</v>
      </c>
      <c r="C1377" s="122" t="s">
        <v>3057</v>
      </c>
      <c r="D1377" s="43">
        <v>2022</v>
      </c>
      <c r="E1377" s="4">
        <v>12</v>
      </c>
      <c r="F1377" s="2" t="s">
        <v>32</v>
      </c>
      <c r="G1377" s="41">
        <v>156</v>
      </c>
      <c r="H1377" s="23"/>
      <c r="I1377" s="18"/>
    </row>
    <row r="1378" spans="1:9" ht="13">
      <c r="A1378" s="25" t="s">
        <v>3058</v>
      </c>
      <c r="B1378" s="43" t="s">
        <v>3059</v>
      </c>
      <c r="C1378" s="122" t="s">
        <v>3057</v>
      </c>
      <c r="D1378" s="43">
        <v>2022</v>
      </c>
      <c r="E1378" s="4">
        <v>6</v>
      </c>
      <c r="F1378" s="2" t="s">
        <v>304</v>
      </c>
      <c r="G1378" s="41">
        <v>183</v>
      </c>
      <c r="H1378" s="23"/>
      <c r="I1378" s="18"/>
    </row>
    <row r="1379" spans="1:9" ht="13">
      <c r="A1379" s="25" t="s">
        <v>3060</v>
      </c>
      <c r="B1379" s="43" t="s">
        <v>3061</v>
      </c>
      <c r="C1379" s="122" t="s">
        <v>3057</v>
      </c>
      <c r="D1379" s="43">
        <v>2022</v>
      </c>
      <c r="E1379" s="4">
        <v>4</v>
      </c>
      <c r="F1379" s="2" t="s">
        <v>3062</v>
      </c>
      <c r="G1379" s="41">
        <v>224</v>
      </c>
      <c r="H1379" s="23"/>
      <c r="I1379" s="18"/>
    </row>
    <row r="1380" spans="1:9" ht="13">
      <c r="A1380" s="25" t="s">
        <v>3063</v>
      </c>
      <c r="B1380" s="43" t="s">
        <v>3064</v>
      </c>
      <c r="C1380" s="122" t="s">
        <v>3053</v>
      </c>
      <c r="D1380" s="43">
        <v>2022</v>
      </c>
      <c r="E1380" s="4">
        <v>12</v>
      </c>
      <c r="F1380" s="2" t="s">
        <v>32</v>
      </c>
      <c r="G1380" s="41">
        <v>204</v>
      </c>
      <c r="H1380" s="23"/>
      <c r="I1380" s="18"/>
    </row>
    <row r="1381" spans="1:9" ht="13">
      <c r="A1381" s="25" t="s">
        <v>3065</v>
      </c>
      <c r="B1381" s="43" t="s">
        <v>3066</v>
      </c>
      <c r="C1381" s="122" t="s">
        <v>3053</v>
      </c>
      <c r="D1381" s="43">
        <v>2021</v>
      </c>
      <c r="E1381" s="4">
        <v>4</v>
      </c>
      <c r="F1381" s="2" t="s">
        <v>304</v>
      </c>
      <c r="G1381" s="41">
        <v>146</v>
      </c>
      <c r="H1381" s="23"/>
      <c r="I1381" s="8"/>
    </row>
    <row r="1382" spans="1:9" ht="13">
      <c r="A1382" s="25" t="s">
        <v>3067</v>
      </c>
      <c r="B1382" s="43" t="s">
        <v>3068</v>
      </c>
      <c r="C1382" s="122" t="s">
        <v>3053</v>
      </c>
      <c r="D1382" s="43">
        <v>2021</v>
      </c>
      <c r="E1382" s="4">
        <v>4</v>
      </c>
      <c r="F1382" s="2" t="s">
        <v>3062</v>
      </c>
      <c r="G1382" s="41">
        <v>280</v>
      </c>
      <c r="H1382" s="23"/>
      <c r="I1382" s="18">
        <v>1</v>
      </c>
    </row>
    <row r="1383" spans="1:9" ht="13">
      <c r="A1383" s="25" t="s">
        <v>3069</v>
      </c>
      <c r="B1383" s="43" t="s">
        <v>3070</v>
      </c>
      <c r="C1383" s="122" t="s">
        <v>3053</v>
      </c>
      <c r="D1383" s="43">
        <v>2021</v>
      </c>
      <c r="E1383" s="4">
        <v>12</v>
      </c>
      <c r="F1383" s="2" t="s">
        <v>32</v>
      </c>
      <c r="G1383" s="41">
        <v>240</v>
      </c>
      <c r="H1383" s="23"/>
      <c r="I1383" s="18">
        <v>1</v>
      </c>
    </row>
    <row r="1384" spans="1:9" ht="13">
      <c r="A1384" s="25" t="s">
        <v>3071</v>
      </c>
      <c r="B1384" s="43" t="s">
        <v>3072</v>
      </c>
      <c r="C1384" s="122" t="s">
        <v>3053</v>
      </c>
      <c r="D1384" s="43">
        <v>2021</v>
      </c>
      <c r="E1384" s="4">
        <v>6</v>
      </c>
      <c r="F1384" s="2" t="s">
        <v>304</v>
      </c>
      <c r="G1384" s="41">
        <v>252</v>
      </c>
      <c r="H1384" s="23"/>
      <c r="I1384" s="19"/>
    </row>
    <row r="1385" spans="1:9" ht="13">
      <c r="A1385" s="25" t="s">
        <v>3073</v>
      </c>
      <c r="B1385" s="43" t="s">
        <v>3074</v>
      </c>
      <c r="C1385" s="122" t="s">
        <v>3053</v>
      </c>
      <c r="D1385" s="43">
        <v>2021</v>
      </c>
      <c r="E1385" s="4">
        <v>4</v>
      </c>
      <c r="F1385" s="2" t="s">
        <v>3062</v>
      </c>
      <c r="G1385" s="41">
        <v>344</v>
      </c>
      <c r="H1385" s="23"/>
      <c r="I1385" s="18"/>
    </row>
    <row r="1386" spans="1:9" ht="13">
      <c r="A1386" s="25" t="s">
        <v>3075</v>
      </c>
      <c r="B1386" s="43" t="s">
        <v>3076</v>
      </c>
      <c r="C1386" s="122" t="s">
        <v>3053</v>
      </c>
      <c r="D1386" s="43">
        <v>2021</v>
      </c>
      <c r="E1386" s="4">
        <v>12</v>
      </c>
      <c r="F1386" s="2" t="s">
        <v>32</v>
      </c>
      <c r="G1386" s="41">
        <v>312</v>
      </c>
      <c r="H1386" s="23"/>
      <c r="I1386" s="18">
        <v>1</v>
      </c>
    </row>
    <row r="1387" spans="1:9" ht="13">
      <c r="A1387" s="25" t="s">
        <v>3077</v>
      </c>
      <c r="B1387" s="43" t="s">
        <v>3078</v>
      </c>
      <c r="C1387" s="122" t="s">
        <v>3053</v>
      </c>
      <c r="D1387" s="43">
        <v>2021</v>
      </c>
      <c r="E1387" s="4">
        <v>2</v>
      </c>
      <c r="F1387" s="2" t="s">
        <v>3062</v>
      </c>
      <c r="G1387" s="41">
        <v>220</v>
      </c>
      <c r="H1387" s="23"/>
      <c r="I1387" s="19"/>
    </row>
    <row r="1388" spans="1:9" ht="13">
      <c r="A1388" s="25" t="s">
        <v>3079</v>
      </c>
      <c r="B1388" s="43" t="s">
        <v>3080</v>
      </c>
      <c r="C1388" s="122" t="s">
        <v>3053</v>
      </c>
      <c r="D1388" s="43">
        <v>2021</v>
      </c>
      <c r="E1388" s="4">
        <v>12</v>
      </c>
      <c r="F1388" s="2" t="s">
        <v>32</v>
      </c>
      <c r="G1388" s="41">
        <v>432</v>
      </c>
      <c r="H1388" s="23"/>
      <c r="I1388" s="8"/>
    </row>
    <row r="1389" spans="1:9" ht="13">
      <c r="A1389" s="25" t="s">
        <v>3081</v>
      </c>
      <c r="B1389" s="43" t="s">
        <v>3080</v>
      </c>
      <c r="C1389" s="122" t="s">
        <v>3053</v>
      </c>
      <c r="D1389" s="43">
        <v>2021</v>
      </c>
      <c r="E1389" s="4">
        <v>2</v>
      </c>
      <c r="F1389" s="2" t="s">
        <v>3062</v>
      </c>
      <c r="G1389" s="41">
        <v>284</v>
      </c>
      <c r="H1389" s="23"/>
      <c r="I1389" s="13"/>
    </row>
    <row r="1390" spans="1:9" ht="18">
      <c r="A1390" s="708" t="s">
        <v>3082</v>
      </c>
      <c r="B1390" s="689"/>
      <c r="C1390" s="689"/>
      <c r="D1390" s="689"/>
      <c r="E1390" s="689"/>
      <c r="F1390" s="689"/>
      <c r="G1390" s="689"/>
      <c r="H1390" s="689"/>
      <c r="I1390" s="690"/>
    </row>
    <row r="1391" spans="1:9" ht="13">
      <c r="A1391" s="25" t="s">
        <v>3083</v>
      </c>
      <c r="B1391" s="43" t="s">
        <v>3084</v>
      </c>
      <c r="C1391" s="122" t="s">
        <v>3085</v>
      </c>
      <c r="D1391" s="43">
        <v>2018</v>
      </c>
      <c r="E1391" s="4">
        <v>12</v>
      </c>
      <c r="F1391" s="2" t="s">
        <v>32</v>
      </c>
      <c r="G1391" s="41">
        <v>108</v>
      </c>
      <c r="H1391" s="23"/>
      <c r="I1391" s="8"/>
    </row>
    <row r="1392" spans="1:9" ht="18">
      <c r="A1392" s="708" t="s">
        <v>3086</v>
      </c>
      <c r="B1392" s="689"/>
      <c r="C1392" s="689"/>
      <c r="D1392" s="689"/>
      <c r="E1392" s="689"/>
      <c r="F1392" s="689"/>
      <c r="G1392" s="689"/>
      <c r="H1392" s="689"/>
      <c r="I1392" s="690"/>
    </row>
    <row r="1393" spans="1:9" ht="13">
      <c r="A1393" s="25" t="s">
        <v>3087</v>
      </c>
      <c r="B1393" s="43" t="s">
        <v>3088</v>
      </c>
      <c r="C1393" s="122" t="s">
        <v>3089</v>
      </c>
      <c r="D1393" s="43">
        <v>2021</v>
      </c>
      <c r="E1393" s="4">
        <v>12</v>
      </c>
      <c r="F1393" s="2" t="s">
        <v>32</v>
      </c>
      <c r="G1393" s="41">
        <v>114</v>
      </c>
      <c r="H1393" s="23"/>
      <c r="I1393" s="8"/>
    </row>
    <row r="1394" spans="1:9" ht="23">
      <c r="A1394" s="710" t="s">
        <v>3090</v>
      </c>
      <c r="B1394" s="689"/>
      <c r="C1394" s="689"/>
      <c r="D1394" s="689"/>
      <c r="E1394" s="689"/>
      <c r="F1394" s="689"/>
      <c r="G1394" s="689"/>
      <c r="H1394" s="689"/>
      <c r="I1394" s="690"/>
    </row>
    <row r="1395" spans="1:9" ht="18">
      <c r="A1395" s="696" t="s">
        <v>3091</v>
      </c>
      <c r="B1395" s="689"/>
      <c r="C1395" s="689"/>
      <c r="D1395" s="689"/>
      <c r="E1395" s="689"/>
      <c r="F1395" s="689"/>
      <c r="G1395" s="689"/>
      <c r="H1395" s="689"/>
      <c r="I1395" s="690"/>
    </row>
    <row r="1396" spans="1:9" ht="13">
      <c r="A1396" s="25" t="s">
        <v>3092</v>
      </c>
      <c r="B1396" s="43" t="s">
        <v>3093</v>
      </c>
      <c r="C1396" s="122" t="s">
        <v>3094</v>
      </c>
      <c r="D1396" s="43">
        <v>2017</v>
      </c>
      <c r="E1396" s="4">
        <v>12</v>
      </c>
      <c r="F1396" s="5" t="s">
        <v>32</v>
      </c>
      <c r="G1396" s="60">
        <v>144</v>
      </c>
      <c r="H1396" s="118" t="s">
        <v>2790</v>
      </c>
      <c r="I1396" s="19"/>
    </row>
    <row r="1397" spans="1:9" ht="13">
      <c r="A1397" s="25" t="s">
        <v>3095</v>
      </c>
      <c r="B1397" s="43" t="s">
        <v>3096</v>
      </c>
      <c r="C1397" s="122" t="s">
        <v>3089</v>
      </c>
      <c r="D1397" s="5">
        <v>2016</v>
      </c>
      <c r="E1397" s="4">
        <v>12</v>
      </c>
      <c r="F1397" s="5" t="s">
        <v>32</v>
      </c>
      <c r="G1397" s="60">
        <v>156</v>
      </c>
      <c r="H1397" s="168" t="s">
        <v>330</v>
      </c>
      <c r="I1397" s="13"/>
    </row>
    <row r="1398" spans="1:9" ht="23">
      <c r="A1398" s="710" t="s">
        <v>3097</v>
      </c>
      <c r="B1398" s="689"/>
      <c r="C1398" s="689"/>
      <c r="D1398" s="689"/>
      <c r="E1398" s="689"/>
      <c r="F1398" s="689"/>
      <c r="G1398" s="689"/>
      <c r="H1398" s="689"/>
      <c r="I1398" s="690"/>
    </row>
    <row r="1399" spans="1:9" ht="18">
      <c r="A1399" s="696" t="s">
        <v>3098</v>
      </c>
      <c r="B1399" s="689"/>
      <c r="C1399" s="689"/>
      <c r="D1399" s="689"/>
      <c r="E1399" s="689"/>
      <c r="F1399" s="689"/>
      <c r="G1399" s="689"/>
      <c r="H1399" s="689"/>
      <c r="I1399" s="690"/>
    </row>
    <row r="1400" spans="1:9" ht="13">
      <c r="A1400" s="54" t="s">
        <v>3099</v>
      </c>
      <c r="B1400" s="205" t="s">
        <v>3100</v>
      </c>
      <c r="C1400" s="122" t="s">
        <v>3101</v>
      </c>
      <c r="D1400" s="5">
        <v>2019</v>
      </c>
      <c r="E1400" s="4">
        <v>12</v>
      </c>
      <c r="F1400" s="5" t="s">
        <v>32</v>
      </c>
      <c r="G1400" s="41">
        <v>144</v>
      </c>
      <c r="H1400" s="31"/>
      <c r="I1400" s="19"/>
    </row>
    <row r="1401" spans="1:9" ht="13">
      <c r="A1401" s="25" t="s">
        <v>3102</v>
      </c>
      <c r="B1401" s="205" t="s">
        <v>3103</v>
      </c>
      <c r="C1401" s="122" t="s">
        <v>3104</v>
      </c>
      <c r="D1401" s="5">
        <v>2019</v>
      </c>
      <c r="E1401" s="206">
        <v>12</v>
      </c>
      <c r="F1401" s="207" t="s">
        <v>32</v>
      </c>
      <c r="G1401" s="208">
        <v>150</v>
      </c>
      <c r="H1401" s="31"/>
      <c r="I1401" s="18">
        <v>1</v>
      </c>
    </row>
    <row r="1402" spans="1:9" ht="33">
      <c r="A1402" s="714" t="s">
        <v>3105</v>
      </c>
      <c r="B1402" s="689"/>
      <c r="C1402" s="689"/>
      <c r="D1402" s="689"/>
      <c r="E1402" s="689"/>
      <c r="F1402" s="689"/>
      <c r="G1402" s="689"/>
      <c r="H1402" s="689"/>
      <c r="I1402" s="690"/>
    </row>
    <row r="1403" spans="1:9" ht="23">
      <c r="A1403" s="715" t="s">
        <v>3106</v>
      </c>
      <c r="B1403" s="689"/>
      <c r="C1403" s="689"/>
      <c r="D1403" s="689"/>
      <c r="E1403" s="689"/>
      <c r="F1403" s="689"/>
      <c r="G1403" s="689"/>
      <c r="H1403" s="689"/>
      <c r="I1403" s="690"/>
    </row>
    <row r="1404" spans="1:9" ht="18">
      <c r="A1404" s="696" t="s">
        <v>3107</v>
      </c>
      <c r="B1404" s="689"/>
      <c r="C1404" s="689"/>
      <c r="D1404" s="689"/>
      <c r="E1404" s="689"/>
      <c r="F1404" s="689"/>
      <c r="G1404" s="689"/>
      <c r="H1404" s="689"/>
      <c r="I1404" s="690"/>
    </row>
    <row r="1405" spans="1:9" ht="13">
      <c r="A1405" s="54" t="s">
        <v>3108</v>
      </c>
      <c r="B1405" s="209" t="s">
        <v>3109</v>
      </c>
      <c r="C1405" s="192" t="s">
        <v>3110</v>
      </c>
      <c r="D1405" s="210">
        <v>2020</v>
      </c>
      <c r="E1405" s="196">
        <v>12</v>
      </c>
      <c r="F1405" s="195" t="s">
        <v>32</v>
      </c>
      <c r="G1405" s="29">
        <v>174</v>
      </c>
      <c r="H1405" s="17"/>
      <c r="I1405" s="13"/>
    </row>
    <row r="1406" spans="1:9" ht="13">
      <c r="A1406" s="15" t="s">
        <v>3111</v>
      </c>
      <c r="B1406" s="211" t="s">
        <v>3112</v>
      </c>
      <c r="C1406" s="28" t="s">
        <v>3113</v>
      </c>
      <c r="D1406" s="5">
        <v>2023</v>
      </c>
      <c r="E1406" s="4">
        <v>12</v>
      </c>
      <c r="F1406" s="2" t="s">
        <v>32</v>
      </c>
      <c r="G1406" s="212">
        <v>180</v>
      </c>
      <c r="H1406" s="23"/>
      <c r="I1406" s="18"/>
    </row>
    <row r="1407" spans="1:9" ht="13">
      <c r="A1407" s="15" t="s">
        <v>3114</v>
      </c>
      <c r="B1407" s="211" t="s">
        <v>3115</v>
      </c>
      <c r="C1407" s="28" t="s">
        <v>3116</v>
      </c>
      <c r="D1407" s="79" t="s">
        <v>5</v>
      </c>
      <c r="E1407" s="4">
        <v>12</v>
      </c>
      <c r="F1407" s="2" t="s">
        <v>32</v>
      </c>
      <c r="G1407" s="212">
        <v>180</v>
      </c>
      <c r="H1407" s="23"/>
      <c r="I1407" s="8"/>
    </row>
    <row r="1408" spans="1:9" ht="13">
      <c r="A1408" s="39" t="s">
        <v>3117</v>
      </c>
      <c r="B1408" s="210" t="s">
        <v>3118</v>
      </c>
      <c r="C1408" s="28" t="s">
        <v>742</v>
      </c>
      <c r="D1408" s="5" t="s">
        <v>5</v>
      </c>
      <c r="E1408" s="4">
        <v>12</v>
      </c>
      <c r="F1408" s="2" t="s">
        <v>32</v>
      </c>
      <c r="G1408" s="29">
        <v>180</v>
      </c>
      <c r="H1408" s="23"/>
      <c r="I1408" s="8"/>
    </row>
    <row r="1409" spans="1:9" ht="13">
      <c r="A1409" s="54" t="s">
        <v>3119</v>
      </c>
      <c r="B1409" s="210" t="s">
        <v>3120</v>
      </c>
      <c r="C1409" s="28" t="s">
        <v>3121</v>
      </c>
      <c r="D1409" s="5">
        <v>2021</v>
      </c>
      <c r="E1409" s="4">
        <v>12</v>
      </c>
      <c r="F1409" s="2" t="s">
        <v>32</v>
      </c>
      <c r="G1409" s="29">
        <v>144</v>
      </c>
      <c r="H1409" s="23"/>
      <c r="I1409" s="13"/>
    </row>
    <row r="1410" spans="1:9" ht="13">
      <c r="A1410" s="105" t="s">
        <v>3122</v>
      </c>
      <c r="B1410" s="213" t="s">
        <v>3123</v>
      </c>
      <c r="C1410" s="214" t="s">
        <v>3124</v>
      </c>
      <c r="D1410" s="106">
        <v>2021</v>
      </c>
      <c r="E1410" s="108">
        <v>12</v>
      </c>
      <c r="F1410" s="106" t="s">
        <v>32</v>
      </c>
      <c r="G1410" s="215">
        <v>144</v>
      </c>
      <c r="H1410" s="31"/>
      <c r="I1410" s="13"/>
    </row>
    <row r="1411" spans="1:9" ht="13">
      <c r="A1411" s="15" t="s">
        <v>3125</v>
      </c>
      <c r="B1411" s="216" t="s">
        <v>3126</v>
      </c>
      <c r="C1411" s="192" t="s">
        <v>2548</v>
      </c>
      <c r="D1411" s="207">
        <v>2023</v>
      </c>
      <c r="E1411" s="4">
        <v>12</v>
      </c>
      <c r="F1411" s="2" t="s">
        <v>32</v>
      </c>
      <c r="G1411" s="217">
        <v>192</v>
      </c>
      <c r="H1411" s="23"/>
      <c r="I1411" s="8"/>
    </row>
    <row r="1412" spans="1:9" ht="13">
      <c r="A1412" s="15" t="s">
        <v>3127</v>
      </c>
      <c r="B1412" s="216" t="s">
        <v>3128</v>
      </c>
      <c r="C1412" s="192" t="s">
        <v>3129</v>
      </c>
      <c r="D1412" s="210">
        <v>2022</v>
      </c>
      <c r="E1412" s="4">
        <v>12</v>
      </c>
      <c r="F1412" s="2" t="s">
        <v>32</v>
      </c>
      <c r="G1412" s="50">
        <v>228</v>
      </c>
      <c r="H1412" s="23"/>
      <c r="I1412" s="8"/>
    </row>
    <row r="1413" spans="1:9" ht="13">
      <c r="A1413" s="15" t="s">
        <v>3130</v>
      </c>
      <c r="B1413" s="216" t="s">
        <v>3131</v>
      </c>
      <c r="C1413" s="192" t="s">
        <v>1827</v>
      </c>
      <c r="D1413" s="207">
        <v>2021</v>
      </c>
      <c r="E1413" s="4">
        <v>12</v>
      </c>
      <c r="F1413" s="2" t="s">
        <v>32</v>
      </c>
      <c r="G1413" s="50">
        <v>228</v>
      </c>
      <c r="H1413" s="23"/>
      <c r="I1413" s="8"/>
    </row>
    <row r="1414" spans="1:9" ht="13">
      <c r="A1414" s="54" t="s">
        <v>3132</v>
      </c>
      <c r="B1414" s="211" t="s">
        <v>3133</v>
      </c>
      <c r="C1414" s="28" t="s">
        <v>4</v>
      </c>
      <c r="D1414" s="79">
        <v>2015</v>
      </c>
      <c r="E1414" s="4">
        <v>12</v>
      </c>
      <c r="F1414" s="2" t="s">
        <v>32</v>
      </c>
      <c r="G1414" s="212">
        <v>168</v>
      </c>
      <c r="H1414" s="17"/>
      <c r="I1414" s="13"/>
    </row>
    <row r="1415" spans="1:9" ht="13">
      <c r="A1415" s="54" t="s">
        <v>3134</v>
      </c>
      <c r="B1415" s="210" t="s">
        <v>3135</v>
      </c>
      <c r="C1415" s="28" t="s">
        <v>3136</v>
      </c>
      <c r="D1415" s="5">
        <v>2012</v>
      </c>
      <c r="E1415" s="4">
        <v>12</v>
      </c>
      <c r="F1415" s="2" t="s">
        <v>32</v>
      </c>
      <c r="G1415" s="29">
        <v>292</v>
      </c>
      <c r="H1415" s="17"/>
      <c r="I1415" s="13"/>
    </row>
    <row r="1416" spans="1:9" ht="13">
      <c r="A1416" s="54" t="s">
        <v>3137</v>
      </c>
      <c r="B1416" s="211" t="s">
        <v>3138</v>
      </c>
      <c r="C1416" s="28" t="s">
        <v>709</v>
      </c>
      <c r="D1416" s="79">
        <v>2018</v>
      </c>
      <c r="E1416" s="4">
        <v>12</v>
      </c>
      <c r="F1416" s="2" t="s">
        <v>32</v>
      </c>
      <c r="G1416" s="212">
        <v>204</v>
      </c>
      <c r="H1416" s="17"/>
      <c r="I1416" s="18">
        <v>1</v>
      </c>
    </row>
    <row r="1417" spans="1:9" ht="13">
      <c r="A1417" s="25" t="s">
        <v>3139</v>
      </c>
      <c r="B1417" s="210" t="s">
        <v>3140</v>
      </c>
      <c r="C1417" s="28" t="s">
        <v>346</v>
      </c>
      <c r="D1417" s="5">
        <v>2014</v>
      </c>
      <c r="E1417" s="4">
        <v>12</v>
      </c>
      <c r="F1417" s="2" t="s">
        <v>32</v>
      </c>
      <c r="G1417" s="29">
        <v>112</v>
      </c>
      <c r="H1417" s="17"/>
      <c r="I1417" s="13"/>
    </row>
    <row r="1418" spans="1:9" ht="13">
      <c r="A1418" s="25" t="s">
        <v>3141</v>
      </c>
      <c r="B1418" s="210" t="s">
        <v>3142</v>
      </c>
      <c r="C1418" s="28" t="s">
        <v>1322</v>
      </c>
      <c r="D1418" s="5" t="s">
        <v>5</v>
      </c>
      <c r="E1418" s="4">
        <v>12</v>
      </c>
      <c r="F1418" s="2" t="s">
        <v>32</v>
      </c>
      <c r="G1418" s="29">
        <v>240</v>
      </c>
      <c r="H1418" s="17"/>
      <c r="I1418" s="13"/>
    </row>
    <row r="1419" spans="1:9" ht="23">
      <c r="A1419" s="715" t="s">
        <v>3143</v>
      </c>
      <c r="B1419" s="689"/>
      <c r="C1419" s="689"/>
      <c r="D1419" s="689"/>
      <c r="E1419" s="689"/>
      <c r="F1419" s="689"/>
      <c r="G1419" s="689"/>
      <c r="H1419" s="689"/>
      <c r="I1419" s="690"/>
    </row>
    <row r="1420" spans="1:9" ht="18">
      <c r="A1420" s="696" t="s">
        <v>3144</v>
      </c>
      <c r="B1420" s="689"/>
      <c r="C1420" s="689"/>
      <c r="D1420" s="689"/>
      <c r="E1420" s="689"/>
      <c r="F1420" s="689"/>
      <c r="G1420" s="689"/>
      <c r="H1420" s="689"/>
      <c r="I1420" s="690"/>
    </row>
    <row r="1421" spans="1:9" ht="13">
      <c r="A1421" s="15" t="s">
        <v>3145</v>
      </c>
      <c r="B1421" s="5" t="s">
        <v>3146</v>
      </c>
      <c r="C1421" s="28" t="s">
        <v>3147</v>
      </c>
      <c r="D1421" s="5">
        <v>2021</v>
      </c>
      <c r="E1421" s="196">
        <v>12</v>
      </c>
      <c r="F1421" s="76" t="s">
        <v>32</v>
      </c>
      <c r="G1421" s="212">
        <v>156</v>
      </c>
      <c r="H1421" s="17"/>
      <c r="I1421" s="18">
        <v>1</v>
      </c>
    </row>
    <row r="1422" spans="1:9" ht="13">
      <c r="A1422" s="15" t="s">
        <v>3148</v>
      </c>
      <c r="B1422" s="5" t="s">
        <v>3149</v>
      </c>
      <c r="C1422" s="28" t="s">
        <v>133</v>
      </c>
      <c r="D1422" s="5">
        <v>2020</v>
      </c>
      <c r="E1422" s="82">
        <v>12</v>
      </c>
      <c r="F1422" s="2" t="s">
        <v>32</v>
      </c>
      <c r="G1422" s="218">
        <v>156</v>
      </c>
      <c r="H1422" s="17"/>
      <c r="I1422" s="13"/>
    </row>
    <row r="1423" spans="1:9" ht="13">
      <c r="A1423" s="54" t="s">
        <v>3150</v>
      </c>
      <c r="B1423" s="5" t="s">
        <v>3151</v>
      </c>
      <c r="C1423" s="28" t="s">
        <v>1827</v>
      </c>
      <c r="D1423" s="5">
        <v>2020</v>
      </c>
      <c r="E1423" s="82">
        <v>12</v>
      </c>
      <c r="F1423" s="2" t="s">
        <v>32</v>
      </c>
      <c r="G1423" s="218">
        <v>156</v>
      </c>
      <c r="H1423" s="17"/>
      <c r="I1423" s="18">
        <v>1</v>
      </c>
    </row>
    <row r="1424" spans="1:9" ht="13">
      <c r="A1424" s="54" t="s">
        <v>3152</v>
      </c>
      <c r="B1424" s="5" t="s">
        <v>3133</v>
      </c>
      <c r="C1424" s="28" t="s">
        <v>4</v>
      </c>
      <c r="D1424" s="5">
        <v>2019</v>
      </c>
      <c r="E1424" s="82">
        <v>12</v>
      </c>
      <c r="F1424" s="2" t="s">
        <v>32</v>
      </c>
      <c r="G1424" s="218">
        <v>156</v>
      </c>
      <c r="H1424" s="17"/>
      <c r="I1424" s="13"/>
    </row>
    <row r="1425" spans="1:9" ht="13">
      <c r="A1425" s="54" t="s">
        <v>3153</v>
      </c>
      <c r="B1425" s="5" t="s">
        <v>3154</v>
      </c>
      <c r="C1425" s="28" t="s">
        <v>3155</v>
      </c>
      <c r="D1425" s="5">
        <v>2020</v>
      </c>
      <c r="E1425" s="82">
        <v>12</v>
      </c>
      <c r="F1425" s="2" t="s">
        <v>32</v>
      </c>
      <c r="G1425" s="218">
        <v>156</v>
      </c>
      <c r="H1425" s="17"/>
      <c r="I1425" s="19"/>
    </row>
    <row r="1426" spans="1:9" ht="13">
      <c r="A1426" s="54" t="s">
        <v>3156</v>
      </c>
      <c r="B1426" s="5" t="s">
        <v>3157</v>
      </c>
      <c r="C1426" s="28" t="s">
        <v>3158</v>
      </c>
      <c r="D1426" s="5">
        <v>2020</v>
      </c>
      <c r="E1426" s="82">
        <v>12</v>
      </c>
      <c r="F1426" s="2" t="s">
        <v>32</v>
      </c>
      <c r="G1426" s="218">
        <v>156</v>
      </c>
      <c r="H1426" s="17"/>
      <c r="I1426" s="19"/>
    </row>
    <row r="1427" spans="1:9" ht="13">
      <c r="A1427" s="25" t="s">
        <v>3159</v>
      </c>
      <c r="B1427" s="5" t="s">
        <v>3160</v>
      </c>
      <c r="C1427" s="28" t="s">
        <v>463</v>
      </c>
      <c r="D1427" s="5">
        <v>2021</v>
      </c>
      <c r="E1427" s="82">
        <v>12</v>
      </c>
      <c r="F1427" s="2" t="s">
        <v>32</v>
      </c>
      <c r="G1427" s="212">
        <v>162</v>
      </c>
      <c r="H1427" s="17"/>
      <c r="I1427" s="18">
        <v>1</v>
      </c>
    </row>
    <row r="1428" spans="1:9" ht="23">
      <c r="A1428" s="715" t="s">
        <v>3161</v>
      </c>
      <c r="B1428" s="689"/>
      <c r="C1428" s="689"/>
      <c r="D1428" s="689"/>
      <c r="E1428" s="689"/>
      <c r="F1428" s="689"/>
      <c r="G1428" s="689"/>
      <c r="H1428" s="689"/>
      <c r="I1428" s="690"/>
    </row>
    <row r="1429" spans="1:9" ht="18">
      <c r="A1429" s="696" t="s">
        <v>3162</v>
      </c>
      <c r="B1429" s="689"/>
      <c r="C1429" s="689"/>
      <c r="D1429" s="689"/>
      <c r="E1429" s="689"/>
      <c r="F1429" s="689"/>
      <c r="G1429" s="689"/>
      <c r="H1429" s="689"/>
      <c r="I1429" s="690"/>
    </row>
    <row r="1430" spans="1:9" ht="13">
      <c r="A1430" s="54" t="s">
        <v>3163</v>
      </c>
      <c r="B1430" s="5" t="s">
        <v>3164</v>
      </c>
      <c r="C1430" s="28" t="s">
        <v>3165</v>
      </c>
      <c r="D1430" s="5">
        <v>2021</v>
      </c>
      <c r="E1430" s="82">
        <v>12</v>
      </c>
      <c r="F1430" s="2" t="s">
        <v>32</v>
      </c>
      <c r="G1430" s="219">
        <v>120</v>
      </c>
      <c r="H1430" s="17"/>
      <c r="I1430" s="13"/>
    </row>
    <row r="1431" spans="1:9" ht="13">
      <c r="A1431" s="15" t="s">
        <v>3166</v>
      </c>
      <c r="B1431" s="5" t="s">
        <v>3167</v>
      </c>
      <c r="C1431" s="28" t="s">
        <v>3168</v>
      </c>
      <c r="D1431" s="5">
        <v>2022</v>
      </c>
      <c r="E1431" s="196">
        <v>12</v>
      </c>
      <c r="F1431" s="76" t="s">
        <v>32</v>
      </c>
      <c r="G1431" s="219">
        <v>138</v>
      </c>
      <c r="H1431" s="23"/>
      <c r="I1431" s="18"/>
    </row>
    <row r="1432" spans="1:9" ht="13">
      <c r="A1432" s="54" t="s">
        <v>3169</v>
      </c>
      <c r="B1432" s="5" t="s">
        <v>3170</v>
      </c>
      <c r="C1432" s="28" t="s">
        <v>3171</v>
      </c>
      <c r="D1432" s="5">
        <v>2020</v>
      </c>
      <c r="E1432" s="82">
        <v>12</v>
      </c>
      <c r="F1432" s="2" t="s">
        <v>32</v>
      </c>
      <c r="G1432" s="219">
        <v>162</v>
      </c>
      <c r="H1432" s="17"/>
      <c r="I1432" s="18">
        <v>1</v>
      </c>
    </row>
    <row r="1433" spans="1:9" ht="13">
      <c r="A1433" s="54" t="s">
        <v>3172</v>
      </c>
      <c r="B1433" s="5" t="s">
        <v>3173</v>
      </c>
      <c r="C1433" s="28" t="s">
        <v>3174</v>
      </c>
      <c r="D1433" s="5">
        <v>2020</v>
      </c>
      <c r="E1433" s="82">
        <v>12</v>
      </c>
      <c r="F1433" s="2" t="s">
        <v>32</v>
      </c>
      <c r="G1433" s="219">
        <v>156</v>
      </c>
      <c r="H1433" s="23"/>
      <c r="I1433" s="18">
        <v>1</v>
      </c>
    </row>
    <row r="1434" spans="1:9" ht="18">
      <c r="A1434" s="696" t="s">
        <v>3175</v>
      </c>
      <c r="B1434" s="689"/>
      <c r="C1434" s="689"/>
      <c r="D1434" s="689"/>
      <c r="E1434" s="689"/>
      <c r="F1434" s="689"/>
      <c r="G1434" s="689"/>
      <c r="H1434" s="689"/>
      <c r="I1434" s="690"/>
    </row>
    <row r="1435" spans="1:9" ht="13">
      <c r="A1435" s="54" t="s">
        <v>3176</v>
      </c>
      <c r="B1435" s="5" t="s">
        <v>3177</v>
      </c>
      <c r="C1435" s="28" t="s">
        <v>2435</v>
      </c>
      <c r="D1435" s="5">
        <v>2023</v>
      </c>
      <c r="E1435" s="82">
        <v>12</v>
      </c>
      <c r="F1435" s="2" t="s">
        <v>32</v>
      </c>
      <c r="G1435" s="219">
        <v>168</v>
      </c>
      <c r="H1435" s="23"/>
      <c r="I1435" s="18">
        <v>1</v>
      </c>
    </row>
    <row r="1436" spans="1:9" ht="13">
      <c r="A1436" s="54" t="s">
        <v>3178</v>
      </c>
      <c r="B1436" s="5" t="s">
        <v>3179</v>
      </c>
      <c r="C1436" s="28" t="s">
        <v>3171</v>
      </c>
      <c r="D1436" s="5">
        <v>2022</v>
      </c>
      <c r="E1436" s="82">
        <v>12</v>
      </c>
      <c r="F1436" s="2" t="s">
        <v>32</v>
      </c>
      <c r="G1436" s="219">
        <v>168</v>
      </c>
      <c r="H1436" s="23"/>
      <c r="I1436" s="18">
        <v>1</v>
      </c>
    </row>
    <row r="1437" spans="1:9" ht="13">
      <c r="A1437" s="15" t="s">
        <v>3180</v>
      </c>
      <c r="B1437" s="5" t="s">
        <v>3167</v>
      </c>
      <c r="C1437" s="28" t="s">
        <v>3168</v>
      </c>
      <c r="D1437" s="5">
        <v>2018</v>
      </c>
      <c r="E1437" s="82">
        <v>12</v>
      </c>
      <c r="F1437" s="2" t="s">
        <v>32</v>
      </c>
      <c r="G1437" s="219">
        <v>132</v>
      </c>
      <c r="H1437" s="17"/>
      <c r="I1437" s="13"/>
    </row>
    <row r="1438" spans="1:9" ht="13">
      <c r="A1438" s="54" t="s">
        <v>3181</v>
      </c>
      <c r="B1438" s="5" t="s">
        <v>3170</v>
      </c>
      <c r="C1438" s="28" t="s">
        <v>3171</v>
      </c>
      <c r="D1438" s="5">
        <v>2021</v>
      </c>
      <c r="E1438" s="82">
        <v>12</v>
      </c>
      <c r="F1438" s="2" t="s">
        <v>32</v>
      </c>
      <c r="G1438" s="219">
        <v>132</v>
      </c>
      <c r="H1438" s="17"/>
      <c r="I1438" s="19"/>
    </row>
    <row r="1439" spans="1:9" ht="13">
      <c r="A1439" s="54" t="s">
        <v>3182</v>
      </c>
      <c r="B1439" s="5" t="s">
        <v>3183</v>
      </c>
      <c r="C1439" s="128" t="s">
        <v>3184</v>
      </c>
      <c r="D1439" s="5">
        <v>2020</v>
      </c>
      <c r="E1439" s="82">
        <v>12</v>
      </c>
      <c r="F1439" s="2" t="s">
        <v>32</v>
      </c>
      <c r="G1439" s="219">
        <v>156</v>
      </c>
      <c r="H1439" s="17"/>
      <c r="I1439" s="19"/>
    </row>
    <row r="1440" spans="1:9" ht="13">
      <c r="A1440" s="54" t="s">
        <v>3185</v>
      </c>
      <c r="B1440" s="5" t="s">
        <v>3186</v>
      </c>
      <c r="C1440" s="128" t="s">
        <v>3184</v>
      </c>
      <c r="D1440" s="5">
        <v>2017</v>
      </c>
      <c r="E1440" s="82">
        <v>12</v>
      </c>
      <c r="F1440" s="2" t="s">
        <v>32</v>
      </c>
      <c r="G1440" s="219">
        <v>324</v>
      </c>
      <c r="H1440" s="17"/>
      <c r="I1440" s="19"/>
    </row>
    <row r="1441" spans="1:9" ht="13">
      <c r="A1441" s="39" t="s">
        <v>3187</v>
      </c>
      <c r="B1441" s="5" t="s">
        <v>3188</v>
      </c>
      <c r="C1441" s="28" t="s">
        <v>709</v>
      </c>
      <c r="D1441" s="5">
        <v>2020</v>
      </c>
      <c r="E1441" s="196">
        <v>12</v>
      </c>
      <c r="F1441" s="76" t="s">
        <v>32</v>
      </c>
      <c r="G1441" s="219">
        <v>126</v>
      </c>
      <c r="H1441" s="17"/>
      <c r="I1441" s="13"/>
    </row>
    <row r="1442" spans="1:9" ht="13">
      <c r="A1442" s="14" t="s">
        <v>3189</v>
      </c>
      <c r="B1442" s="5" t="s">
        <v>3190</v>
      </c>
      <c r="C1442" s="28" t="s">
        <v>3191</v>
      </c>
      <c r="D1442" s="5">
        <v>2020</v>
      </c>
      <c r="E1442" s="82">
        <v>12</v>
      </c>
      <c r="F1442" s="2" t="s">
        <v>32</v>
      </c>
      <c r="G1442" s="219">
        <v>228</v>
      </c>
      <c r="H1442" s="17"/>
      <c r="I1442" s="13"/>
    </row>
    <row r="1443" spans="1:9" ht="13">
      <c r="A1443" s="14" t="s">
        <v>3192</v>
      </c>
      <c r="B1443" s="5" t="s">
        <v>3193</v>
      </c>
      <c r="C1443" s="128" t="s">
        <v>3194</v>
      </c>
      <c r="D1443" s="5">
        <v>2020</v>
      </c>
      <c r="E1443" s="82">
        <v>12</v>
      </c>
      <c r="F1443" s="2" t="s">
        <v>32</v>
      </c>
      <c r="G1443" s="219">
        <v>246</v>
      </c>
      <c r="H1443" s="17"/>
      <c r="I1443" s="19"/>
    </row>
    <row r="1444" spans="1:9" ht="23">
      <c r="A1444" s="715" t="s">
        <v>3195</v>
      </c>
      <c r="B1444" s="689"/>
      <c r="C1444" s="689"/>
      <c r="D1444" s="689"/>
      <c r="E1444" s="689"/>
      <c r="F1444" s="689"/>
      <c r="G1444" s="689"/>
      <c r="H1444" s="689"/>
      <c r="I1444" s="690"/>
    </row>
    <row r="1445" spans="1:9" ht="18">
      <c r="A1445" s="696" t="s">
        <v>3196</v>
      </c>
      <c r="B1445" s="689"/>
      <c r="C1445" s="689"/>
      <c r="D1445" s="689"/>
      <c r="E1445" s="689"/>
      <c r="F1445" s="689"/>
      <c r="G1445" s="689"/>
      <c r="H1445" s="689"/>
      <c r="I1445" s="690"/>
    </row>
    <row r="1446" spans="1:9" ht="13">
      <c r="A1446" s="54" t="s">
        <v>3197</v>
      </c>
      <c r="B1446" s="5" t="s">
        <v>3198</v>
      </c>
      <c r="C1446" s="28" t="s">
        <v>3171</v>
      </c>
      <c r="D1446" s="5">
        <v>2022</v>
      </c>
      <c r="E1446" s="82">
        <v>12</v>
      </c>
      <c r="F1446" s="2" t="s">
        <v>32</v>
      </c>
      <c r="G1446" s="219">
        <v>168</v>
      </c>
      <c r="H1446" s="23"/>
      <c r="I1446" s="18">
        <v>1</v>
      </c>
    </row>
    <row r="1447" spans="1:9" ht="13">
      <c r="A1447" s="54" t="s">
        <v>3199</v>
      </c>
      <c r="B1447" s="5" t="s">
        <v>3200</v>
      </c>
      <c r="C1447" s="28" t="s">
        <v>3201</v>
      </c>
      <c r="D1447" s="5">
        <v>2022</v>
      </c>
      <c r="E1447" s="196">
        <v>12</v>
      </c>
      <c r="F1447" s="76" t="s">
        <v>32</v>
      </c>
      <c r="G1447" s="219">
        <v>168</v>
      </c>
      <c r="H1447" s="23"/>
      <c r="I1447" s="18">
        <v>1</v>
      </c>
    </row>
    <row r="1448" spans="1:9" ht="13">
      <c r="A1448" s="54" t="s">
        <v>3202</v>
      </c>
      <c r="B1448" s="5" t="s">
        <v>3203</v>
      </c>
      <c r="C1448" s="28" t="s">
        <v>3204</v>
      </c>
      <c r="D1448" s="5">
        <v>2022</v>
      </c>
      <c r="E1448" s="82">
        <v>12</v>
      </c>
      <c r="F1448" s="2" t="s">
        <v>32</v>
      </c>
      <c r="G1448" s="219">
        <v>168</v>
      </c>
      <c r="H1448" s="23"/>
      <c r="I1448" s="18">
        <v>1</v>
      </c>
    </row>
    <row r="1449" spans="1:9" ht="13">
      <c r="A1449" s="54" t="s">
        <v>3205</v>
      </c>
      <c r="B1449" s="58" t="s">
        <v>3206</v>
      </c>
      <c r="C1449" s="28" t="s">
        <v>3171</v>
      </c>
      <c r="D1449" s="5">
        <v>2019</v>
      </c>
      <c r="E1449" s="82">
        <v>12</v>
      </c>
      <c r="F1449" s="2" t="s">
        <v>32</v>
      </c>
      <c r="G1449" s="219">
        <v>276</v>
      </c>
      <c r="H1449" s="17"/>
      <c r="I1449" s="18"/>
    </row>
    <row r="1450" spans="1:9" ht="13">
      <c r="A1450" s="54" t="s">
        <v>3207</v>
      </c>
      <c r="B1450" s="58" t="s">
        <v>3208</v>
      </c>
      <c r="C1450" s="28" t="s">
        <v>3201</v>
      </c>
      <c r="D1450" s="5">
        <v>2019</v>
      </c>
      <c r="E1450" s="82">
        <v>12</v>
      </c>
      <c r="F1450" s="2" t="s">
        <v>32</v>
      </c>
      <c r="G1450" s="219">
        <v>276</v>
      </c>
      <c r="H1450" s="17"/>
      <c r="I1450" s="18"/>
    </row>
    <row r="1451" spans="1:9" ht="33">
      <c r="A1451" s="716" t="s">
        <v>3209</v>
      </c>
      <c r="B1451" s="689"/>
      <c r="C1451" s="689"/>
      <c r="D1451" s="689"/>
      <c r="E1451" s="689"/>
      <c r="F1451" s="689"/>
      <c r="G1451" s="689"/>
      <c r="H1451" s="689"/>
      <c r="I1451" s="690"/>
    </row>
    <row r="1452" spans="1:9" ht="18">
      <c r="A1452" s="696" t="s">
        <v>3210</v>
      </c>
      <c r="B1452" s="689"/>
      <c r="C1452" s="689"/>
      <c r="D1452" s="689"/>
      <c r="E1452" s="689"/>
      <c r="F1452" s="689"/>
      <c r="G1452" s="689"/>
      <c r="H1452" s="689"/>
      <c r="I1452" s="690"/>
    </row>
    <row r="1453" spans="1:9" ht="13">
      <c r="A1453" s="15" t="s">
        <v>3211</v>
      </c>
      <c r="B1453" s="79" t="s">
        <v>3212</v>
      </c>
      <c r="C1453" s="220" t="s">
        <v>2494</v>
      </c>
      <c r="D1453" s="5" t="s">
        <v>5</v>
      </c>
      <c r="E1453" s="4">
        <v>24</v>
      </c>
      <c r="F1453" s="5" t="s">
        <v>6</v>
      </c>
      <c r="G1453" s="29">
        <v>60</v>
      </c>
      <c r="H1453" s="23"/>
      <c r="I1453" s="18"/>
    </row>
    <row r="1454" spans="1:9" ht="13">
      <c r="A1454" s="39" t="s">
        <v>3213</v>
      </c>
      <c r="B1454" s="79" t="s">
        <v>3214</v>
      </c>
      <c r="C1454" s="220" t="s">
        <v>3215</v>
      </c>
      <c r="D1454" s="5" t="s">
        <v>5</v>
      </c>
      <c r="E1454" s="4">
        <v>24</v>
      </c>
      <c r="F1454" s="5" t="s">
        <v>6</v>
      </c>
      <c r="G1454" s="29">
        <v>60</v>
      </c>
      <c r="H1454" s="23"/>
      <c r="I1454" s="18"/>
    </row>
    <row r="1455" spans="1:9" ht="13">
      <c r="A1455" s="15" t="s">
        <v>3211</v>
      </c>
      <c r="B1455" s="79" t="s">
        <v>3216</v>
      </c>
      <c r="C1455" s="220" t="s">
        <v>3217</v>
      </c>
      <c r="D1455" s="5" t="s">
        <v>5</v>
      </c>
      <c r="E1455" s="4">
        <v>24</v>
      </c>
      <c r="F1455" s="5" t="s">
        <v>6</v>
      </c>
      <c r="G1455" s="29">
        <v>60</v>
      </c>
      <c r="H1455" s="23"/>
      <c r="I1455" s="18"/>
    </row>
    <row r="1456" spans="1:9" ht="13">
      <c r="A1456" s="15" t="s">
        <v>3218</v>
      </c>
      <c r="B1456" s="79" t="s">
        <v>3219</v>
      </c>
      <c r="C1456" s="220" t="s">
        <v>3220</v>
      </c>
      <c r="D1456" s="5" t="s">
        <v>5</v>
      </c>
      <c r="E1456" s="4">
        <v>24</v>
      </c>
      <c r="F1456" s="5" t="s">
        <v>6</v>
      </c>
      <c r="G1456" s="29">
        <v>60</v>
      </c>
      <c r="H1456" s="23"/>
      <c r="I1456" s="18"/>
    </row>
    <row r="1457" spans="1:9" ht="13">
      <c r="A1457" s="54" t="s">
        <v>3221</v>
      </c>
      <c r="B1457" s="79" t="s">
        <v>3222</v>
      </c>
      <c r="C1457" s="220" t="s">
        <v>3223</v>
      </c>
      <c r="D1457" s="5" t="s">
        <v>5</v>
      </c>
      <c r="E1457" s="4">
        <v>24</v>
      </c>
      <c r="F1457" s="5" t="s">
        <v>6</v>
      </c>
      <c r="G1457" s="29">
        <v>60</v>
      </c>
      <c r="H1457" s="23"/>
      <c r="I1457" s="18"/>
    </row>
    <row r="1458" spans="1:9" ht="13">
      <c r="A1458" s="25" t="s">
        <v>3224</v>
      </c>
      <c r="B1458" s="79" t="s">
        <v>3225</v>
      </c>
      <c r="C1458" s="220" t="s">
        <v>3215</v>
      </c>
      <c r="D1458" s="5" t="s">
        <v>5</v>
      </c>
      <c r="E1458" s="4">
        <v>24</v>
      </c>
      <c r="F1458" s="5" t="s">
        <v>6</v>
      </c>
      <c r="G1458" s="29">
        <v>60</v>
      </c>
      <c r="H1458" s="23"/>
      <c r="I1458" s="18" t="s">
        <v>3226</v>
      </c>
    </row>
    <row r="1459" spans="1:9" ht="13">
      <c r="A1459" s="15" t="s">
        <v>3227</v>
      </c>
      <c r="B1459" s="79" t="s">
        <v>3228</v>
      </c>
      <c r="C1459" s="220" t="s">
        <v>3229</v>
      </c>
      <c r="D1459" s="5" t="s">
        <v>5</v>
      </c>
      <c r="E1459" s="4">
        <v>24</v>
      </c>
      <c r="F1459" s="5" t="s">
        <v>3230</v>
      </c>
      <c r="G1459" s="29">
        <v>96</v>
      </c>
      <c r="H1459" s="23"/>
      <c r="I1459" s="18"/>
    </row>
    <row r="1460" spans="1:9" ht="13">
      <c r="A1460" s="15" t="s">
        <v>3231</v>
      </c>
      <c r="B1460" s="79" t="s">
        <v>3232</v>
      </c>
      <c r="C1460" s="220" t="s">
        <v>3220</v>
      </c>
      <c r="D1460" s="5">
        <v>2022</v>
      </c>
      <c r="E1460" s="4">
        <v>24</v>
      </c>
      <c r="F1460" s="5" t="s">
        <v>3230</v>
      </c>
      <c r="G1460" s="29">
        <v>84</v>
      </c>
      <c r="H1460" s="31"/>
      <c r="I1460" s="18"/>
    </row>
    <row r="1461" spans="1:9" ht="13">
      <c r="A1461" s="39" t="s">
        <v>3233</v>
      </c>
      <c r="B1461" s="5" t="s">
        <v>3234</v>
      </c>
      <c r="C1461" s="28" t="s">
        <v>3235</v>
      </c>
      <c r="D1461" s="5" t="s">
        <v>5</v>
      </c>
      <c r="E1461" s="4">
        <v>24</v>
      </c>
      <c r="F1461" s="5" t="s">
        <v>3230</v>
      </c>
      <c r="G1461" s="29">
        <v>96</v>
      </c>
      <c r="H1461" s="52"/>
      <c r="I1461" s="18">
        <v>1</v>
      </c>
    </row>
    <row r="1462" spans="1:9" ht="13">
      <c r="A1462" s="15" t="s">
        <v>3236</v>
      </c>
      <c r="B1462" s="5" t="s">
        <v>3237</v>
      </c>
      <c r="C1462" s="77" t="s">
        <v>2474</v>
      </c>
      <c r="D1462" s="5">
        <v>2022</v>
      </c>
      <c r="E1462" s="4">
        <v>24</v>
      </c>
      <c r="F1462" s="5" t="s">
        <v>3230</v>
      </c>
      <c r="G1462" s="29">
        <v>96</v>
      </c>
      <c r="H1462" s="23"/>
      <c r="I1462" s="18">
        <v>1</v>
      </c>
    </row>
    <row r="1463" spans="1:9" ht="13">
      <c r="A1463" s="54" t="s">
        <v>3238</v>
      </c>
      <c r="B1463" s="5" t="s">
        <v>3239</v>
      </c>
      <c r="C1463" s="77" t="s">
        <v>3240</v>
      </c>
      <c r="D1463" s="5">
        <v>2021</v>
      </c>
      <c r="E1463" s="4">
        <v>24</v>
      </c>
      <c r="F1463" s="5" t="s">
        <v>3230</v>
      </c>
      <c r="G1463" s="29">
        <v>96</v>
      </c>
      <c r="H1463" s="17"/>
      <c r="I1463" s="13"/>
    </row>
    <row r="1464" spans="1:9" ht="13">
      <c r="A1464" s="54" t="s">
        <v>3241</v>
      </c>
      <c r="B1464" s="79" t="s">
        <v>3242</v>
      </c>
      <c r="C1464" s="220" t="s">
        <v>3223</v>
      </c>
      <c r="D1464" s="5" t="s">
        <v>5</v>
      </c>
      <c r="E1464" s="4">
        <v>8</v>
      </c>
      <c r="F1464" s="5" t="s">
        <v>304</v>
      </c>
      <c r="G1464" s="29">
        <v>60</v>
      </c>
      <c r="H1464" s="17"/>
      <c r="I1464" s="13"/>
    </row>
    <row r="1465" spans="1:9" ht="23">
      <c r="A1465" s="717" t="s">
        <v>3243</v>
      </c>
      <c r="B1465" s="689"/>
      <c r="C1465" s="689"/>
      <c r="D1465" s="689"/>
      <c r="E1465" s="689"/>
      <c r="F1465" s="689"/>
      <c r="G1465" s="689"/>
      <c r="H1465" s="689"/>
      <c r="I1465" s="690"/>
    </row>
    <row r="1466" spans="1:9" ht="18">
      <c r="A1466" s="696" t="s">
        <v>3244</v>
      </c>
      <c r="B1466" s="689"/>
      <c r="C1466" s="689"/>
      <c r="D1466" s="689"/>
      <c r="E1466" s="689"/>
      <c r="F1466" s="689"/>
      <c r="G1466" s="689"/>
      <c r="H1466" s="689"/>
      <c r="I1466" s="690"/>
    </row>
    <row r="1467" spans="1:9" ht="13">
      <c r="A1467" s="54" t="s">
        <v>3245</v>
      </c>
      <c r="B1467" s="5" t="s">
        <v>3246</v>
      </c>
      <c r="C1467" s="28" t="s">
        <v>3247</v>
      </c>
      <c r="D1467" s="5" t="s">
        <v>5</v>
      </c>
      <c r="E1467" s="4">
        <v>12</v>
      </c>
      <c r="F1467" s="2" t="s">
        <v>32</v>
      </c>
      <c r="G1467" s="29">
        <v>246</v>
      </c>
      <c r="H1467" s="23"/>
      <c r="I1467" s="8"/>
    </row>
    <row r="1468" spans="1:9" ht="13">
      <c r="A1468" s="14" t="s">
        <v>3248</v>
      </c>
      <c r="B1468" s="5" t="s">
        <v>3249</v>
      </c>
      <c r="C1468" s="28" t="s">
        <v>307</v>
      </c>
      <c r="D1468" s="5" t="s">
        <v>5</v>
      </c>
      <c r="E1468" s="4">
        <v>12</v>
      </c>
      <c r="F1468" s="2" t="s">
        <v>32</v>
      </c>
      <c r="G1468" s="29">
        <v>246</v>
      </c>
      <c r="H1468" s="17"/>
      <c r="I1468" s="13"/>
    </row>
    <row r="1469" spans="1:9" ht="13">
      <c r="A1469" s="10" t="s">
        <v>3250</v>
      </c>
      <c r="B1469" s="5" t="s">
        <v>3251</v>
      </c>
      <c r="C1469" s="28" t="s">
        <v>133</v>
      </c>
      <c r="D1469" s="5">
        <v>2019</v>
      </c>
      <c r="E1469" s="4">
        <v>12</v>
      </c>
      <c r="F1469" s="2" t="s">
        <v>32</v>
      </c>
      <c r="G1469" s="29">
        <v>396</v>
      </c>
      <c r="H1469" s="23"/>
      <c r="I1469" s="18"/>
    </row>
    <row r="1470" spans="1:9" ht="13">
      <c r="A1470" s="10" t="s">
        <v>3252</v>
      </c>
      <c r="B1470" s="5" t="s">
        <v>3253</v>
      </c>
      <c r="C1470" s="28" t="s">
        <v>3254</v>
      </c>
      <c r="D1470" s="5">
        <v>2019</v>
      </c>
      <c r="E1470" s="4">
        <v>12</v>
      </c>
      <c r="F1470" s="2" t="s">
        <v>32</v>
      </c>
      <c r="G1470" s="29">
        <v>348</v>
      </c>
      <c r="H1470" s="23"/>
      <c r="I1470" s="18"/>
    </row>
    <row r="1471" spans="1:9" ht="13">
      <c r="A1471" s="10" t="s">
        <v>3255</v>
      </c>
      <c r="B1471" s="5" t="s">
        <v>3256</v>
      </c>
      <c r="C1471" s="28" t="s">
        <v>3257</v>
      </c>
      <c r="D1471" s="5">
        <v>2020</v>
      </c>
      <c r="E1471" s="4">
        <v>12</v>
      </c>
      <c r="F1471" s="2" t="s">
        <v>32</v>
      </c>
      <c r="G1471" s="29">
        <v>360</v>
      </c>
      <c r="H1471" s="23"/>
      <c r="I1471" s="18"/>
    </row>
    <row r="1472" spans="1:9" ht="13">
      <c r="A1472" s="10" t="s">
        <v>3258</v>
      </c>
      <c r="B1472" s="5" t="s">
        <v>3256</v>
      </c>
      <c r="C1472" s="28" t="s">
        <v>3257</v>
      </c>
      <c r="D1472" s="5">
        <v>2018</v>
      </c>
      <c r="E1472" s="4">
        <v>12</v>
      </c>
      <c r="F1472" s="2" t="s">
        <v>32</v>
      </c>
      <c r="G1472" s="29">
        <v>366</v>
      </c>
      <c r="H1472" s="17"/>
      <c r="I1472" s="18">
        <v>1</v>
      </c>
    </row>
    <row r="1473" spans="1:9" ht="13">
      <c r="A1473" s="54" t="s">
        <v>3259</v>
      </c>
      <c r="B1473" s="5" t="s">
        <v>3260</v>
      </c>
      <c r="C1473" s="28" t="s">
        <v>3247</v>
      </c>
      <c r="D1473" s="5">
        <v>2020</v>
      </c>
      <c r="E1473" s="4">
        <v>12</v>
      </c>
      <c r="F1473" s="2" t="s">
        <v>32</v>
      </c>
      <c r="G1473" s="29">
        <v>360</v>
      </c>
      <c r="H1473" s="23"/>
      <c r="I1473" s="18"/>
    </row>
    <row r="1474" spans="1:9" ht="13">
      <c r="A1474" s="10" t="s">
        <v>3261</v>
      </c>
      <c r="B1474" s="5" t="s">
        <v>3262</v>
      </c>
      <c r="C1474" s="28" t="s">
        <v>3158</v>
      </c>
      <c r="D1474" s="5">
        <v>2020</v>
      </c>
      <c r="E1474" s="4">
        <v>12</v>
      </c>
      <c r="F1474" s="2" t="s">
        <v>32</v>
      </c>
      <c r="G1474" s="29">
        <v>360</v>
      </c>
      <c r="H1474" s="23"/>
      <c r="I1474" s="18"/>
    </row>
    <row r="1475" spans="1:9" ht="13">
      <c r="A1475" s="10" t="s">
        <v>3263</v>
      </c>
      <c r="B1475" s="5" t="s">
        <v>3262</v>
      </c>
      <c r="C1475" s="28" t="s">
        <v>3158</v>
      </c>
      <c r="D1475" s="5">
        <v>2018</v>
      </c>
      <c r="E1475" s="4">
        <v>12</v>
      </c>
      <c r="F1475" s="2" t="s">
        <v>32</v>
      </c>
      <c r="G1475" s="29">
        <v>366</v>
      </c>
      <c r="H1475" s="17"/>
      <c r="I1475" s="18">
        <v>1</v>
      </c>
    </row>
    <row r="1476" spans="1:9" ht="13">
      <c r="A1476" s="14" t="s">
        <v>3264</v>
      </c>
      <c r="B1476" s="5" t="s">
        <v>3265</v>
      </c>
      <c r="C1476" s="28" t="s">
        <v>346</v>
      </c>
      <c r="D1476" s="5">
        <v>2002</v>
      </c>
      <c r="E1476" s="4">
        <v>12</v>
      </c>
      <c r="F1476" s="2" t="s">
        <v>32</v>
      </c>
      <c r="G1476" s="29">
        <v>390</v>
      </c>
      <c r="H1476" s="17"/>
      <c r="I1476" s="30"/>
    </row>
    <row r="1477" spans="1:9" ht="13">
      <c r="A1477" s="14" t="s">
        <v>3266</v>
      </c>
      <c r="B1477" s="5" t="s">
        <v>3267</v>
      </c>
      <c r="C1477" s="28" t="s">
        <v>307</v>
      </c>
      <c r="D1477" s="5">
        <v>2013</v>
      </c>
      <c r="E1477" s="4">
        <v>12</v>
      </c>
      <c r="F1477" s="2" t="s">
        <v>32</v>
      </c>
      <c r="G1477" s="29">
        <v>660</v>
      </c>
      <c r="H1477" s="17"/>
      <c r="I1477" s="19"/>
    </row>
    <row r="1478" spans="1:9" ht="23">
      <c r="A1478" s="717" t="s">
        <v>3268</v>
      </c>
      <c r="B1478" s="689"/>
      <c r="C1478" s="689"/>
      <c r="D1478" s="689"/>
      <c r="E1478" s="689"/>
      <c r="F1478" s="689"/>
      <c r="G1478" s="689"/>
      <c r="H1478" s="689"/>
      <c r="I1478" s="690"/>
    </row>
    <row r="1479" spans="1:9" ht="18">
      <c r="A1479" s="696" t="s">
        <v>3269</v>
      </c>
      <c r="B1479" s="689"/>
      <c r="C1479" s="689"/>
      <c r="D1479" s="689"/>
      <c r="E1479" s="689"/>
      <c r="F1479" s="689"/>
      <c r="G1479" s="689"/>
      <c r="H1479" s="689"/>
      <c r="I1479" s="690"/>
    </row>
    <row r="1480" spans="1:9" ht="13">
      <c r="A1480" s="39" t="s">
        <v>3270</v>
      </c>
      <c r="B1480" s="5" t="s">
        <v>3271</v>
      </c>
      <c r="C1480" s="28" t="s">
        <v>3272</v>
      </c>
      <c r="D1480" s="5">
        <v>2023</v>
      </c>
      <c r="E1480" s="4">
        <v>12</v>
      </c>
      <c r="F1480" s="5" t="s">
        <v>32</v>
      </c>
      <c r="G1480" s="29">
        <v>156</v>
      </c>
      <c r="H1480" s="23"/>
      <c r="I1480" s="18"/>
    </row>
    <row r="1481" spans="1:9" ht="13">
      <c r="A1481" s="25" t="s">
        <v>3273</v>
      </c>
      <c r="B1481" s="5" t="s">
        <v>3274</v>
      </c>
      <c r="C1481" s="88" t="s">
        <v>3275</v>
      </c>
      <c r="D1481" s="89">
        <v>2021</v>
      </c>
      <c r="E1481" s="90">
        <v>12</v>
      </c>
      <c r="F1481" s="89" t="s">
        <v>32</v>
      </c>
      <c r="G1481" s="221">
        <v>150</v>
      </c>
      <c r="H1481" s="222" t="s">
        <v>3276</v>
      </c>
      <c r="I1481" s="19"/>
    </row>
    <row r="1482" spans="1:9" ht="13">
      <c r="A1482" s="25" t="s">
        <v>3277</v>
      </c>
      <c r="B1482" s="5" t="s">
        <v>3278</v>
      </c>
      <c r="C1482" s="28" t="s">
        <v>3275</v>
      </c>
      <c r="D1482" s="5">
        <v>2021</v>
      </c>
      <c r="E1482" s="4">
        <v>12</v>
      </c>
      <c r="F1482" s="5" t="s">
        <v>32</v>
      </c>
      <c r="G1482" s="29">
        <v>180</v>
      </c>
      <c r="H1482" s="17"/>
      <c r="I1482" s="18">
        <v>1</v>
      </c>
    </row>
    <row r="1483" spans="1:9" ht="23">
      <c r="A1483" s="717" t="s">
        <v>3279</v>
      </c>
      <c r="B1483" s="689"/>
      <c r="C1483" s="689"/>
      <c r="D1483" s="689"/>
      <c r="E1483" s="689"/>
      <c r="F1483" s="689"/>
      <c r="G1483" s="689"/>
      <c r="H1483" s="689"/>
      <c r="I1483" s="690"/>
    </row>
    <row r="1484" spans="1:9" ht="18">
      <c r="A1484" s="696" t="s">
        <v>3280</v>
      </c>
      <c r="B1484" s="689"/>
      <c r="C1484" s="689"/>
      <c r="D1484" s="689"/>
      <c r="E1484" s="689"/>
      <c r="F1484" s="689"/>
      <c r="G1484" s="689"/>
      <c r="H1484" s="689"/>
      <c r="I1484" s="690"/>
    </row>
    <row r="1485" spans="1:9" ht="13">
      <c r="A1485" s="1" t="s">
        <v>3281</v>
      </c>
      <c r="B1485" s="5" t="s">
        <v>3282</v>
      </c>
      <c r="C1485" s="28" t="s">
        <v>1838</v>
      </c>
      <c r="D1485" s="5" t="s">
        <v>5</v>
      </c>
      <c r="E1485" s="4">
        <v>12</v>
      </c>
      <c r="F1485" s="2" t="s">
        <v>32</v>
      </c>
      <c r="G1485" s="46">
        <v>96</v>
      </c>
      <c r="H1485" s="168" t="s">
        <v>1717</v>
      </c>
      <c r="I1485" s="19"/>
    </row>
    <row r="1486" spans="1:9" ht="13">
      <c r="A1486" s="37" t="s">
        <v>3283</v>
      </c>
      <c r="B1486" s="5" t="s">
        <v>3284</v>
      </c>
      <c r="C1486" s="28" t="s">
        <v>3285</v>
      </c>
      <c r="D1486" s="5" t="s">
        <v>5</v>
      </c>
      <c r="E1486" s="4">
        <v>12</v>
      </c>
      <c r="F1486" s="2" t="s">
        <v>32</v>
      </c>
      <c r="G1486" s="46">
        <v>96</v>
      </c>
      <c r="H1486" s="168" t="s">
        <v>1717</v>
      </c>
      <c r="I1486" s="19"/>
    </row>
    <row r="1487" spans="1:9" ht="13">
      <c r="A1487" s="1" t="s">
        <v>3286</v>
      </c>
      <c r="B1487" s="5" t="s">
        <v>3287</v>
      </c>
      <c r="C1487" s="28" t="s">
        <v>3288</v>
      </c>
      <c r="D1487" s="5" t="s">
        <v>5</v>
      </c>
      <c r="E1487" s="4">
        <v>12</v>
      </c>
      <c r="F1487" s="2" t="s">
        <v>32</v>
      </c>
      <c r="G1487" s="29">
        <v>120</v>
      </c>
      <c r="H1487" s="17"/>
      <c r="I1487" s="13"/>
    </row>
    <row r="1488" spans="1:9" ht="13">
      <c r="A1488" s="1" t="s">
        <v>3289</v>
      </c>
      <c r="B1488" s="5" t="s">
        <v>3290</v>
      </c>
      <c r="C1488" s="28" t="s">
        <v>3288</v>
      </c>
      <c r="D1488" s="5">
        <v>2018</v>
      </c>
      <c r="E1488" s="4">
        <v>12</v>
      </c>
      <c r="F1488" s="2" t="s">
        <v>32</v>
      </c>
      <c r="G1488" s="29">
        <v>114</v>
      </c>
      <c r="H1488" s="44"/>
      <c r="I1488" s="13"/>
    </row>
    <row r="1489" spans="1:9" ht="13">
      <c r="A1489" s="1" t="s">
        <v>3291</v>
      </c>
      <c r="B1489" s="5" t="s">
        <v>3157</v>
      </c>
      <c r="C1489" s="28" t="s">
        <v>3158</v>
      </c>
      <c r="D1489" s="5">
        <v>2022</v>
      </c>
      <c r="E1489" s="4">
        <v>12</v>
      </c>
      <c r="F1489" s="2" t="s">
        <v>32</v>
      </c>
      <c r="G1489" s="29">
        <v>108</v>
      </c>
      <c r="H1489" s="44"/>
      <c r="I1489" s="13"/>
    </row>
    <row r="1490" spans="1:9" ht="23">
      <c r="A1490" s="717" t="s">
        <v>3292</v>
      </c>
      <c r="B1490" s="689"/>
      <c r="C1490" s="689"/>
      <c r="D1490" s="689"/>
      <c r="E1490" s="689"/>
      <c r="F1490" s="689"/>
      <c r="G1490" s="689"/>
      <c r="H1490" s="689"/>
      <c r="I1490" s="690"/>
    </row>
    <row r="1491" spans="1:9" ht="18">
      <c r="A1491" s="696" t="s">
        <v>3293</v>
      </c>
      <c r="B1491" s="689"/>
      <c r="C1491" s="689"/>
      <c r="D1491" s="689"/>
      <c r="E1491" s="689"/>
      <c r="F1491" s="689"/>
      <c r="G1491" s="689"/>
      <c r="H1491" s="689"/>
      <c r="I1491" s="690"/>
    </row>
    <row r="1492" spans="1:9" ht="13">
      <c r="A1492" s="15" t="s">
        <v>3294</v>
      </c>
      <c r="B1492" s="5" t="s">
        <v>3295</v>
      </c>
      <c r="C1492" s="28" t="s">
        <v>3296</v>
      </c>
      <c r="D1492" s="5">
        <v>2021</v>
      </c>
      <c r="E1492" s="4">
        <v>12</v>
      </c>
      <c r="F1492" s="2" t="s">
        <v>32</v>
      </c>
      <c r="G1492" s="29">
        <v>120</v>
      </c>
      <c r="H1492" s="17"/>
      <c r="I1492" s="19"/>
    </row>
    <row r="1493" spans="1:9" ht="13">
      <c r="A1493" s="25" t="s">
        <v>3297</v>
      </c>
      <c r="B1493" s="5" t="s">
        <v>3298</v>
      </c>
      <c r="C1493" s="28" t="s">
        <v>3299</v>
      </c>
      <c r="D1493" s="5">
        <v>2021</v>
      </c>
      <c r="E1493" s="4">
        <v>12</v>
      </c>
      <c r="F1493" s="2" t="s">
        <v>32</v>
      </c>
      <c r="G1493" s="29">
        <v>132</v>
      </c>
      <c r="H1493" s="17"/>
      <c r="I1493" s="19"/>
    </row>
    <row r="1494" spans="1:9" ht="13">
      <c r="A1494" s="15" t="s">
        <v>3300</v>
      </c>
      <c r="B1494" s="5" t="s">
        <v>3301</v>
      </c>
      <c r="C1494" s="28" t="s">
        <v>3302</v>
      </c>
      <c r="D1494" s="5">
        <v>2021</v>
      </c>
      <c r="E1494" s="4">
        <v>12</v>
      </c>
      <c r="F1494" s="2" t="s">
        <v>32</v>
      </c>
      <c r="G1494" s="29">
        <v>174</v>
      </c>
      <c r="H1494" s="17"/>
      <c r="I1494" s="18">
        <v>1</v>
      </c>
    </row>
    <row r="1495" spans="1:9" ht="13">
      <c r="A1495" s="25" t="s">
        <v>3303</v>
      </c>
      <c r="B1495" s="5" t="s">
        <v>3304</v>
      </c>
      <c r="C1495" s="28" t="s">
        <v>3299</v>
      </c>
      <c r="D1495" s="5">
        <v>2020</v>
      </c>
      <c r="E1495" s="4">
        <v>12</v>
      </c>
      <c r="F1495" s="2" t="s">
        <v>32</v>
      </c>
      <c r="G1495" s="29">
        <v>348</v>
      </c>
      <c r="H1495" s="17"/>
      <c r="I1495" s="19"/>
    </row>
    <row r="1496" spans="1:9" ht="13">
      <c r="A1496" s="39" t="s">
        <v>3305</v>
      </c>
      <c r="B1496" s="5" t="s">
        <v>3306</v>
      </c>
      <c r="C1496" s="28" t="s">
        <v>3299</v>
      </c>
      <c r="D1496" s="5">
        <v>2021</v>
      </c>
      <c r="E1496" s="4">
        <v>12</v>
      </c>
      <c r="F1496" s="2" t="s">
        <v>32</v>
      </c>
      <c r="G1496" s="29">
        <v>174</v>
      </c>
      <c r="H1496" s="17"/>
      <c r="I1496" s="18">
        <v>1</v>
      </c>
    </row>
    <row r="1497" spans="1:9" ht="13">
      <c r="A1497" s="25" t="s">
        <v>3307</v>
      </c>
      <c r="B1497" s="5" t="s">
        <v>3308</v>
      </c>
      <c r="C1497" s="28" t="s">
        <v>3299</v>
      </c>
      <c r="D1497" s="5">
        <v>2020</v>
      </c>
      <c r="E1497" s="4">
        <v>12</v>
      </c>
      <c r="F1497" s="2" t="s">
        <v>32</v>
      </c>
      <c r="G1497" s="29">
        <v>360</v>
      </c>
      <c r="H1497" s="17"/>
      <c r="I1497" s="223"/>
    </row>
    <row r="1498" spans="1:9" ht="13">
      <c r="A1498" s="25" t="s">
        <v>3309</v>
      </c>
      <c r="B1498" s="5" t="s">
        <v>3310</v>
      </c>
      <c r="C1498" s="28" t="s">
        <v>3299</v>
      </c>
      <c r="D1498" s="5">
        <v>2020</v>
      </c>
      <c r="E1498" s="4">
        <v>12</v>
      </c>
      <c r="F1498" s="2" t="s">
        <v>32</v>
      </c>
      <c r="G1498" s="29">
        <v>222</v>
      </c>
      <c r="H1498" s="17"/>
      <c r="I1498" s="18">
        <v>1</v>
      </c>
    </row>
    <row r="1499" spans="1:9" ht="13">
      <c r="A1499" s="25" t="s">
        <v>3311</v>
      </c>
      <c r="B1499" s="5" t="s">
        <v>3312</v>
      </c>
      <c r="C1499" s="28" t="s">
        <v>3299</v>
      </c>
      <c r="D1499" s="5">
        <v>2019</v>
      </c>
      <c r="E1499" s="4">
        <v>12</v>
      </c>
      <c r="F1499" s="2" t="s">
        <v>32</v>
      </c>
      <c r="G1499" s="34">
        <v>360</v>
      </c>
      <c r="H1499" s="117"/>
      <c r="I1499" s="19"/>
    </row>
    <row r="1500" spans="1:9" ht="23">
      <c r="A1500" s="717" t="s">
        <v>3313</v>
      </c>
      <c r="B1500" s="689"/>
      <c r="C1500" s="689"/>
      <c r="D1500" s="689"/>
      <c r="E1500" s="689"/>
      <c r="F1500" s="689"/>
      <c r="G1500" s="689"/>
      <c r="H1500" s="689"/>
      <c r="I1500" s="690"/>
    </row>
    <row r="1501" spans="1:9" ht="18">
      <c r="A1501" s="694" t="s">
        <v>3314</v>
      </c>
      <c r="B1501" s="689"/>
      <c r="C1501" s="689"/>
      <c r="D1501" s="689"/>
      <c r="E1501" s="689"/>
      <c r="F1501" s="689"/>
      <c r="G1501" s="689"/>
      <c r="H1501" s="689"/>
      <c r="I1501" s="690"/>
    </row>
    <row r="1502" spans="1:9" ht="13">
      <c r="A1502" s="15" t="s">
        <v>3315</v>
      </c>
      <c r="B1502" s="79" t="s">
        <v>3316</v>
      </c>
      <c r="C1502" s="220" t="s">
        <v>3220</v>
      </c>
      <c r="D1502" s="5" t="s">
        <v>5</v>
      </c>
      <c r="E1502" s="4">
        <v>12</v>
      </c>
      <c r="F1502" s="5" t="s">
        <v>32</v>
      </c>
      <c r="G1502" s="29">
        <v>132</v>
      </c>
      <c r="H1502" s="23"/>
      <c r="I1502" s="18"/>
    </row>
    <row r="1503" spans="1:9" ht="13">
      <c r="A1503" s="40" t="s">
        <v>3317</v>
      </c>
      <c r="B1503" s="5" t="s">
        <v>3318</v>
      </c>
      <c r="C1503" s="28" t="s">
        <v>3215</v>
      </c>
      <c r="D1503" s="5" t="s">
        <v>5</v>
      </c>
      <c r="E1503" s="4">
        <v>12</v>
      </c>
      <c r="F1503" s="5" t="s">
        <v>32</v>
      </c>
      <c r="G1503" s="29">
        <v>132</v>
      </c>
      <c r="H1503" s="23"/>
      <c r="I1503" s="18"/>
    </row>
    <row r="1504" spans="1:9" ht="13">
      <c r="A1504" s="15" t="s">
        <v>3319</v>
      </c>
      <c r="B1504" s="5" t="s">
        <v>3320</v>
      </c>
      <c r="C1504" s="220" t="s">
        <v>3220</v>
      </c>
      <c r="D1504" s="5">
        <v>2022</v>
      </c>
      <c r="E1504" s="4">
        <v>12</v>
      </c>
      <c r="F1504" s="5" t="s">
        <v>32</v>
      </c>
      <c r="G1504" s="29">
        <v>90</v>
      </c>
      <c r="H1504" s="23"/>
      <c r="I1504" s="18">
        <v>1</v>
      </c>
    </row>
    <row r="1505" spans="1:9" ht="13">
      <c r="A1505" s="15" t="s">
        <v>3321</v>
      </c>
      <c r="B1505" s="5" t="s">
        <v>3322</v>
      </c>
      <c r="C1505" s="220" t="s">
        <v>3220</v>
      </c>
      <c r="D1505" s="5" t="s">
        <v>5</v>
      </c>
      <c r="E1505" s="4">
        <v>1</v>
      </c>
      <c r="F1505" s="5" t="s">
        <v>2589</v>
      </c>
      <c r="G1505" s="29">
        <v>120</v>
      </c>
      <c r="H1505" s="23"/>
      <c r="I1505" s="18">
        <v>1</v>
      </c>
    </row>
    <row r="1506" spans="1:9" ht="13">
      <c r="A1506" s="15" t="s">
        <v>3323</v>
      </c>
      <c r="B1506" s="5" t="s">
        <v>3324</v>
      </c>
      <c r="C1506" s="220" t="s">
        <v>3220</v>
      </c>
      <c r="D1506" s="5">
        <v>2024</v>
      </c>
      <c r="E1506" s="4">
        <v>12</v>
      </c>
      <c r="F1506" s="5" t="s">
        <v>32</v>
      </c>
      <c r="G1506" s="29">
        <v>120</v>
      </c>
      <c r="H1506" s="23"/>
      <c r="I1506" s="18"/>
    </row>
    <row r="1507" spans="1:9" ht="13">
      <c r="A1507" s="15" t="s">
        <v>3325</v>
      </c>
      <c r="B1507" s="5" t="s">
        <v>3326</v>
      </c>
      <c r="C1507" s="28" t="s">
        <v>3327</v>
      </c>
      <c r="D1507" s="5">
        <v>2023</v>
      </c>
      <c r="E1507" s="4">
        <v>12</v>
      </c>
      <c r="F1507" s="5" t="s">
        <v>32</v>
      </c>
      <c r="G1507" s="29">
        <v>120</v>
      </c>
      <c r="H1507" s="23"/>
      <c r="I1507" s="18"/>
    </row>
    <row r="1508" spans="1:9" ht="13">
      <c r="A1508" s="40" t="s">
        <v>3328</v>
      </c>
      <c r="B1508" s="5" t="s">
        <v>3329</v>
      </c>
      <c r="C1508" s="28" t="s">
        <v>3215</v>
      </c>
      <c r="D1508" s="5">
        <v>2021</v>
      </c>
      <c r="E1508" s="4">
        <v>12</v>
      </c>
      <c r="F1508" s="5" t="s">
        <v>32</v>
      </c>
      <c r="G1508" s="29">
        <v>114</v>
      </c>
      <c r="H1508" s="44"/>
      <c r="I1508" s="19"/>
    </row>
    <row r="1509" spans="1:9" ht="13">
      <c r="A1509" s="25" t="s">
        <v>3330</v>
      </c>
      <c r="B1509" s="5" t="s">
        <v>3331</v>
      </c>
      <c r="C1509" s="28" t="s">
        <v>3215</v>
      </c>
      <c r="D1509" s="5">
        <v>2022</v>
      </c>
      <c r="E1509" s="4">
        <v>12</v>
      </c>
      <c r="F1509" s="5" t="s">
        <v>32</v>
      </c>
      <c r="G1509" s="29">
        <v>90</v>
      </c>
      <c r="H1509" s="23"/>
      <c r="I1509" s="18"/>
    </row>
    <row r="1510" spans="1:9" ht="13">
      <c r="A1510" s="25" t="s">
        <v>3332</v>
      </c>
      <c r="B1510" s="5" t="s">
        <v>3333</v>
      </c>
      <c r="C1510" s="28" t="s">
        <v>3215</v>
      </c>
      <c r="D1510" s="5" t="s">
        <v>5</v>
      </c>
      <c r="E1510" s="4">
        <v>1</v>
      </c>
      <c r="F1510" s="5" t="s">
        <v>2589</v>
      </c>
      <c r="G1510" s="29">
        <v>120</v>
      </c>
      <c r="H1510" s="23"/>
      <c r="I1510" s="18"/>
    </row>
    <row r="1511" spans="1:9" ht="13">
      <c r="A1511" s="25" t="s">
        <v>3334</v>
      </c>
      <c r="B1511" s="5" t="s">
        <v>3335</v>
      </c>
      <c r="C1511" s="28" t="s">
        <v>3215</v>
      </c>
      <c r="D1511" s="5">
        <v>2023</v>
      </c>
      <c r="E1511" s="4">
        <v>12</v>
      </c>
      <c r="F1511" s="5" t="s">
        <v>32</v>
      </c>
      <c r="G1511" s="29">
        <v>120</v>
      </c>
      <c r="H1511" s="23"/>
      <c r="I1511" s="18"/>
    </row>
    <row r="1512" spans="1:9" ht="13">
      <c r="A1512" s="54" t="s">
        <v>3336</v>
      </c>
      <c r="B1512" s="5" t="s">
        <v>3337</v>
      </c>
      <c r="C1512" s="220" t="s">
        <v>3338</v>
      </c>
      <c r="D1512" s="5" t="s">
        <v>5</v>
      </c>
      <c r="E1512" s="4">
        <v>12</v>
      </c>
      <c r="F1512" s="5" t="s">
        <v>32</v>
      </c>
      <c r="G1512" s="29">
        <v>126</v>
      </c>
      <c r="H1512" s="52"/>
      <c r="I1512" s="18"/>
    </row>
    <row r="1513" spans="1:9" ht="13">
      <c r="A1513" s="54" t="s">
        <v>3339</v>
      </c>
      <c r="B1513" s="5" t="s">
        <v>3340</v>
      </c>
      <c r="C1513" s="220" t="s">
        <v>3338</v>
      </c>
      <c r="D1513" s="5" t="s">
        <v>5</v>
      </c>
      <c r="E1513" s="4">
        <v>1</v>
      </c>
      <c r="F1513" s="5" t="s">
        <v>2589</v>
      </c>
      <c r="G1513" s="29">
        <v>120</v>
      </c>
      <c r="H1513" s="52"/>
      <c r="I1513" s="18"/>
    </row>
    <row r="1514" spans="1:9" ht="13">
      <c r="A1514" s="15" t="s">
        <v>3341</v>
      </c>
      <c r="B1514" s="5" t="s">
        <v>3342</v>
      </c>
      <c r="C1514" s="220" t="s">
        <v>3220</v>
      </c>
      <c r="D1514" s="5">
        <v>2022</v>
      </c>
      <c r="E1514" s="4">
        <v>12</v>
      </c>
      <c r="F1514" s="5" t="s">
        <v>32</v>
      </c>
      <c r="G1514" s="29">
        <v>204</v>
      </c>
      <c r="H1514" s="52"/>
      <c r="I1514" s="18"/>
    </row>
    <row r="1515" spans="1:9" ht="13">
      <c r="A1515" s="15" t="s">
        <v>3343</v>
      </c>
      <c r="B1515" s="5" t="s">
        <v>3344</v>
      </c>
      <c r="C1515" s="28" t="s">
        <v>3327</v>
      </c>
      <c r="D1515" s="5">
        <v>2021</v>
      </c>
      <c r="E1515" s="4">
        <v>12</v>
      </c>
      <c r="F1515" s="5" t="s">
        <v>32</v>
      </c>
      <c r="G1515" s="29">
        <v>192</v>
      </c>
      <c r="H1515" s="52"/>
      <c r="I1515" s="18"/>
    </row>
    <row r="1516" spans="1:9" ht="13">
      <c r="A1516" s="40" t="s">
        <v>3345</v>
      </c>
      <c r="B1516" s="5" t="s">
        <v>3346</v>
      </c>
      <c r="C1516" s="28" t="s">
        <v>3215</v>
      </c>
      <c r="D1516" s="5">
        <v>2023</v>
      </c>
      <c r="E1516" s="4">
        <v>12</v>
      </c>
      <c r="F1516" s="5" t="s">
        <v>32</v>
      </c>
      <c r="G1516" s="29">
        <v>204</v>
      </c>
      <c r="H1516" s="52"/>
      <c r="I1516" s="18"/>
    </row>
    <row r="1517" spans="1:9" ht="13">
      <c r="A1517" s="25" t="s">
        <v>3347</v>
      </c>
      <c r="B1517" s="5" t="s">
        <v>3348</v>
      </c>
      <c r="C1517" s="28" t="s">
        <v>3215</v>
      </c>
      <c r="D1517" s="5">
        <v>2021</v>
      </c>
      <c r="E1517" s="4">
        <v>12</v>
      </c>
      <c r="F1517" s="5" t="s">
        <v>32</v>
      </c>
      <c r="G1517" s="29">
        <v>192</v>
      </c>
      <c r="H1517" s="44"/>
      <c r="I1517" s="18"/>
    </row>
    <row r="1518" spans="1:9" ht="13">
      <c r="A1518" s="25" t="s">
        <v>3349</v>
      </c>
      <c r="B1518" s="5" t="s">
        <v>3348</v>
      </c>
      <c r="C1518" s="28" t="s">
        <v>3215</v>
      </c>
      <c r="D1518" s="5">
        <v>2022</v>
      </c>
      <c r="E1518" s="4">
        <v>12</v>
      </c>
      <c r="F1518" s="5" t="s">
        <v>32</v>
      </c>
      <c r="G1518" s="29">
        <v>204</v>
      </c>
      <c r="H1518" s="52"/>
      <c r="I1518" s="18"/>
    </row>
    <row r="1519" spans="1:9" ht="18">
      <c r="A1519" s="694" t="s">
        <v>3350</v>
      </c>
      <c r="B1519" s="689"/>
      <c r="C1519" s="689"/>
      <c r="D1519" s="689"/>
      <c r="E1519" s="689"/>
      <c r="F1519" s="689"/>
      <c r="G1519" s="689"/>
      <c r="H1519" s="689"/>
      <c r="I1519" s="690"/>
    </row>
    <row r="1520" spans="1:9" ht="13">
      <c r="A1520" s="15" t="s">
        <v>3351</v>
      </c>
      <c r="B1520" s="5" t="s">
        <v>3352</v>
      </c>
      <c r="C1520" s="28" t="s">
        <v>3353</v>
      </c>
      <c r="D1520" s="2">
        <v>2022</v>
      </c>
      <c r="E1520" s="4">
        <v>12</v>
      </c>
      <c r="F1520" s="2" t="s">
        <v>32</v>
      </c>
      <c r="G1520" s="29">
        <v>174</v>
      </c>
      <c r="H1520" s="224"/>
      <c r="I1520" s="30"/>
    </row>
    <row r="1521" spans="1:9" ht="13">
      <c r="A1521" s="10" t="s">
        <v>3354</v>
      </c>
      <c r="B1521" s="2" t="s">
        <v>3355</v>
      </c>
      <c r="C1521" s="220" t="s">
        <v>3220</v>
      </c>
      <c r="D1521" s="2">
        <v>2023</v>
      </c>
      <c r="E1521" s="4">
        <v>12</v>
      </c>
      <c r="F1521" s="2" t="s">
        <v>32</v>
      </c>
      <c r="G1521" s="6">
        <v>144</v>
      </c>
      <c r="H1521" s="26"/>
      <c r="I1521" s="32"/>
    </row>
    <row r="1522" spans="1:9" ht="13">
      <c r="A1522" s="10" t="s">
        <v>3356</v>
      </c>
      <c r="B1522" s="2" t="s">
        <v>3357</v>
      </c>
      <c r="C1522" s="220" t="s">
        <v>3217</v>
      </c>
      <c r="D1522" s="2">
        <v>2023</v>
      </c>
      <c r="E1522" s="4">
        <v>12</v>
      </c>
      <c r="F1522" s="2" t="s">
        <v>32</v>
      </c>
      <c r="G1522" s="6">
        <v>156</v>
      </c>
      <c r="H1522" s="26"/>
      <c r="I1522" s="32"/>
    </row>
    <row r="1523" spans="1:9" ht="13">
      <c r="A1523" s="10" t="s">
        <v>3358</v>
      </c>
      <c r="B1523" s="2" t="s">
        <v>3359</v>
      </c>
      <c r="C1523" s="220" t="s">
        <v>3220</v>
      </c>
      <c r="D1523" s="2">
        <v>2021</v>
      </c>
      <c r="E1523" s="4">
        <v>12</v>
      </c>
      <c r="F1523" s="2" t="s">
        <v>32</v>
      </c>
      <c r="G1523" s="6">
        <v>126</v>
      </c>
      <c r="H1523" s="33"/>
      <c r="I1523" s="30"/>
    </row>
    <row r="1524" spans="1:9" ht="13">
      <c r="A1524" s="10" t="s">
        <v>3360</v>
      </c>
      <c r="B1524" s="2" t="s">
        <v>3361</v>
      </c>
      <c r="C1524" s="220" t="s">
        <v>3220</v>
      </c>
      <c r="D1524" s="2">
        <v>2020</v>
      </c>
      <c r="E1524" s="4">
        <v>6</v>
      </c>
      <c r="F1524" s="2" t="s">
        <v>304</v>
      </c>
      <c r="G1524" s="6">
        <v>132</v>
      </c>
      <c r="H1524" s="33"/>
      <c r="I1524" s="30"/>
    </row>
    <row r="1525" spans="1:9" ht="13">
      <c r="A1525" s="54" t="s">
        <v>3362</v>
      </c>
      <c r="B1525" s="5" t="s">
        <v>3363</v>
      </c>
      <c r="C1525" s="28" t="s">
        <v>779</v>
      </c>
      <c r="D1525" s="2">
        <v>2020</v>
      </c>
      <c r="E1525" s="4">
        <v>12</v>
      </c>
      <c r="F1525" s="2" t="s">
        <v>32</v>
      </c>
      <c r="G1525" s="29">
        <v>126</v>
      </c>
      <c r="H1525" s="33"/>
      <c r="I1525" s="30"/>
    </row>
    <row r="1526" spans="1:9" ht="13">
      <c r="A1526" s="40" t="s">
        <v>3364</v>
      </c>
      <c r="B1526" s="5" t="s">
        <v>3365</v>
      </c>
      <c r="C1526" s="28" t="s">
        <v>3366</v>
      </c>
      <c r="D1526" s="2">
        <v>2020</v>
      </c>
      <c r="E1526" s="4">
        <v>12</v>
      </c>
      <c r="F1526" s="2" t="s">
        <v>32</v>
      </c>
      <c r="G1526" s="29">
        <v>126</v>
      </c>
      <c r="H1526" s="33"/>
      <c r="I1526" s="30"/>
    </row>
    <row r="1527" spans="1:9" ht="13">
      <c r="A1527" s="14" t="s">
        <v>3367</v>
      </c>
      <c r="B1527" s="2" t="s">
        <v>3368</v>
      </c>
      <c r="C1527" s="28" t="s">
        <v>3369</v>
      </c>
      <c r="D1527" s="2">
        <v>2021</v>
      </c>
      <c r="E1527" s="4">
        <v>12</v>
      </c>
      <c r="F1527" s="2" t="s">
        <v>32</v>
      </c>
      <c r="G1527" s="29">
        <v>126</v>
      </c>
      <c r="H1527" s="33"/>
      <c r="I1527" s="18">
        <v>1</v>
      </c>
    </row>
    <row r="1528" spans="1:9" ht="13">
      <c r="A1528" s="10" t="s">
        <v>3370</v>
      </c>
      <c r="B1528" s="2" t="s">
        <v>3371</v>
      </c>
      <c r="C1528" s="28" t="s">
        <v>3327</v>
      </c>
      <c r="D1528" s="2">
        <v>2021</v>
      </c>
      <c r="E1528" s="4">
        <v>12</v>
      </c>
      <c r="F1528" s="2" t="s">
        <v>32</v>
      </c>
      <c r="G1528" s="29">
        <v>180</v>
      </c>
      <c r="H1528" s="17"/>
      <c r="I1528" s="19"/>
    </row>
    <row r="1529" spans="1:9" ht="13">
      <c r="A1529" s="10" t="s">
        <v>3372</v>
      </c>
      <c r="B1529" s="2" t="s">
        <v>3373</v>
      </c>
      <c r="C1529" s="28" t="s">
        <v>3327</v>
      </c>
      <c r="D1529" s="2">
        <v>2020</v>
      </c>
      <c r="E1529" s="4">
        <v>6</v>
      </c>
      <c r="F1529" s="2" t="s">
        <v>304</v>
      </c>
      <c r="G1529" s="6">
        <v>192</v>
      </c>
      <c r="H1529" s="33"/>
      <c r="I1529" s="19"/>
    </row>
    <row r="1530" spans="1:9" ht="13">
      <c r="A1530" s="54" t="s">
        <v>3374</v>
      </c>
      <c r="B1530" s="5" t="s">
        <v>3375</v>
      </c>
      <c r="C1530" s="28" t="s">
        <v>2548</v>
      </c>
      <c r="D1530" s="2">
        <v>2021</v>
      </c>
      <c r="E1530" s="4">
        <v>12</v>
      </c>
      <c r="F1530" s="2" t="s">
        <v>32</v>
      </c>
      <c r="G1530" s="29">
        <v>180</v>
      </c>
      <c r="H1530" s="224"/>
      <c r="I1530" s="32"/>
    </row>
    <row r="1531" spans="1:9" ht="13">
      <c r="A1531" s="54" t="s">
        <v>3376</v>
      </c>
      <c r="B1531" s="5" t="s">
        <v>3377</v>
      </c>
      <c r="C1531" s="28" t="s">
        <v>3378</v>
      </c>
      <c r="D1531" s="2">
        <v>2021</v>
      </c>
      <c r="E1531" s="4">
        <v>12</v>
      </c>
      <c r="F1531" s="2" t="s">
        <v>32</v>
      </c>
      <c r="G1531" s="29">
        <v>180</v>
      </c>
      <c r="H1531" s="224"/>
      <c r="I1531" s="18"/>
    </row>
    <row r="1532" spans="1:9" ht="13">
      <c r="A1532" s="40" t="s">
        <v>3379</v>
      </c>
      <c r="B1532" s="5" t="s">
        <v>3380</v>
      </c>
      <c r="C1532" s="28" t="s">
        <v>1946</v>
      </c>
      <c r="D1532" s="2">
        <v>2018</v>
      </c>
      <c r="E1532" s="4">
        <v>12</v>
      </c>
      <c r="F1532" s="2" t="s">
        <v>32</v>
      </c>
      <c r="G1532" s="29">
        <v>126</v>
      </c>
      <c r="H1532" s="33"/>
      <c r="I1532" s="30"/>
    </row>
    <row r="1533" spans="1:9" ht="13">
      <c r="A1533" s="54" t="s">
        <v>3381</v>
      </c>
      <c r="B1533" s="5" t="s">
        <v>3382</v>
      </c>
      <c r="C1533" s="28" t="s">
        <v>3383</v>
      </c>
      <c r="D1533" s="5">
        <v>2021</v>
      </c>
      <c r="E1533" s="4">
        <v>12</v>
      </c>
      <c r="F1533" s="2" t="s">
        <v>32</v>
      </c>
      <c r="G1533" s="29">
        <v>180</v>
      </c>
      <c r="H1533" s="17"/>
      <c r="I1533" s="19"/>
    </row>
    <row r="1534" spans="1:9" ht="13">
      <c r="A1534" s="54" t="s">
        <v>3384</v>
      </c>
      <c r="B1534" s="5" t="s">
        <v>3385</v>
      </c>
      <c r="C1534" s="28" t="s">
        <v>4</v>
      </c>
      <c r="D1534" s="5">
        <v>2020</v>
      </c>
      <c r="E1534" s="4">
        <v>12</v>
      </c>
      <c r="F1534" s="2" t="s">
        <v>32</v>
      </c>
      <c r="G1534" s="29">
        <v>180</v>
      </c>
      <c r="H1534" s="33"/>
      <c r="I1534" s="18"/>
    </row>
    <row r="1535" spans="1:9" ht="13">
      <c r="A1535" s="37" t="s">
        <v>3386</v>
      </c>
      <c r="B1535" s="2" t="s">
        <v>3387</v>
      </c>
      <c r="C1535" s="28" t="s">
        <v>3388</v>
      </c>
      <c r="D1535" s="2">
        <v>2022</v>
      </c>
      <c r="E1535" s="4">
        <v>12</v>
      </c>
      <c r="F1535" s="2" t="s">
        <v>32</v>
      </c>
      <c r="G1535" s="29">
        <v>156</v>
      </c>
      <c r="H1535" s="26"/>
      <c r="I1535" s="18"/>
    </row>
    <row r="1536" spans="1:9" ht="13">
      <c r="A1536" s="35" t="s">
        <v>3389</v>
      </c>
      <c r="B1536" s="2" t="s">
        <v>3390</v>
      </c>
      <c r="C1536" s="28" t="s">
        <v>3215</v>
      </c>
      <c r="D1536" s="2">
        <v>2021</v>
      </c>
      <c r="E1536" s="4">
        <v>12</v>
      </c>
      <c r="F1536" s="2" t="s">
        <v>32</v>
      </c>
      <c r="G1536" s="29">
        <v>120</v>
      </c>
      <c r="H1536" s="17"/>
      <c r="I1536" s="19"/>
    </row>
    <row r="1537" spans="1:9" ht="13">
      <c r="A1537" s="40" t="s">
        <v>3391</v>
      </c>
      <c r="B1537" s="5" t="s">
        <v>3392</v>
      </c>
      <c r="C1537" s="28" t="s">
        <v>3393</v>
      </c>
      <c r="D1537" s="2">
        <v>2020</v>
      </c>
      <c r="E1537" s="4">
        <v>12</v>
      </c>
      <c r="F1537" s="2" t="s">
        <v>32</v>
      </c>
      <c r="G1537" s="29">
        <v>120</v>
      </c>
      <c r="H1537" s="17"/>
      <c r="I1537" s="19"/>
    </row>
    <row r="1538" spans="1:9" ht="13">
      <c r="A1538" s="10" t="s">
        <v>3394</v>
      </c>
      <c r="B1538" s="2" t="s">
        <v>3395</v>
      </c>
      <c r="C1538" s="220" t="s">
        <v>3220</v>
      </c>
      <c r="D1538" s="2">
        <v>2019</v>
      </c>
      <c r="E1538" s="4">
        <v>12</v>
      </c>
      <c r="F1538" s="2" t="s">
        <v>32</v>
      </c>
      <c r="G1538" s="6">
        <v>174</v>
      </c>
      <c r="H1538" s="33"/>
      <c r="I1538" s="30"/>
    </row>
    <row r="1539" spans="1:9" ht="13">
      <c r="A1539" s="14" t="s">
        <v>3396</v>
      </c>
      <c r="B1539" s="2" t="s">
        <v>3397</v>
      </c>
      <c r="C1539" s="28" t="s">
        <v>3215</v>
      </c>
      <c r="D1539" s="2">
        <v>2021</v>
      </c>
      <c r="E1539" s="4">
        <v>12</v>
      </c>
      <c r="F1539" s="2" t="s">
        <v>32</v>
      </c>
      <c r="G1539" s="6">
        <v>150</v>
      </c>
      <c r="H1539" s="224"/>
      <c r="I1539" s="32"/>
    </row>
    <row r="1540" spans="1:9" ht="13">
      <c r="A1540" s="10" t="s">
        <v>3398</v>
      </c>
      <c r="B1540" s="2" t="s">
        <v>3399</v>
      </c>
      <c r="C1540" s="220" t="s">
        <v>3220</v>
      </c>
      <c r="D1540" s="2">
        <v>2020</v>
      </c>
      <c r="E1540" s="4">
        <v>12</v>
      </c>
      <c r="F1540" s="2" t="s">
        <v>32</v>
      </c>
      <c r="G1540" s="29">
        <v>228</v>
      </c>
      <c r="H1540" s="17"/>
      <c r="I1540" s="19"/>
    </row>
    <row r="1541" spans="1:9" ht="13">
      <c r="A1541" s="14" t="s">
        <v>3400</v>
      </c>
      <c r="B1541" s="2" t="s">
        <v>3401</v>
      </c>
      <c r="C1541" s="28" t="s">
        <v>3215</v>
      </c>
      <c r="D1541" s="2">
        <v>2021</v>
      </c>
      <c r="E1541" s="4">
        <v>12</v>
      </c>
      <c r="F1541" s="2" t="s">
        <v>32</v>
      </c>
      <c r="G1541" s="41">
        <v>186</v>
      </c>
      <c r="H1541" s="225"/>
      <c r="I1541" s="18"/>
    </row>
    <row r="1542" spans="1:9" ht="13">
      <c r="A1542" s="54" t="s">
        <v>3402</v>
      </c>
      <c r="B1542" s="5" t="s">
        <v>3403</v>
      </c>
      <c r="C1542" s="28" t="s">
        <v>3327</v>
      </c>
      <c r="D1542" s="5">
        <v>2022</v>
      </c>
      <c r="E1542" s="4">
        <v>12</v>
      </c>
      <c r="F1542" s="2" t="s">
        <v>32</v>
      </c>
      <c r="G1542" s="41">
        <v>204</v>
      </c>
      <c r="H1542" s="26"/>
      <c r="I1542" s="18"/>
    </row>
    <row r="1543" spans="1:9" ht="13">
      <c r="A1543" s="54" t="s">
        <v>3404</v>
      </c>
      <c r="B1543" s="5" t="s">
        <v>3405</v>
      </c>
      <c r="C1543" s="28" t="s">
        <v>3406</v>
      </c>
      <c r="D1543" s="5">
        <v>2019</v>
      </c>
      <c r="E1543" s="4">
        <v>12</v>
      </c>
      <c r="F1543" s="2" t="s">
        <v>32</v>
      </c>
      <c r="G1543" s="29">
        <v>294</v>
      </c>
      <c r="H1543" s="17"/>
      <c r="I1543" s="19"/>
    </row>
    <row r="1544" spans="1:9" ht="13">
      <c r="A1544" s="25" t="s">
        <v>3407</v>
      </c>
      <c r="B1544" s="5" t="s">
        <v>3408</v>
      </c>
      <c r="C1544" s="28" t="s">
        <v>463</v>
      </c>
      <c r="D1544" s="5">
        <v>2019</v>
      </c>
      <c r="E1544" s="4">
        <v>12</v>
      </c>
      <c r="F1544" s="2" t="s">
        <v>32</v>
      </c>
      <c r="G1544" s="29">
        <v>288</v>
      </c>
      <c r="H1544" s="17"/>
      <c r="I1544" s="19"/>
    </row>
    <row r="1545" spans="1:9" ht="13">
      <c r="A1545" s="25" t="s">
        <v>3409</v>
      </c>
      <c r="B1545" s="5" t="s">
        <v>3410</v>
      </c>
      <c r="C1545" s="28" t="s">
        <v>52</v>
      </c>
      <c r="D1545" s="5">
        <v>2019</v>
      </c>
      <c r="E1545" s="4">
        <v>12</v>
      </c>
      <c r="F1545" s="2" t="s">
        <v>32</v>
      </c>
      <c r="G1545" s="29">
        <v>180</v>
      </c>
      <c r="H1545" s="17"/>
      <c r="I1545" s="13"/>
    </row>
    <row r="1546" spans="1:9" ht="13">
      <c r="A1546" s="25" t="s">
        <v>3411</v>
      </c>
      <c r="B1546" s="5" t="s">
        <v>3412</v>
      </c>
      <c r="C1546" s="28" t="s">
        <v>52</v>
      </c>
      <c r="D1546" s="5">
        <v>2020</v>
      </c>
      <c r="E1546" s="4">
        <v>12</v>
      </c>
      <c r="F1546" s="2" t="s">
        <v>32</v>
      </c>
      <c r="G1546" s="29">
        <v>198</v>
      </c>
      <c r="H1546" s="17"/>
      <c r="I1546" s="13"/>
    </row>
    <row r="1547" spans="1:9" ht="23">
      <c r="A1547" s="717" t="s">
        <v>3413</v>
      </c>
      <c r="B1547" s="689"/>
      <c r="C1547" s="689"/>
      <c r="D1547" s="689"/>
      <c r="E1547" s="689"/>
      <c r="F1547" s="689"/>
      <c r="G1547" s="689"/>
      <c r="H1547" s="689"/>
      <c r="I1547" s="690"/>
    </row>
    <row r="1548" spans="1:9" ht="18">
      <c r="A1548" s="696" t="s">
        <v>3414</v>
      </c>
      <c r="B1548" s="689"/>
      <c r="C1548" s="689"/>
      <c r="D1548" s="689"/>
      <c r="E1548" s="689"/>
      <c r="F1548" s="689"/>
      <c r="G1548" s="689"/>
      <c r="H1548" s="689"/>
      <c r="I1548" s="690"/>
    </row>
    <row r="1549" spans="1:9" ht="13">
      <c r="A1549" s="10" t="s">
        <v>3415</v>
      </c>
      <c r="B1549" s="2" t="s">
        <v>3416</v>
      </c>
      <c r="C1549" s="28" t="s">
        <v>3417</v>
      </c>
      <c r="D1549" s="2">
        <v>2023</v>
      </c>
      <c r="E1549" s="4">
        <v>12</v>
      </c>
      <c r="F1549" s="2" t="s">
        <v>32</v>
      </c>
      <c r="G1549" s="6">
        <v>150</v>
      </c>
      <c r="H1549" s="23"/>
      <c r="I1549" s="18">
        <v>1</v>
      </c>
    </row>
    <row r="1550" spans="1:9" ht="13">
      <c r="A1550" s="14" t="s">
        <v>3418</v>
      </c>
      <c r="B1550" s="2" t="s">
        <v>3419</v>
      </c>
      <c r="C1550" s="28" t="s">
        <v>3420</v>
      </c>
      <c r="D1550" s="2">
        <v>2022</v>
      </c>
      <c r="E1550" s="4">
        <v>12</v>
      </c>
      <c r="F1550" s="2" t="s">
        <v>32</v>
      </c>
      <c r="G1550" s="6">
        <v>150</v>
      </c>
      <c r="H1550" s="23"/>
      <c r="I1550" s="18">
        <v>1</v>
      </c>
    </row>
    <row r="1551" spans="1:9" ht="13">
      <c r="A1551" s="14" t="s">
        <v>3421</v>
      </c>
      <c r="B1551" s="2" t="s">
        <v>3422</v>
      </c>
      <c r="C1551" s="28" t="s">
        <v>3420</v>
      </c>
      <c r="D1551" s="2">
        <v>2020</v>
      </c>
      <c r="E1551" s="4">
        <v>12</v>
      </c>
      <c r="F1551" s="2" t="s">
        <v>32</v>
      </c>
      <c r="G1551" s="6">
        <v>168</v>
      </c>
      <c r="H1551" s="23"/>
      <c r="I1551" s="18">
        <v>1</v>
      </c>
    </row>
    <row r="1552" spans="1:9" ht="13">
      <c r="A1552" s="1" t="s">
        <v>3423</v>
      </c>
      <c r="B1552" s="2" t="s">
        <v>3424</v>
      </c>
      <c r="C1552" s="28" t="s">
        <v>3420</v>
      </c>
      <c r="D1552" s="2">
        <v>2019</v>
      </c>
      <c r="E1552" s="4">
        <v>12</v>
      </c>
      <c r="F1552" s="2" t="s">
        <v>32</v>
      </c>
      <c r="G1552" s="6">
        <v>168</v>
      </c>
      <c r="H1552" s="226"/>
      <c r="I1552" s="19"/>
    </row>
    <row r="1553" spans="1:9" ht="13">
      <c r="A1553" s="1" t="s">
        <v>3425</v>
      </c>
      <c r="B1553" s="2" t="s">
        <v>3426</v>
      </c>
      <c r="C1553" s="28" t="s">
        <v>3420</v>
      </c>
      <c r="D1553" s="2">
        <v>2018</v>
      </c>
      <c r="E1553" s="4">
        <v>12</v>
      </c>
      <c r="F1553" s="2" t="s">
        <v>32</v>
      </c>
      <c r="G1553" s="6">
        <v>186</v>
      </c>
      <c r="H1553" s="45"/>
      <c r="I1553" s="18">
        <v>1</v>
      </c>
    </row>
    <row r="1554" spans="1:9" ht="13">
      <c r="A1554" s="10" t="s">
        <v>3427</v>
      </c>
      <c r="B1554" s="2" t="s">
        <v>3428</v>
      </c>
      <c r="C1554" s="28" t="s">
        <v>3220</v>
      </c>
      <c r="D1554" s="2">
        <v>2021</v>
      </c>
      <c r="E1554" s="4">
        <v>12</v>
      </c>
      <c r="F1554" s="2" t="s">
        <v>32</v>
      </c>
      <c r="G1554" s="6">
        <v>192</v>
      </c>
      <c r="H1554" s="45"/>
      <c r="I1554" s="18">
        <v>1</v>
      </c>
    </row>
    <row r="1555" spans="1:9" ht="13">
      <c r="A1555" s="37" t="s">
        <v>3429</v>
      </c>
      <c r="B1555" s="2" t="s">
        <v>3430</v>
      </c>
      <c r="C1555" s="28" t="s">
        <v>3420</v>
      </c>
      <c r="D1555" s="2">
        <v>2021</v>
      </c>
      <c r="E1555" s="4">
        <v>12</v>
      </c>
      <c r="F1555" s="2" t="s">
        <v>32</v>
      </c>
      <c r="G1555" s="6">
        <v>156</v>
      </c>
      <c r="H1555" s="45"/>
      <c r="I1555" s="19"/>
    </row>
    <row r="1556" spans="1:9" ht="13">
      <c r="A1556" s="14" t="s">
        <v>3431</v>
      </c>
      <c r="B1556" s="2" t="s">
        <v>3432</v>
      </c>
      <c r="C1556" s="28" t="s">
        <v>3420</v>
      </c>
      <c r="D1556" s="5">
        <v>2020</v>
      </c>
      <c r="E1556" s="4">
        <v>12</v>
      </c>
      <c r="F1556" s="2" t="s">
        <v>32</v>
      </c>
      <c r="G1556" s="6">
        <v>174</v>
      </c>
      <c r="H1556" s="45"/>
      <c r="I1556" s="18">
        <v>1</v>
      </c>
    </row>
    <row r="1557" spans="1:9" ht="13">
      <c r="A1557" s="37" t="s">
        <v>3433</v>
      </c>
      <c r="B1557" s="2" t="s">
        <v>3434</v>
      </c>
      <c r="C1557" s="28" t="s">
        <v>3420</v>
      </c>
      <c r="D1557" s="5">
        <v>2017</v>
      </c>
      <c r="E1557" s="4">
        <v>12</v>
      </c>
      <c r="F1557" s="2" t="s">
        <v>32</v>
      </c>
      <c r="G1557" s="6">
        <v>120</v>
      </c>
      <c r="H1557" s="45"/>
      <c r="I1557" s="30"/>
    </row>
    <row r="1558" spans="1:9" ht="13">
      <c r="A1558" s="14" t="s">
        <v>3435</v>
      </c>
      <c r="B1558" s="2" t="s">
        <v>3436</v>
      </c>
      <c r="C1558" s="28" t="s">
        <v>3437</v>
      </c>
      <c r="D1558" s="2" t="s">
        <v>5</v>
      </c>
      <c r="E1558" s="4">
        <v>12</v>
      </c>
      <c r="F1558" s="2" t="s">
        <v>32</v>
      </c>
      <c r="G1558" s="6">
        <v>192</v>
      </c>
      <c r="H1558" s="23"/>
      <c r="I1558" s="18">
        <v>1</v>
      </c>
    </row>
    <row r="1559" spans="1:9" ht="13">
      <c r="A1559" s="14" t="s">
        <v>3438</v>
      </c>
      <c r="B1559" s="2" t="s">
        <v>3439</v>
      </c>
      <c r="C1559" s="28" t="s">
        <v>3440</v>
      </c>
      <c r="D1559" s="2">
        <v>2020</v>
      </c>
      <c r="E1559" s="4">
        <v>12</v>
      </c>
      <c r="F1559" s="2" t="s">
        <v>32</v>
      </c>
      <c r="G1559" s="6">
        <v>168</v>
      </c>
      <c r="H1559" s="45"/>
      <c r="I1559" s="18">
        <v>1</v>
      </c>
    </row>
    <row r="1560" spans="1:9" ht="13">
      <c r="A1560" s="14" t="s">
        <v>3441</v>
      </c>
      <c r="B1560" s="2" t="s">
        <v>3442</v>
      </c>
      <c r="C1560" s="28" t="s">
        <v>3420</v>
      </c>
      <c r="D1560" s="2">
        <v>2019</v>
      </c>
      <c r="E1560" s="4">
        <v>12</v>
      </c>
      <c r="F1560" s="2" t="s">
        <v>32</v>
      </c>
      <c r="G1560" s="6">
        <v>168</v>
      </c>
      <c r="H1560" s="45"/>
      <c r="I1560" s="30"/>
    </row>
    <row r="1561" spans="1:9" ht="23">
      <c r="A1561" s="717" t="s">
        <v>3443</v>
      </c>
      <c r="B1561" s="689"/>
      <c r="C1561" s="689"/>
      <c r="D1561" s="689"/>
      <c r="E1561" s="689"/>
      <c r="F1561" s="689"/>
      <c r="G1561" s="689"/>
      <c r="H1561" s="689"/>
      <c r="I1561" s="690"/>
    </row>
    <row r="1562" spans="1:9" ht="18">
      <c r="A1562" s="694" t="s">
        <v>3444</v>
      </c>
      <c r="B1562" s="689"/>
      <c r="C1562" s="689"/>
      <c r="D1562" s="689"/>
      <c r="E1562" s="689"/>
      <c r="F1562" s="689"/>
      <c r="G1562" s="689"/>
      <c r="H1562" s="689"/>
      <c r="I1562" s="690"/>
    </row>
    <row r="1563" spans="1:9" ht="13">
      <c r="A1563" s="227" t="s">
        <v>3445</v>
      </c>
      <c r="B1563" s="5" t="s">
        <v>3446</v>
      </c>
      <c r="C1563" s="28" t="s">
        <v>3447</v>
      </c>
      <c r="D1563" s="5">
        <v>2023</v>
      </c>
      <c r="E1563" s="4">
        <v>12</v>
      </c>
      <c r="F1563" s="2" t="s">
        <v>32</v>
      </c>
      <c r="G1563" s="6">
        <v>144</v>
      </c>
      <c r="H1563" s="23"/>
      <c r="I1563" s="18"/>
    </row>
    <row r="1564" spans="1:9" ht="13">
      <c r="A1564" s="227" t="s">
        <v>3448</v>
      </c>
      <c r="B1564" s="5" t="s">
        <v>3449</v>
      </c>
      <c r="C1564" s="28" t="s">
        <v>3450</v>
      </c>
      <c r="D1564" s="5">
        <v>2022</v>
      </c>
      <c r="E1564" s="4">
        <v>12</v>
      </c>
      <c r="F1564" s="2" t="s">
        <v>32</v>
      </c>
      <c r="G1564" s="6">
        <v>162</v>
      </c>
      <c r="H1564" s="23"/>
      <c r="I1564" s="18"/>
    </row>
    <row r="1565" spans="1:9" ht="13">
      <c r="A1565" s="10" t="s">
        <v>3451</v>
      </c>
      <c r="B1565" s="5" t="s">
        <v>3452</v>
      </c>
      <c r="C1565" s="28" t="s">
        <v>3453</v>
      </c>
      <c r="D1565" s="5">
        <v>2023</v>
      </c>
      <c r="E1565" s="4">
        <v>12</v>
      </c>
      <c r="F1565" s="2" t="s">
        <v>32</v>
      </c>
      <c r="G1565" s="6">
        <v>144</v>
      </c>
      <c r="H1565" s="17"/>
      <c r="I1565" s="228"/>
    </row>
    <row r="1566" spans="1:9" ht="13">
      <c r="A1566" s="10" t="s">
        <v>3454</v>
      </c>
      <c r="B1566" s="5" t="s">
        <v>3455</v>
      </c>
      <c r="C1566" s="28" t="s">
        <v>3456</v>
      </c>
      <c r="D1566" s="5">
        <v>2023</v>
      </c>
      <c r="E1566" s="4">
        <v>12</v>
      </c>
      <c r="F1566" s="2" t="s">
        <v>32</v>
      </c>
      <c r="G1566" s="6">
        <v>144</v>
      </c>
      <c r="H1566" s="23"/>
      <c r="I1566" s="18"/>
    </row>
    <row r="1567" spans="1:9" ht="13">
      <c r="A1567" s="39" t="s">
        <v>3457</v>
      </c>
      <c r="B1567" s="5" t="s">
        <v>3458</v>
      </c>
      <c r="C1567" s="28" t="s">
        <v>3459</v>
      </c>
      <c r="D1567" s="5">
        <v>2022</v>
      </c>
      <c r="E1567" s="4">
        <v>12</v>
      </c>
      <c r="F1567" s="2" t="s">
        <v>32</v>
      </c>
      <c r="G1567" s="6">
        <v>228</v>
      </c>
      <c r="H1567" s="17"/>
      <c r="I1567" s="229"/>
    </row>
    <row r="1568" spans="1:9" ht="13">
      <c r="A1568" s="39" t="s">
        <v>3460</v>
      </c>
      <c r="B1568" s="5" t="s">
        <v>3461</v>
      </c>
      <c r="C1568" s="28" t="s">
        <v>3462</v>
      </c>
      <c r="D1568" s="5">
        <v>2023</v>
      </c>
      <c r="E1568" s="4">
        <v>12</v>
      </c>
      <c r="F1568" s="2" t="s">
        <v>32</v>
      </c>
      <c r="G1568" s="6">
        <v>192</v>
      </c>
      <c r="H1568" s="23"/>
      <c r="I1568" s="229"/>
    </row>
    <row r="1569" spans="1:9" ht="13">
      <c r="A1569" s="39" t="s">
        <v>3463</v>
      </c>
      <c r="B1569" s="5" t="s">
        <v>3464</v>
      </c>
      <c r="C1569" s="28" t="s">
        <v>779</v>
      </c>
      <c r="D1569" s="5">
        <v>2023</v>
      </c>
      <c r="E1569" s="4">
        <v>12</v>
      </c>
      <c r="F1569" s="2" t="s">
        <v>32</v>
      </c>
      <c r="G1569" s="6">
        <v>144</v>
      </c>
      <c r="H1569" s="17"/>
      <c r="I1569" s="228"/>
    </row>
    <row r="1570" spans="1:9" ht="13">
      <c r="A1570" s="39" t="s">
        <v>3465</v>
      </c>
      <c r="B1570" s="5" t="s">
        <v>3466</v>
      </c>
      <c r="C1570" s="28" t="s">
        <v>3467</v>
      </c>
      <c r="D1570" s="5">
        <v>2022</v>
      </c>
      <c r="E1570" s="4">
        <v>12</v>
      </c>
      <c r="F1570" s="2" t="s">
        <v>32</v>
      </c>
      <c r="G1570" s="6">
        <v>144</v>
      </c>
      <c r="H1570" s="17"/>
      <c r="I1570" s="228"/>
    </row>
    <row r="1571" spans="1:9" ht="13">
      <c r="A1571" s="14" t="s">
        <v>3468</v>
      </c>
      <c r="B1571" s="5" t="s">
        <v>3469</v>
      </c>
      <c r="C1571" s="28" t="s">
        <v>3470</v>
      </c>
      <c r="D1571" s="5">
        <v>2022</v>
      </c>
      <c r="E1571" s="4">
        <v>12</v>
      </c>
      <c r="F1571" s="2" t="s">
        <v>32</v>
      </c>
      <c r="G1571" s="6">
        <v>180</v>
      </c>
      <c r="H1571" s="17"/>
      <c r="I1571" s="18"/>
    </row>
    <row r="1572" spans="1:9" ht="23">
      <c r="A1572" s="717" t="s">
        <v>3471</v>
      </c>
      <c r="B1572" s="689"/>
      <c r="C1572" s="689"/>
      <c r="D1572" s="689"/>
      <c r="E1572" s="689"/>
      <c r="F1572" s="689"/>
      <c r="G1572" s="689"/>
      <c r="H1572" s="689"/>
      <c r="I1572" s="690"/>
    </row>
    <row r="1573" spans="1:9" ht="18">
      <c r="A1573" s="694" t="s">
        <v>3472</v>
      </c>
      <c r="B1573" s="689"/>
      <c r="C1573" s="689"/>
      <c r="D1573" s="689"/>
      <c r="E1573" s="689"/>
      <c r="F1573" s="689"/>
      <c r="G1573" s="689"/>
      <c r="H1573" s="689"/>
      <c r="I1573" s="690"/>
    </row>
    <row r="1574" spans="1:9" ht="13">
      <c r="A1574" s="1" t="s">
        <v>3473</v>
      </c>
      <c r="B1574" s="2" t="s">
        <v>3474</v>
      </c>
      <c r="C1574" s="28" t="s">
        <v>1841</v>
      </c>
      <c r="D1574" s="2" t="s">
        <v>5</v>
      </c>
      <c r="E1574" s="4">
        <v>12</v>
      </c>
      <c r="F1574" s="2" t="s">
        <v>32</v>
      </c>
      <c r="G1574" s="6">
        <v>144</v>
      </c>
      <c r="H1574" s="33"/>
      <c r="I1574" s="18">
        <v>1</v>
      </c>
    </row>
    <row r="1575" spans="1:9" ht="13">
      <c r="A1575" s="37" t="s">
        <v>3475</v>
      </c>
      <c r="B1575" s="2" t="s">
        <v>3476</v>
      </c>
      <c r="C1575" s="28" t="s">
        <v>3477</v>
      </c>
      <c r="D1575" s="2" t="s">
        <v>5</v>
      </c>
      <c r="E1575" s="4">
        <v>12</v>
      </c>
      <c r="F1575" s="2" t="s">
        <v>32</v>
      </c>
      <c r="G1575" s="6">
        <v>144</v>
      </c>
      <c r="H1575" s="33"/>
      <c r="I1575" s="18">
        <v>1</v>
      </c>
    </row>
    <row r="1576" spans="1:9" ht="13">
      <c r="A1576" s="10" t="s">
        <v>3478</v>
      </c>
      <c r="B1576" s="230" t="s">
        <v>3479</v>
      </c>
      <c r="C1576" s="28" t="s">
        <v>3480</v>
      </c>
      <c r="D1576" s="2">
        <v>2024</v>
      </c>
      <c r="E1576" s="4">
        <v>12</v>
      </c>
      <c r="F1576" s="2" t="s">
        <v>32</v>
      </c>
      <c r="G1576" s="6">
        <v>114</v>
      </c>
      <c r="H1576" s="26"/>
      <c r="I1576" s="18"/>
    </row>
    <row r="1577" spans="1:9" ht="13">
      <c r="A1577" s="10" t="s">
        <v>3481</v>
      </c>
      <c r="B1577" s="230" t="s">
        <v>3482</v>
      </c>
      <c r="C1577" s="28" t="s">
        <v>3480</v>
      </c>
      <c r="D1577" s="2">
        <v>2024</v>
      </c>
      <c r="E1577" s="4">
        <v>1</v>
      </c>
      <c r="F1577" s="2" t="s">
        <v>2589</v>
      </c>
      <c r="G1577" s="6">
        <v>195</v>
      </c>
      <c r="H1577" s="26"/>
      <c r="I1577" s="18"/>
    </row>
    <row r="1578" spans="1:9" ht="13">
      <c r="A1578" s="14" t="s">
        <v>3483</v>
      </c>
      <c r="B1578" s="230" t="s">
        <v>3484</v>
      </c>
      <c r="C1578" s="28" t="s">
        <v>3477</v>
      </c>
      <c r="D1578" s="2">
        <v>2021</v>
      </c>
      <c r="E1578" s="4">
        <v>12</v>
      </c>
      <c r="F1578" s="2" t="s">
        <v>32</v>
      </c>
      <c r="G1578" s="6">
        <v>114</v>
      </c>
      <c r="H1578" s="26"/>
      <c r="I1578" s="18">
        <v>1</v>
      </c>
    </row>
    <row r="1579" spans="1:9" ht="13">
      <c r="A1579" s="14" t="s">
        <v>3485</v>
      </c>
      <c r="B1579" s="230" t="s">
        <v>3486</v>
      </c>
      <c r="C1579" s="28" t="s">
        <v>3477</v>
      </c>
      <c r="D1579" s="2">
        <v>2021</v>
      </c>
      <c r="E1579" s="4">
        <v>1</v>
      </c>
      <c r="F1579" s="2" t="s">
        <v>2589</v>
      </c>
      <c r="G1579" s="6">
        <v>195</v>
      </c>
      <c r="H1579" s="26"/>
      <c r="I1579" s="18">
        <v>1</v>
      </c>
    </row>
    <row r="1580" spans="1:9" ht="13">
      <c r="A1580" s="10" t="s">
        <v>3487</v>
      </c>
      <c r="B1580" s="2" t="s">
        <v>3488</v>
      </c>
      <c r="C1580" s="28" t="s">
        <v>1841</v>
      </c>
      <c r="D1580" s="2">
        <v>2022</v>
      </c>
      <c r="E1580" s="4">
        <v>12</v>
      </c>
      <c r="F1580" s="2" t="s">
        <v>32</v>
      </c>
      <c r="G1580" s="6">
        <v>126</v>
      </c>
      <c r="H1580" s="26"/>
      <c r="I1580" s="18">
        <v>1</v>
      </c>
    </row>
    <row r="1581" spans="1:9" ht="13">
      <c r="A1581" s="14" t="s">
        <v>3489</v>
      </c>
      <c r="B1581" s="2" t="s">
        <v>3490</v>
      </c>
      <c r="C1581" s="28" t="s">
        <v>3477</v>
      </c>
      <c r="D1581" s="2">
        <v>2018</v>
      </c>
      <c r="E1581" s="4">
        <v>12</v>
      </c>
      <c r="F1581" s="2" t="s">
        <v>32</v>
      </c>
      <c r="G1581" s="6">
        <v>126</v>
      </c>
      <c r="H1581" s="33"/>
      <c r="I1581" s="18"/>
    </row>
    <row r="1582" spans="1:9" ht="13">
      <c r="A1582" s="10" t="s">
        <v>3491</v>
      </c>
      <c r="B1582" s="2" t="s">
        <v>3492</v>
      </c>
      <c r="C1582" s="28" t="s">
        <v>1841</v>
      </c>
      <c r="D1582" s="2">
        <v>2019</v>
      </c>
      <c r="E1582" s="4">
        <v>12</v>
      </c>
      <c r="F1582" s="2" t="s">
        <v>32</v>
      </c>
      <c r="G1582" s="6">
        <v>252</v>
      </c>
      <c r="H1582" s="33"/>
      <c r="I1582" s="18">
        <v>1</v>
      </c>
    </row>
    <row r="1583" spans="1:9" ht="23">
      <c r="A1583" s="717" t="s">
        <v>3493</v>
      </c>
      <c r="B1583" s="689"/>
      <c r="C1583" s="689"/>
      <c r="D1583" s="689"/>
      <c r="E1583" s="689"/>
      <c r="F1583" s="689"/>
      <c r="G1583" s="689"/>
      <c r="H1583" s="689"/>
      <c r="I1583" s="690"/>
    </row>
    <row r="1584" spans="1:9" ht="18">
      <c r="A1584" s="694" t="s">
        <v>3494</v>
      </c>
      <c r="B1584" s="689"/>
      <c r="C1584" s="689"/>
      <c r="D1584" s="689"/>
      <c r="E1584" s="689"/>
      <c r="F1584" s="689"/>
      <c r="G1584" s="689"/>
      <c r="H1584" s="689"/>
      <c r="I1584" s="690"/>
    </row>
    <row r="1585" spans="1:9" ht="13">
      <c r="A1585" s="40" t="s">
        <v>3495</v>
      </c>
      <c r="B1585" s="43" t="s">
        <v>3496</v>
      </c>
      <c r="C1585" s="28" t="s">
        <v>3497</v>
      </c>
      <c r="D1585" s="5">
        <v>2021</v>
      </c>
      <c r="E1585" s="4">
        <v>12</v>
      </c>
      <c r="F1585" s="2" t="s">
        <v>32</v>
      </c>
      <c r="G1585" s="29">
        <v>138</v>
      </c>
      <c r="H1585" s="33"/>
      <c r="I1585" s="119"/>
    </row>
    <row r="1586" spans="1:9" ht="13">
      <c r="A1586" s="25" t="s">
        <v>3498</v>
      </c>
      <c r="B1586" s="43" t="s">
        <v>3499</v>
      </c>
      <c r="C1586" s="28" t="s">
        <v>3497</v>
      </c>
      <c r="D1586" s="5">
        <v>2021</v>
      </c>
      <c r="E1586" s="4">
        <v>12</v>
      </c>
      <c r="F1586" s="2" t="s">
        <v>32</v>
      </c>
      <c r="G1586" s="29">
        <v>138</v>
      </c>
      <c r="H1586" s="33"/>
      <c r="I1586" s="119"/>
    </row>
    <row r="1587" spans="1:9" ht="13">
      <c r="A1587" s="40" t="s">
        <v>3500</v>
      </c>
      <c r="B1587" s="43" t="s">
        <v>3501</v>
      </c>
      <c r="C1587" s="28" t="s">
        <v>3502</v>
      </c>
      <c r="D1587" s="5">
        <v>2021</v>
      </c>
      <c r="E1587" s="4">
        <v>12</v>
      </c>
      <c r="F1587" s="2" t="s">
        <v>32</v>
      </c>
      <c r="G1587" s="29">
        <v>180</v>
      </c>
      <c r="H1587" s="33"/>
      <c r="I1587" s="119"/>
    </row>
    <row r="1588" spans="1:9" ht="13">
      <c r="A1588" s="40" t="s">
        <v>3503</v>
      </c>
      <c r="B1588" s="43" t="s">
        <v>3504</v>
      </c>
      <c r="C1588" s="28" t="s">
        <v>3502</v>
      </c>
      <c r="D1588" s="5">
        <v>2021</v>
      </c>
      <c r="E1588" s="4">
        <v>6</v>
      </c>
      <c r="F1588" s="5" t="s">
        <v>304</v>
      </c>
      <c r="G1588" s="29">
        <v>204</v>
      </c>
      <c r="H1588" s="33"/>
      <c r="I1588" s="119"/>
    </row>
    <row r="1589" spans="1:9" ht="26">
      <c r="A1589" s="105" t="s">
        <v>3505</v>
      </c>
      <c r="B1589" s="199" t="s">
        <v>3506</v>
      </c>
      <c r="C1589" s="107" t="s">
        <v>3507</v>
      </c>
      <c r="D1589" s="106">
        <v>2023</v>
      </c>
      <c r="E1589" s="108">
        <v>12</v>
      </c>
      <c r="F1589" s="106" t="s">
        <v>32</v>
      </c>
      <c r="G1589" s="215">
        <v>192</v>
      </c>
      <c r="H1589" s="33"/>
      <c r="I1589" s="231"/>
    </row>
    <row r="1590" spans="1:9" ht="26">
      <c r="A1590" s="105" t="s">
        <v>3508</v>
      </c>
      <c r="B1590" s="106" t="s">
        <v>3509</v>
      </c>
      <c r="C1590" s="107" t="s">
        <v>3507</v>
      </c>
      <c r="D1590" s="106">
        <v>2022</v>
      </c>
      <c r="E1590" s="108">
        <v>6</v>
      </c>
      <c r="F1590" s="106" t="s">
        <v>304</v>
      </c>
      <c r="G1590" s="215">
        <v>210</v>
      </c>
      <c r="H1590" s="33"/>
      <c r="I1590" s="231"/>
    </row>
    <row r="1591" spans="1:9" ht="13">
      <c r="A1591" s="1" t="s">
        <v>3510</v>
      </c>
      <c r="B1591" s="230" t="s">
        <v>3511</v>
      </c>
      <c r="C1591" s="28" t="s">
        <v>3512</v>
      </c>
      <c r="D1591" s="5">
        <v>2021</v>
      </c>
      <c r="E1591" s="4">
        <v>12</v>
      </c>
      <c r="F1591" s="2" t="s">
        <v>32</v>
      </c>
      <c r="G1591" s="6">
        <v>180</v>
      </c>
      <c r="H1591" s="33"/>
      <c r="I1591" s="231"/>
    </row>
    <row r="1592" spans="1:9" ht="13">
      <c r="A1592" s="1" t="s">
        <v>3513</v>
      </c>
      <c r="B1592" s="230" t="s">
        <v>3514</v>
      </c>
      <c r="C1592" s="28" t="s">
        <v>3515</v>
      </c>
      <c r="D1592" s="5">
        <v>2022</v>
      </c>
      <c r="E1592" s="4">
        <v>12</v>
      </c>
      <c r="F1592" s="2" t="s">
        <v>32</v>
      </c>
      <c r="G1592" s="6">
        <v>324</v>
      </c>
      <c r="H1592" s="26"/>
      <c r="I1592" s="232"/>
    </row>
    <row r="1593" spans="1:9" ht="13">
      <c r="A1593" s="1" t="s">
        <v>3516</v>
      </c>
      <c r="B1593" s="2" t="s">
        <v>3517</v>
      </c>
      <c r="C1593" s="28" t="s">
        <v>3515</v>
      </c>
      <c r="D1593" s="5">
        <v>2022</v>
      </c>
      <c r="E1593" s="4">
        <v>6</v>
      </c>
      <c r="F1593" s="5" t="s">
        <v>304</v>
      </c>
      <c r="G1593" s="6">
        <v>348</v>
      </c>
      <c r="H1593" s="26"/>
      <c r="I1593" s="232"/>
    </row>
    <row r="1594" spans="1:9" ht="13">
      <c r="A1594" s="1" t="s">
        <v>3518</v>
      </c>
      <c r="B1594" s="2" t="s">
        <v>3519</v>
      </c>
      <c r="C1594" s="28" t="s">
        <v>3520</v>
      </c>
      <c r="D1594" s="2">
        <v>2019</v>
      </c>
      <c r="E1594" s="4">
        <v>12</v>
      </c>
      <c r="F1594" s="2" t="s">
        <v>32</v>
      </c>
      <c r="G1594" s="6">
        <v>600</v>
      </c>
      <c r="H1594" s="33"/>
      <c r="I1594" s="231"/>
    </row>
    <row r="1595" spans="1:9" ht="13">
      <c r="A1595" s="1" t="s">
        <v>3518</v>
      </c>
      <c r="B1595" s="2" t="s">
        <v>3521</v>
      </c>
      <c r="C1595" s="28" t="s">
        <v>3520</v>
      </c>
      <c r="D1595" s="2">
        <v>2019</v>
      </c>
      <c r="E1595" s="4">
        <v>6</v>
      </c>
      <c r="F1595" s="5" t="s">
        <v>304</v>
      </c>
      <c r="G1595" s="6">
        <v>618</v>
      </c>
      <c r="H1595" s="33"/>
      <c r="I1595" s="232"/>
    </row>
    <row r="1596" spans="1:9" ht="13">
      <c r="A1596" s="1" t="s">
        <v>3522</v>
      </c>
      <c r="B1596" s="2" t="s">
        <v>3521</v>
      </c>
      <c r="C1596" s="28" t="s">
        <v>3520</v>
      </c>
      <c r="D1596" s="2">
        <v>2020</v>
      </c>
      <c r="E1596" s="4">
        <v>6</v>
      </c>
      <c r="F1596" s="5" t="s">
        <v>304</v>
      </c>
      <c r="G1596" s="6">
        <v>618</v>
      </c>
      <c r="H1596" s="26"/>
      <c r="I1596" s="232"/>
    </row>
    <row r="1597" spans="1:9" ht="13">
      <c r="A1597" s="14" t="s">
        <v>3523</v>
      </c>
      <c r="B1597" s="230" t="s">
        <v>3524</v>
      </c>
      <c r="C1597" s="28" t="s">
        <v>3497</v>
      </c>
      <c r="D1597" s="5">
        <v>2022</v>
      </c>
      <c r="E1597" s="4">
        <v>12</v>
      </c>
      <c r="F1597" s="2" t="s">
        <v>32</v>
      </c>
      <c r="G1597" s="6">
        <v>264</v>
      </c>
      <c r="H1597" s="26"/>
      <c r="I1597" s="232"/>
    </row>
    <row r="1598" spans="1:9" ht="13">
      <c r="A1598" s="14" t="s">
        <v>3525</v>
      </c>
      <c r="B1598" s="2" t="s">
        <v>3526</v>
      </c>
      <c r="C1598" s="28" t="s">
        <v>3497</v>
      </c>
      <c r="D1598" s="5">
        <v>2021</v>
      </c>
      <c r="E1598" s="4">
        <v>6</v>
      </c>
      <c r="F1598" s="5" t="s">
        <v>304</v>
      </c>
      <c r="G1598" s="6">
        <v>288</v>
      </c>
      <c r="H1598" s="33"/>
      <c r="I1598" s="119"/>
    </row>
    <row r="1599" spans="1:9" ht="13">
      <c r="A1599" s="14" t="s">
        <v>3527</v>
      </c>
      <c r="B1599" s="2" t="s">
        <v>3528</v>
      </c>
      <c r="C1599" s="28" t="s">
        <v>3497</v>
      </c>
      <c r="D1599" s="2">
        <v>2020</v>
      </c>
      <c r="E1599" s="4">
        <v>12</v>
      </c>
      <c r="F1599" s="2" t="s">
        <v>32</v>
      </c>
      <c r="G1599" s="6">
        <v>492</v>
      </c>
      <c r="H1599" s="26"/>
      <c r="I1599" s="232"/>
    </row>
    <row r="1600" spans="1:9" ht="13">
      <c r="A1600" s="14" t="s">
        <v>3529</v>
      </c>
      <c r="B1600" s="2" t="s">
        <v>3530</v>
      </c>
      <c r="C1600" s="28" t="s">
        <v>3497</v>
      </c>
      <c r="D1600" s="2">
        <v>2020</v>
      </c>
      <c r="E1600" s="4">
        <v>6</v>
      </c>
      <c r="F1600" s="5" t="s">
        <v>304</v>
      </c>
      <c r="G1600" s="6">
        <v>510</v>
      </c>
      <c r="H1600" s="26"/>
      <c r="I1600" s="232"/>
    </row>
    <row r="1601" spans="1:9" ht="13">
      <c r="A1601" s="14" t="s">
        <v>3531</v>
      </c>
      <c r="B1601" s="2" t="s">
        <v>3532</v>
      </c>
      <c r="C1601" s="28" t="s">
        <v>3497</v>
      </c>
      <c r="D1601" s="2">
        <v>2020</v>
      </c>
      <c r="E1601" s="4">
        <v>12</v>
      </c>
      <c r="F1601" s="2" t="s">
        <v>32</v>
      </c>
      <c r="G1601" s="6">
        <v>492</v>
      </c>
      <c r="H1601" s="33"/>
      <c r="I1601" s="119"/>
    </row>
    <row r="1602" spans="1:9" ht="13">
      <c r="A1602" s="14" t="s">
        <v>3533</v>
      </c>
      <c r="B1602" s="2" t="s">
        <v>3534</v>
      </c>
      <c r="C1602" s="28" t="s">
        <v>3497</v>
      </c>
      <c r="D1602" s="2">
        <v>2019</v>
      </c>
      <c r="E1602" s="4">
        <v>6</v>
      </c>
      <c r="F1602" s="5" t="s">
        <v>304</v>
      </c>
      <c r="G1602" s="6">
        <v>438</v>
      </c>
      <c r="H1602" s="33"/>
      <c r="I1602" s="119"/>
    </row>
    <row r="1603" spans="1:9" ht="13">
      <c r="A1603" s="14" t="s">
        <v>3535</v>
      </c>
      <c r="B1603" s="2" t="s">
        <v>3536</v>
      </c>
      <c r="C1603" s="28" t="s">
        <v>3497</v>
      </c>
      <c r="D1603" s="2">
        <v>2019</v>
      </c>
      <c r="E1603" s="4">
        <v>2</v>
      </c>
      <c r="F1603" s="5" t="s">
        <v>3062</v>
      </c>
      <c r="G1603" s="6">
        <v>330</v>
      </c>
      <c r="H1603" s="33"/>
      <c r="I1603" s="119"/>
    </row>
    <row r="1604" spans="1:9" ht="13">
      <c r="A1604" s="14" t="s">
        <v>3537</v>
      </c>
      <c r="B1604" s="2" t="s">
        <v>3538</v>
      </c>
      <c r="C1604" s="28" t="s">
        <v>3497</v>
      </c>
      <c r="D1604" s="2">
        <v>2020</v>
      </c>
      <c r="E1604" s="4">
        <v>12</v>
      </c>
      <c r="F1604" s="2" t="s">
        <v>32</v>
      </c>
      <c r="G1604" s="6">
        <v>600</v>
      </c>
      <c r="H1604" s="26"/>
      <c r="I1604" s="232"/>
    </row>
    <row r="1605" spans="1:9" ht="13">
      <c r="A1605" s="14" t="s">
        <v>3539</v>
      </c>
      <c r="B1605" s="2" t="s">
        <v>3540</v>
      </c>
      <c r="C1605" s="28" t="s">
        <v>3497</v>
      </c>
      <c r="D1605" s="2">
        <v>2020</v>
      </c>
      <c r="E1605" s="4">
        <v>6</v>
      </c>
      <c r="F1605" s="5" t="s">
        <v>304</v>
      </c>
      <c r="G1605" s="6">
        <v>618</v>
      </c>
      <c r="H1605" s="33"/>
      <c r="I1605" s="119"/>
    </row>
    <row r="1606" spans="1:9" ht="13">
      <c r="A1606" s="14" t="s">
        <v>3541</v>
      </c>
      <c r="B1606" s="2" t="s">
        <v>3542</v>
      </c>
      <c r="C1606" s="28" t="s">
        <v>3497</v>
      </c>
      <c r="D1606" s="2">
        <v>2020</v>
      </c>
      <c r="E1606" s="4">
        <v>12</v>
      </c>
      <c r="F1606" s="2" t="s">
        <v>32</v>
      </c>
      <c r="G1606" s="6">
        <v>420</v>
      </c>
      <c r="H1606" s="26"/>
      <c r="I1606" s="232"/>
    </row>
    <row r="1607" spans="1:9" ht="13">
      <c r="A1607" s="14" t="s">
        <v>3543</v>
      </c>
      <c r="B1607" s="2" t="s">
        <v>3544</v>
      </c>
      <c r="C1607" s="28" t="s">
        <v>3497</v>
      </c>
      <c r="D1607" s="2">
        <v>2020</v>
      </c>
      <c r="E1607" s="4">
        <v>6</v>
      </c>
      <c r="F1607" s="5" t="s">
        <v>304</v>
      </c>
      <c r="G1607" s="6">
        <v>438</v>
      </c>
      <c r="H1607" s="33"/>
      <c r="I1607" s="119"/>
    </row>
    <row r="1608" spans="1:9" ht="13">
      <c r="A1608" s="233" t="s">
        <v>3545</v>
      </c>
      <c r="B1608" s="234" t="s">
        <v>3546</v>
      </c>
      <c r="C1608" s="203" t="s">
        <v>3497</v>
      </c>
      <c r="D1608" s="235">
        <v>2019</v>
      </c>
      <c r="E1608" s="236">
        <v>2</v>
      </c>
      <c r="F1608" s="204" t="s">
        <v>3062</v>
      </c>
      <c r="G1608" s="237">
        <v>330</v>
      </c>
      <c r="H1608" s="33"/>
      <c r="I1608" s="119"/>
    </row>
    <row r="1609" spans="1:9" ht="13">
      <c r="A1609" s="14" t="s">
        <v>3547</v>
      </c>
      <c r="B1609" s="2" t="s">
        <v>3548</v>
      </c>
      <c r="C1609" s="28" t="s">
        <v>3497</v>
      </c>
      <c r="D1609" s="2">
        <v>2020</v>
      </c>
      <c r="E1609" s="4">
        <v>12</v>
      </c>
      <c r="F1609" s="2" t="s">
        <v>32</v>
      </c>
      <c r="G1609" s="6">
        <v>492</v>
      </c>
      <c r="H1609" s="26"/>
      <c r="I1609" s="232"/>
    </row>
    <row r="1610" spans="1:9" ht="13">
      <c r="A1610" s="14" t="s">
        <v>3549</v>
      </c>
      <c r="B1610" s="2" t="s">
        <v>3550</v>
      </c>
      <c r="C1610" s="28" t="s">
        <v>3497</v>
      </c>
      <c r="D1610" s="2">
        <v>2019</v>
      </c>
      <c r="E1610" s="4">
        <v>6</v>
      </c>
      <c r="F1610" s="5" t="s">
        <v>304</v>
      </c>
      <c r="G1610" s="6">
        <v>438</v>
      </c>
      <c r="H1610" s="33"/>
      <c r="I1610" s="119"/>
    </row>
    <row r="1611" spans="1:9" ht="13">
      <c r="A1611" s="14" t="s">
        <v>3551</v>
      </c>
      <c r="B1611" s="2" t="s">
        <v>3552</v>
      </c>
      <c r="C1611" s="28" t="s">
        <v>3497</v>
      </c>
      <c r="D1611" s="235">
        <v>2019</v>
      </c>
      <c r="E1611" s="236">
        <v>2</v>
      </c>
      <c r="F1611" s="204" t="s">
        <v>3062</v>
      </c>
      <c r="G1611" s="237">
        <v>330</v>
      </c>
      <c r="H1611" s="33"/>
      <c r="I1611" s="119"/>
    </row>
    <row r="1612" spans="1:9" ht="13">
      <c r="A1612" s="14" t="s">
        <v>3553</v>
      </c>
      <c r="B1612" s="2" t="s">
        <v>3554</v>
      </c>
      <c r="C1612" s="28" t="s">
        <v>3497</v>
      </c>
      <c r="D1612" s="2">
        <v>2020</v>
      </c>
      <c r="E1612" s="4">
        <v>12</v>
      </c>
      <c r="F1612" s="2" t="s">
        <v>32</v>
      </c>
      <c r="G1612" s="6">
        <v>492</v>
      </c>
      <c r="H1612" s="26"/>
      <c r="I1612" s="232"/>
    </row>
    <row r="1613" spans="1:9" ht="13">
      <c r="A1613" s="14" t="s">
        <v>3555</v>
      </c>
      <c r="B1613" s="2" t="s">
        <v>3556</v>
      </c>
      <c r="C1613" s="28" t="s">
        <v>3497</v>
      </c>
      <c r="D1613" s="2">
        <v>2018</v>
      </c>
      <c r="E1613" s="4">
        <v>6</v>
      </c>
      <c r="F1613" s="5" t="s">
        <v>304</v>
      </c>
      <c r="G1613" s="6">
        <v>510</v>
      </c>
      <c r="H1613" s="33"/>
      <c r="I1613" s="119"/>
    </row>
    <row r="1614" spans="1:9" ht="13">
      <c r="A1614" s="14" t="s">
        <v>3557</v>
      </c>
      <c r="B1614" s="2" t="s">
        <v>3558</v>
      </c>
      <c r="C1614" s="28" t="s">
        <v>3497</v>
      </c>
      <c r="D1614" s="2">
        <v>2018</v>
      </c>
      <c r="E1614" s="4">
        <v>12</v>
      </c>
      <c r="F1614" s="2" t="s">
        <v>32</v>
      </c>
      <c r="G1614" s="6">
        <v>492</v>
      </c>
      <c r="H1614" s="33"/>
      <c r="I1614" s="19"/>
    </row>
    <row r="1615" spans="1:9" ht="13">
      <c r="A1615" s="14" t="s">
        <v>3559</v>
      </c>
      <c r="B1615" s="2" t="s">
        <v>3560</v>
      </c>
      <c r="C1615" s="28" t="s">
        <v>3497</v>
      </c>
      <c r="D1615" s="2">
        <v>2018</v>
      </c>
      <c r="E1615" s="4">
        <v>6</v>
      </c>
      <c r="F1615" s="5" t="s">
        <v>304</v>
      </c>
      <c r="G1615" s="6">
        <v>510</v>
      </c>
      <c r="H1615" s="33"/>
      <c r="I1615" s="119"/>
    </row>
    <row r="1616" spans="1:9" ht="13">
      <c r="A1616" s="14" t="s">
        <v>3561</v>
      </c>
      <c r="B1616" s="2" t="s">
        <v>3562</v>
      </c>
      <c r="C1616" s="28" t="s">
        <v>3497</v>
      </c>
      <c r="D1616" s="2">
        <v>2020</v>
      </c>
      <c r="E1616" s="4">
        <v>12</v>
      </c>
      <c r="F1616" s="2" t="s">
        <v>32</v>
      </c>
      <c r="G1616" s="6">
        <v>600</v>
      </c>
      <c r="H1616" s="26"/>
      <c r="I1616" s="232"/>
    </row>
    <row r="1617" spans="1:9" ht="13">
      <c r="A1617" s="14" t="s">
        <v>3563</v>
      </c>
      <c r="B1617" s="2" t="s">
        <v>3564</v>
      </c>
      <c r="C1617" s="28" t="s">
        <v>3497</v>
      </c>
      <c r="D1617" s="2">
        <v>2020</v>
      </c>
      <c r="E1617" s="4">
        <v>6</v>
      </c>
      <c r="F1617" s="5" t="s">
        <v>304</v>
      </c>
      <c r="G1617" s="6">
        <v>618</v>
      </c>
      <c r="H1617" s="33"/>
      <c r="I1617" s="119"/>
    </row>
    <row r="1618" spans="1:9" ht="13">
      <c r="A1618" s="14" t="s">
        <v>3565</v>
      </c>
      <c r="B1618" s="2" t="s">
        <v>3566</v>
      </c>
      <c r="C1618" s="28" t="s">
        <v>3497</v>
      </c>
      <c r="D1618" s="5" t="s">
        <v>5</v>
      </c>
      <c r="E1618" s="4">
        <v>12</v>
      </c>
      <c r="F1618" s="2" t="s">
        <v>32</v>
      </c>
      <c r="G1618" s="6">
        <v>600</v>
      </c>
      <c r="H1618" s="33"/>
      <c r="I1618" s="232"/>
    </row>
    <row r="1619" spans="1:9" ht="13">
      <c r="A1619" s="14" t="s">
        <v>3567</v>
      </c>
      <c r="B1619" s="2" t="s">
        <v>3568</v>
      </c>
      <c r="C1619" s="28" t="s">
        <v>3497</v>
      </c>
      <c r="D1619" s="5" t="s">
        <v>5</v>
      </c>
      <c r="E1619" s="4">
        <v>6</v>
      </c>
      <c r="F1619" s="5" t="s">
        <v>304</v>
      </c>
      <c r="G1619" s="6">
        <v>618</v>
      </c>
      <c r="H1619" s="33"/>
      <c r="I1619" s="232"/>
    </row>
    <row r="1620" spans="1:9" ht="13">
      <c r="A1620" s="14" t="s">
        <v>3569</v>
      </c>
      <c r="B1620" s="2" t="s">
        <v>3570</v>
      </c>
      <c r="C1620" s="28" t="s">
        <v>3497</v>
      </c>
      <c r="D1620" s="2">
        <v>2018</v>
      </c>
      <c r="E1620" s="4">
        <v>12</v>
      </c>
      <c r="F1620" s="2" t="s">
        <v>32</v>
      </c>
      <c r="G1620" s="6">
        <v>690</v>
      </c>
      <c r="H1620" s="33"/>
      <c r="I1620" s="119"/>
    </row>
    <row r="1621" spans="1:9" ht="13">
      <c r="A1621" s="14" t="s">
        <v>3569</v>
      </c>
      <c r="B1621" s="2" t="s">
        <v>3571</v>
      </c>
      <c r="C1621" s="28" t="s">
        <v>3497</v>
      </c>
      <c r="D1621" s="2">
        <v>2018</v>
      </c>
      <c r="E1621" s="4">
        <v>6</v>
      </c>
      <c r="F1621" s="5" t="s">
        <v>304</v>
      </c>
      <c r="G1621" s="6">
        <v>720</v>
      </c>
      <c r="H1621" s="33"/>
      <c r="I1621" s="119"/>
    </row>
    <row r="1622" spans="1:9" ht="13">
      <c r="A1622" s="14" t="s">
        <v>3572</v>
      </c>
      <c r="B1622" s="2" t="s">
        <v>3573</v>
      </c>
      <c r="C1622" s="28" t="s">
        <v>3497</v>
      </c>
      <c r="D1622" s="2">
        <v>2020</v>
      </c>
      <c r="E1622" s="4">
        <v>6</v>
      </c>
      <c r="F1622" s="2" t="s">
        <v>32</v>
      </c>
      <c r="G1622" s="6">
        <v>864</v>
      </c>
      <c r="H1622" s="26"/>
      <c r="I1622" s="232"/>
    </row>
    <row r="1623" spans="1:9" ht="13">
      <c r="A1623" s="14" t="s">
        <v>3574</v>
      </c>
      <c r="B1623" s="2" t="s">
        <v>3575</v>
      </c>
      <c r="C1623" s="28" t="s">
        <v>3497</v>
      </c>
      <c r="D1623" s="2">
        <v>2020</v>
      </c>
      <c r="E1623" s="4">
        <v>6</v>
      </c>
      <c r="F1623" s="5" t="s">
        <v>304</v>
      </c>
      <c r="G1623" s="6">
        <v>1908</v>
      </c>
      <c r="H1623" s="26"/>
      <c r="I1623" s="232"/>
    </row>
    <row r="1624" spans="1:9" ht="13">
      <c r="A1624" s="14" t="s">
        <v>3576</v>
      </c>
      <c r="B1624" s="2" t="s">
        <v>3577</v>
      </c>
      <c r="C1624" s="28" t="s">
        <v>3497</v>
      </c>
      <c r="D1624" s="2">
        <v>2019</v>
      </c>
      <c r="E1624" s="4">
        <v>2</v>
      </c>
      <c r="F1624" s="5" t="s">
        <v>3062</v>
      </c>
      <c r="G1624" s="6">
        <v>1336</v>
      </c>
      <c r="H1624" s="33"/>
      <c r="I1624" s="119"/>
    </row>
    <row r="1625" spans="1:9" ht="18">
      <c r="A1625" s="699" t="s">
        <v>3578</v>
      </c>
      <c r="B1625" s="689"/>
      <c r="C1625" s="689"/>
      <c r="D1625" s="689"/>
      <c r="E1625" s="689"/>
      <c r="F1625" s="689"/>
      <c r="G1625" s="689"/>
      <c r="H1625" s="689"/>
      <c r="I1625" s="690"/>
    </row>
    <row r="1626" spans="1:9" ht="13">
      <c r="A1626" s="14" t="s">
        <v>3579</v>
      </c>
      <c r="B1626" s="5" t="s">
        <v>3580</v>
      </c>
      <c r="C1626" s="28" t="s">
        <v>3581</v>
      </c>
      <c r="D1626" s="5">
        <v>2022</v>
      </c>
      <c r="E1626" s="4">
        <v>6</v>
      </c>
      <c r="F1626" s="2" t="s">
        <v>32</v>
      </c>
      <c r="G1626" s="6">
        <v>72</v>
      </c>
      <c r="H1626" s="226"/>
      <c r="I1626" s="119"/>
    </row>
    <row r="1627" spans="1:9" ht="13">
      <c r="A1627" s="14" t="s">
        <v>3582</v>
      </c>
      <c r="B1627" s="5" t="s">
        <v>3583</v>
      </c>
      <c r="C1627" s="28" t="s">
        <v>3497</v>
      </c>
      <c r="D1627" s="5">
        <v>2022</v>
      </c>
      <c r="E1627" s="4">
        <v>6</v>
      </c>
      <c r="F1627" s="2" t="s">
        <v>32</v>
      </c>
      <c r="G1627" s="34">
        <v>138</v>
      </c>
      <c r="H1627" s="226"/>
      <c r="I1627" s="232"/>
    </row>
    <row r="1628" spans="1:9" ht="13">
      <c r="A1628" s="14" t="s">
        <v>3584</v>
      </c>
      <c r="B1628" s="5" t="s">
        <v>3585</v>
      </c>
      <c r="C1628" s="28" t="s">
        <v>67</v>
      </c>
      <c r="D1628" s="2">
        <v>2022</v>
      </c>
      <c r="E1628" s="4">
        <v>6</v>
      </c>
      <c r="F1628" s="2" t="s">
        <v>32</v>
      </c>
      <c r="G1628" s="6">
        <v>162</v>
      </c>
      <c r="H1628" s="226"/>
      <c r="I1628" s="232"/>
    </row>
    <row r="1629" spans="1:9" ht="23">
      <c r="A1629" s="718" t="s">
        <v>3586</v>
      </c>
      <c r="B1629" s="689"/>
      <c r="C1629" s="689"/>
      <c r="D1629" s="689"/>
      <c r="E1629" s="689"/>
      <c r="F1629" s="689"/>
      <c r="G1629" s="689"/>
      <c r="H1629" s="689"/>
      <c r="I1629" s="690"/>
    </row>
    <row r="1630" spans="1:9" ht="18">
      <c r="A1630" s="696" t="s">
        <v>3587</v>
      </c>
      <c r="B1630" s="689"/>
      <c r="C1630" s="689"/>
      <c r="D1630" s="689"/>
      <c r="E1630" s="689"/>
      <c r="F1630" s="689"/>
      <c r="G1630" s="689"/>
      <c r="H1630" s="689"/>
      <c r="I1630" s="690"/>
    </row>
    <row r="1631" spans="1:9" ht="13">
      <c r="A1631" s="10" t="s">
        <v>3588</v>
      </c>
      <c r="B1631" s="5" t="s">
        <v>3589</v>
      </c>
      <c r="C1631" s="28" t="s">
        <v>3590</v>
      </c>
      <c r="D1631" s="5">
        <v>2020</v>
      </c>
      <c r="E1631" s="4">
        <v>12</v>
      </c>
      <c r="F1631" s="2" t="s">
        <v>32</v>
      </c>
      <c r="G1631" s="6">
        <v>168</v>
      </c>
      <c r="H1631" s="45"/>
      <c r="I1631" s="119"/>
    </row>
    <row r="1632" spans="1:9" ht="13">
      <c r="A1632" s="10" t="s">
        <v>3591</v>
      </c>
      <c r="B1632" s="5" t="s">
        <v>3592</v>
      </c>
      <c r="C1632" s="28" t="s">
        <v>3593</v>
      </c>
      <c r="D1632" s="5">
        <v>2021</v>
      </c>
      <c r="E1632" s="4">
        <v>12</v>
      </c>
      <c r="F1632" s="2" t="s">
        <v>32</v>
      </c>
      <c r="G1632" s="34">
        <v>180</v>
      </c>
      <c r="H1632" s="36"/>
      <c r="I1632" s="119"/>
    </row>
    <row r="1633" spans="1:9" ht="13">
      <c r="A1633" s="121" t="s">
        <v>3594</v>
      </c>
      <c r="B1633" s="5" t="s">
        <v>3595</v>
      </c>
      <c r="C1633" s="28" t="s">
        <v>3512</v>
      </c>
      <c r="D1633" s="2">
        <v>2018</v>
      </c>
      <c r="E1633" s="4">
        <v>12</v>
      </c>
      <c r="F1633" s="2" t="s">
        <v>32</v>
      </c>
      <c r="G1633" s="6">
        <v>186</v>
      </c>
      <c r="H1633" s="45"/>
      <c r="I1633" s="119"/>
    </row>
    <row r="1634" spans="1:9" ht="13">
      <c r="A1634" s="25" t="s">
        <v>3596</v>
      </c>
      <c r="B1634" s="5" t="s">
        <v>3597</v>
      </c>
      <c r="C1634" s="28" t="s">
        <v>346</v>
      </c>
      <c r="D1634" s="5">
        <v>2021</v>
      </c>
      <c r="E1634" s="4">
        <v>12</v>
      </c>
      <c r="F1634" s="2" t="s">
        <v>32</v>
      </c>
      <c r="G1634" s="6">
        <v>162</v>
      </c>
      <c r="H1634" s="36"/>
      <c r="I1634" s="18"/>
    </row>
    <row r="1635" spans="1:9" ht="13">
      <c r="A1635" s="25" t="s">
        <v>3598</v>
      </c>
      <c r="B1635" s="5" t="s">
        <v>3599</v>
      </c>
      <c r="C1635" s="28" t="s">
        <v>3477</v>
      </c>
      <c r="D1635" s="5">
        <v>2021</v>
      </c>
      <c r="E1635" s="4">
        <v>12</v>
      </c>
      <c r="F1635" s="2" t="s">
        <v>32</v>
      </c>
      <c r="G1635" s="6">
        <v>162</v>
      </c>
      <c r="H1635" s="36"/>
      <c r="I1635" s="18"/>
    </row>
    <row r="1636" spans="1:9" ht="13">
      <c r="A1636" s="25" t="s">
        <v>3600</v>
      </c>
      <c r="B1636" s="5" t="s">
        <v>3601</v>
      </c>
      <c r="C1636" s="28" t="s">
        <v>3602</v>
      </c>
      <c r="D1636" s="5">
        <v>2018</v>
      </c>
      <c r="E1636" s="4">
        <v>12</v>
      </c>
      <c r="F1636" s="2" t="s">
        <v>32</v>
      </c>
      <c r="G1636" s="6">
        <v>192</v>
      </c>
      <c r="H1636" s="36"/>
      <c r="I1636" s="232"/>
    </row>
    <row r="1637" spans="1:9" ht="13">
      <c r="A1637" s="121" t="s">
        <v>3603</v>
      </c>
      <c r="B1637" s="5" t="s">
        <v>3604</v>
      </c>
      <c r="C1637" s="28" t="s">
        <v>3605</v>
      </c>
      <c r="D1637" s="2">
        <v>2018</v>
      </c>
      <c r="E1637" s="4">
        <v>12</v>
      </c>
      <c r="F1637" s="2" t="s">
        <v>564</v>
      </c>
      <c r="G1637" s="46">
        <v>180</v>
      </c>
      <c r="H1637" s="47" t="s">
        <v>2703</v>
      </c>
      <c r="I1637" s="19"/>
    </row>
    <row r="1638" spans="1:9" ht="23">
      <c r="A1638" s="717" t="s">
        <v>3606</v>
      </c>
      <c r="B1638" s="689"/>
      <c r="C1638" s="689"/>
      <c r="D1638" s="689"/>
      <c r="E1638" s="689"/>
      <c r="F1638" s="689"/>
      <c r="G1638" s="689"/>
      <c r="H1638" s="689"/>
      <c r="I1638" s="690"/>
    </row>
    <row r="1639" spans="1:9" ht="18">
      <c r="A1639" s="694" t="s">
        <v>3607</v>
      </c>
      <c r="B1639" s="689"/>
      <c r="C1639" s="689"/>
      <c r="D1639" s="689"/>
      <c r="E1639" s="689"/>
      <c r="F1639" s="689"/>
      <c r="G1639" s="689"/>
      <c r="H1639" s="689"/>
      <c r="I1639" s="690"/>
    </row>
    <row r="1640" spans="1:9" ht="13">
      <c r="A1640" s="10" t="s">
        <v>3608</v>
      </c>
      <c r="B1640" s="2" t="s">
        <v>3609</v>
      </c>
      <c r="C1640" s="28" t="s">
        <v>3610</v>
      </c>
      <c r="D1640" s="2">
        <v>2023</v>
      </c>
      <c r="E1640" s="4">
        <v>12</v>
      </c>
      <c r="F1640" s="2" t="s">
        <v>32</v>
      </c>
      <c r="G1640" s="6">
        <v>744</v>
      </c>
      <c r="H1640" s="26"/>
      <c r="I1640" s="32"/>
    </row>
    <row r="1641" spans="1:9" ht="13">
      <c r="A1641" s="14" t="s">
        <v>3611</v>
      </c>
      <c r="B1641" s="2" t="s">
        <v>3612</v>
      </c>
      <c r="C1641" s="28" t="s">
        <v>3613</v>
      </c>
      <c r="D1641" s="2">
        <v>2023</v>
      </c>
      <c r="E1641" s="4">
        <v>12</v>
      </c>
      <c r="F1641" s="2" t="s">
        <v>32</v>
      </c>
      <c r="G1641" s="6">
        <v>744</v>
      </c>
      <c r="H1641" s="26"/>
      <c r="I1641" s="32"/>
    </row>
    <row r="1642" spans="1:9" ht="13">
      <c r="A1642" s="14" t="s">
        <v>3614</v>
      </c>
      <c r="B1642" s="2" t="s">
        <v>3612</v>
      </c>
      <c r="C1642" s="28" t="s">
        <v>3613</v>
      </c>
      <c r="D1642" s="2">
        <v>2022</v>
      </c>
      <c r="E1642" s="4">
        <v>12</v>
      </c>
      <c r="F1642" s="2" t="s">
        <v>32</v>
      </c>
      <c r="G1642" s="6">
        <v>690</v>
      </c>
      <c r="H1642" s="26"/>
      <c r="I1642" s="32"/>
    </row>
    <row r="1643" spans="1:9" ht="13">
      <c r="A1643" s="10" t="s">
        <v>3615</v>
      </c>
      <c r="B1643" s="2" t="s">
        <v>3616</v>
      </c>
      <c r="C1643" s="28" t="s">
        <v>3610</v>
      </c>
      <c r="D1643" s="2">
        <v>2023</v>
      </c>
      <c r="E1643" s="4">
        <v>12</v>
      </c>
      <c r="F1643" s="2" t="s">
        <v>32</v>
      </c>
      <c r="G1643" s="6">
        <v>1104</v>
      </c>
      <c r="H1643" s="26"/>
      <c r="I1643" s="32"/>
    </row>
    <row r="1644" spans="1:9" ht="13">
      <c r="A1644" s="10" t="s">
        <v>3617</v>
      </c>
      <c r="B1644" s="2" t="s">
        <v>3618</v>
      </c>
      <c r="C1644" s="28" t="s">
        <v>3619</v>
      </c>
      <c r="D1644" s="2">
        <v>2021</v>
      </c>
      <c r="E1644" s="4">
        <v>1</v>
      </c>
      <c r="F1644" s="2" t="s">
        <v>304</v>
      </c>
      <c r="G1644" s="6">
        <v>968</v>
      </c>
      <c r="H1644" s="33"/>
      <c r="I1644" s="18">
        <v>1</v>
      </c>
    </row>
    <row r="1645" spans="1:9" ht="13">
      <c r="A1645" s="14" t="s">
        <v>3620</v>
      </c>
      <c r="B1645" s="2" t="s">
        <v>3621</v>
      </c>
      <c r="C1645" s="28" t="s">
        <v>52</v>
      </c>
      <c r="D1645" s="2">
        <v>2023</v>
      </c>
      <c r="E1645" s="4">
        <v>12</v>
      </c>
      <c r="F1645" s="2" t="s">
        <v>32</v>
      </c>
      <c r="G1645" s="6">
        <v>1104</v>
      </c>
      <c r="H1645" s="26"/>
      <c r="I1645" s="32"/>
    </row>
    <row r="1646" spans="1:9" ht="13">
      <c r="A1646" s="10" t="s">
        <v>3622</v>
      </c>
      <c r="B1646" s="2" t="s">
        <v>3623</v>
      </c>
      <c r="C1646" s="28" t="s">
        <v>3610</v>
      </c>
      <c r="D1646" s="2">
        <v>2022</v>
      </c>
      <c r="E1646" s="4">
        <v>12</v>
      </c>
      <c r="F1646" s="2" t="s">
        <v>32</v>
      </c>
      <c r="G1646" s="6">
        <v>2364</v>
      </c>
      <c r="H1646" s="26"/>
      <c r="I1646" s="32"/>
    </row>
    <row r="1647" spans="1:9" ht="13">
      <c r="A1647" s="14" t="s">
        <v>3624</v>
      </c>
      <c r="B1647" s="2" t="s">
        <v>3625</v>
      </c>
      <c r="C1647" s="28" t="s">
        <v>3497</v>
      </c>
      <c r="D1647" s="2">
        <v>2023</v>
      </c>
      <c r="E1647" s="4">
        <v>12</v>
      </c>
      <c r="F1647" s="2" t="s">
        <v>32</v>
      </c>
      <c r="G1647" s="6">
        <v>2364</v>
      </c>
      <c r="H1647" s="26"/>
      <c r="I1647" s="32"/>
    </row>
    <row r="1648" spans="1:9" ht="13">
      <c r="A1648" s="14" t="s">
        <v>3626</v>
      </c>
      <c r="B1648" s="2" t="s">
        <v>3627</v>
      </c>
      <c r="C1648" s="28" t="s">
        <v>463</v>
      </c>
      <c r="D1648" s="2">
        <v>2023</v>
      </c>
      <c r="E1648" s="4">
        <v>12</v>
      </c>
      <c r="F1648" s="2" t="s">
        <v>32</v>
      </c>
      <c r="G1648" s="6">
        <v>2364</v>
      </c>
      <c r="H1648" s="26"/>
      <c r="I1648" s="32"/>
    </row>
    <row r="1649" spans="1:9" ht="13">
      <c r="A1649" s="14" t="s">
        <v>3628</v>
      </c>
      <c r="B1649" s="2" t="s">
        <v>3629</v>
      </c>
      <c r="C1649" s="28" t="s">
        <v>3630</v>
      </c>
      <c r="D1649" s="2">
        <v>2023</v>
      </c>
      <c r="E1649" s="4">
        <v>12</v>
      </c>
      <c r="F1649" s="2" t="s">
        <v>32</v>
      </c>
      <c r="G1649" s="6">
        <v>2364</v>
      </c>
      <c r="H1649" s="26"/>
      <c r="I1649" s="32"/>
    </row>
    <row r="1650" spans="1:9" ht="13">
      <c r="A1650" s="1" t="s">
        <v>3631</v>
      </c>
      <c r="B1650" s="2" t="s">
        <v>3632</v>
      </c>
      <c r="C1650" s="28" t="s">
        <v>3633</v>
      </c>
      <c r="D1650" s="2">
        <v>2022</v>
      </c>
      <c r="E1650" s="4">
        <v>6</v>
      </c>
      <c r="F1650" s="2" t="s">
        <v>32</v>
      </c>
      <c r="G1650" s="6">
        <v>1182</v>
      </c>
      <c r="H1650" s="26"/>
      <c r="I1650" s="32"/>
    </row>
    <row r="1651" spans="1:9" ht="33">
      <c r="A1651" s="719" t="s">
        <v>3634</v>
      </c>
      <c r="B1651" s="689"/>
      <c r="C1651" s="689"/>
      <c r="D1651" s="689"/>
      <c r="E1651" s="689"/>
      <c r="F1651" s="689"/>
      <c r="G1651" s="689"/>
      <c r="H1651" s="689"/>
      <c r="I1651" s="690"/>
    </row>
    <row r="1652" spans="1:9" ht="23">
      <c r="A1652" s="720" t="s">
        <v>3635</v>
      </c>
      <c r="B1652" s="689"/>
      <c r="C1652" s="689"/>
      <c r="D1652" s="689"/>
      <c r="E1652" s="689"/>
      <c r="F1652" s="689"/>
      <c r="G1652" s="689"/>
      <c r="H1652" s="689"/>
      <c r="I1652" s="690"/>
    </row>
    <row r="1653" spans="1:9" ht="18">
      <c r="A1653" s="696" t="s">
        <v>3636</v>
      </c>
      <c r="B1653" s="689"/>
      <c r="C1653" s="689"/>
      <c r="D1653" s="689"/>
      <c r="E1653" s="689"/>
      <c r="F1653" s="689"/>
      <c r="G1653" s="689"/>
      <c r="H1653" s="689"/>
      <c r="I1653" s="690"/>
    </row>
    <row r="1654" spans="1:9" ht="13">
      <c r="A1654" s="15" t="s">
        <v>3637</v>
      </c>
      <c r="B1654" s="195" t="s">
        <v>3638</v>
      </c>
      <c r="C1654" s="28" t="s">
        <v>3639</v>
      </c>
      <c r="D1654" s="2">
        <v>2022</v>
      </c>
      <c r="E1654" s="4">
        <v>12</v>
      </c>
      <c r="F1654" s="5" t="s">
        <v>32</v>
      </c>
      <c r="G1654" s="29">
        <v>156</v>
      </c>
      <c r="H1654" s="23"/>
      <c r="I1654" s="30"/>
    </row>
    <row r="1655" spans="1:9" ht="13">
      <c r="A1655" s="10" t="s">
        <v>3640</v>
      </c>
      <c r="B1655" s="163" t="s">
        <v>3641</v>
      </c>
      <c r="C1655" s="28" t="s">
        <v>3642</v>
      </c>
      <c r="D1655" s="5">
        <v>2022</v>
      </c>
      <c r="E1655" s="4">
        <v>12</v>
      </c>
      <c r="F1655" s="5" t="s">
        <v>32</v>
      </c>
      <c r="G1655" s="29">
        <v>168</v>
      </c>
      <c r="H1655" s="23"/>
      <c r="I1655" s="19"/>
    </row>
    <row r="1656" spans="1:9" ht="13">
      <c r="A1656" s="54" t="s">
        <v>3643</v>
      </c>
      <c r="B1656" s="5" t="s">
        <v>3644</v>
      </c>
      <c r="C1656" s="28" t="s">
        <v>3645</v>
      </c>
      <c r="D1656" s="5">
        <v>2020</v>
      </c>
      <c r="E1656" s="4">
        <v>12</v>
      </c>
      <c r="F1656" s="5" t="s">
        <v>32</v>
      </c>
      <c r="G1656" s="29">
        <v>168</v>
      </c>
      <c r="H1656" s="23"/>
      <c r="I1656" s="30"/>
    </row>
    <row r="1657" spans="1:9" ht="13">
      <c r="A1657" s="39" t="s">
        <v>3646</v>
      </c>
      <c r="B1657" s="163" t="s">
        <v>3647</v>
      </c>
      <c r="C1657" s="28" t="s">
        <v>3648</v>
      </c>
      <c r="D1657" s="5">
        <v>2022</v>
      </c>
      <c r="E1657" s="4">
        <v>12</v>
      </c>
      <c r="F1657" s="5" t="s">
        <v>32</v>
      </c>
      <c r="G1657" s="29">
        <v>162</v>
      </c>
      <c r="H1657" s="23"/>
      <c r="I1657" s="19"/>
    </row>
    <row r="1658" spans="1:9" ht="13">
      <c r="A1658" s="39" t="s">
        <v>3649</v>
      </c>
      <c r="B1658" s="163" t="s">
        <v>3650</v>
      </c>
      <c r="C1658" s="28" t="s">
        <v>3648</v>
      </c>
      <c r="D1658" s="5">
        <v>2022</v>
      </c>
      <c r="E1658" s="4">
        <v>12</v>
      </c>
      <c r="F1658" s="5" t="s">
        <v>32</v>
      </c>
      <c r="G1658" s="29">
        <v>162</v>
      </c>
      <c r="H1658" s="23"/>
      <c r="I1658" s="19"/>
    </row>
    <row r="1659" spans="1:9" ht="13">
      <c r="A1659" s="25" t="s">
        <v>3651</v>
      </c>
      <c r="B1659" s="238" t="s">
        <v>3652</v>
      </c>
      <c r="C1659" s="28" t="s">
        <v>3653</v>
      </c>
      <c r="D1659" s="2">
        <v>2022</v>
      </c>
      <c r="E1659" s="4">
        <v>12</v>
      </c>
      <c r="F1659" s="5" t="s">
        <v>32</v>
      </c>
      <c r="G1659" s="29">
        <v>156</v>
      </c>
      <c r="H1659" s="23"/>
      <c r="I1659" s="18"/>
    </row>
    <row r="1660" spans="1:9" ht="13">
      <c r="A1660" s="25" t="s">
        <v>3654</v>
      </c>
      <c r="B1660" s="163" t="s">
        <v>3655</v>
      </c>
      <c r="C1660" s="28" t="s">
        <v>3656</v>
      </c>
      <c r="D1660" s="5">
        <v>2021</v>
      </c>
      <c r="E1660" s="4">
        <v>12</v>
      </c>
      <c r="F1660" s="5" t="s">
        <v>32</v>
      </c>
      <c r="G1660" s="29">
        <v>168</v>
      </c>
      <c r="H1660" s="23"/>
      <c r="I1660" s="13"/>
    </row>
    <row r="1661" spans="1:9" ht="13">
      <c r="A1661" s="25" t="s">
        <v>3657</v>
      </c>
      <c r="B1661" s="163" t="s">
        <v>3658</v>
      </c>
      <c r="C1661" s="28" t="s">
        <v>3659</v>
      </c>
      <c r="D1661" s="5">
        <v>2015</v>
      </c>
      <c r="E1661" s="4">
        <v>6</v>
      </c>
      <c r="F1661" s="5" t="s">
        <v>32</v>
      </c>
      <c r="G1661" s="29">
        <v>144</v>
      </c>
      <c r="H1661" s="17"/>
      <c r="I1661" s="13"/>
    </row>
    <row r="1662" spans="1:9" ht="13">
      <c r="A1662" s="54" t="s">
        <v>3660</v>
      </c>
      <c r="B1662" s="238" t="s">
        <v>3661</v>
      </c>
      <c r="C1662" s="28" t="s">
        <v>3639</v>
      </c>
      <c r="D1662" s="2">
        <v>2021</v>
      </c>
      <c r="E1662" s="4">
        <v>6</v>
      </c>
      <c r="F1662" s="5" t="s">
        <v>32</v>
      </c>
      <c r="G1662" s="29">
        <v>123</v>
      </c>
      <c r="H1662" s="23"/>
      <c r="I1662" s="18"/>
    </row>
    <row r="1663" spans="1:9" ht="13">
      <c r="A1663" s="15" t="s">
        <v>3662</v>
      </c>
      <c r="B1663" s="238" t="s">
        <v>3663</v>
      </c>
      <c r="C1663" s="28" t="s">
        <v>3664</v>
      </c>
      <c r="D1663" s="2">
        <v>2020</v>
      </c>
      <c r="E1663" s="4">
        <v>12</v>
      </c>
      <c r="F1663" s="5" t="s">
        <v>32</v>
      </c>
      <c r="G1663" s="29">
        <v>258</v>
      </c>
      <c r="H1663" s="17"/>
      <c r="I1663" s="19"/>
    </row>
    <row r="1664" spans="1:9" ht="13">
      <c r="A1664" s="15" t="s">
        <v>3665</v>
      </c>
      <c r="B1664" s="238" t="s">
        <v>3666</v>
      </c>
      <c r="C1664" s="28" t="s">
        <v>3642</v>
      </c>
      <c r="D1664" s="2">
        <v>2020</v>
      </c>
      <c r="E1664" s="4">
        <v>12</v>
      </c>
      <c r="F1664" s="5" t="s">
        <v>32</v>
      </c>
      <c r="G1664" s="29">
        <v>258</v>
      </c>
      <c r="H1664" s="17"/>
      <c r="I1664" s="19"/>
    </row>
    <row r="1665" spans="1:9" ht="13">
      <c r="A1665" s="15" t="s">
        <v>3667</v>
      </c>
      <c r="B1665" s="238" t="s">
        <v>3668</v>
      </c>
      <c r="C1665" s="28" t="s">
        <v>3645</v>
      </c>
      <c r="D1665" s="2">
        <v>2017</v>
      </c>
      <c r="E1665" s="4">
        <v>12</v>
      </c>
      <c r="F1665" s="5" t="s">
        <v>32</v>
      </c>
      <c r="G1665" s="6">
        <v>294</v>
      </c>
      <c r="H1665" s="17"/>
      <c r="I1665" s="13"/>
    </row>
    <row r="1666" spans="1:9" ht="13">
      <c r="A1666" s="15" t="s">
        <v>3669</v>
      </c>
      <c r="B1666" s="163" t="s">
        <v>3670</v>
      </c>
      <c r="C1666" s="28" t="s">
        <v>3664</v>
      </c>
      <c r="D1666" s="5">
        <v>2020</v>
      </c>
      <c r="E1666" s="4">
        <v>12</v>
      </c>
      <c r="F1666" s="5" t="s">
        <v>32</v>
      </c>
      <c r="G1666" s="6">
        <v>342</v>
      </c>
      <c r="H1666" s="17"/>
      <c r="I1666" s="19"/>
    </row>
    <row r="1667" spans="1:9" ht="13">
      <c r="A1667" s="15" t="s">
        <v>3671</v>
      </c>
      <c r="B1667" s="238" t="s">
        <v>3672</v>
      </c>
      <c r="C1667" s="28" t="s">
        <v>3642</v>
      </c>
      <c r="D1667" s="2">
        <v>2019</v>
      </c>
      <c r="E1667" s="4">
        <v>12</v>
      </c>
      <c r="F1667" s="5" t="s">
        <v>32</v>
      </c>
      <c r="G1667" s="6">
        <v>210</v>
      </c>
      <c r="H1667" s="17"/>
      <c r="I1667" s="13"/>
    </row>
    <row r="1668" spans="1:9" ht="13">
      <c r="A1668" s="54" t="s">
        <v>3673</v>
      </c>
      <c r="B1668" s="238" t="s">
        <v>3674</v>
      </c>
      <c r="C1668" s="28" t="s">
        <v>3642</v>
      </c>
      <c r="D1668" s="2">
        <v>2021</v>
      </c>
      <c r="E1668" s="4">
        <v>6</v>
      </c>
      <c r="F1668" s="5" t="s">
        <v>32</v>
      </c>
      <c r="G1668" s="6">
        <v>138</v>
      </c>
      <c r="H1668" s="23"/>
      <c r="I1668" s="18"/>
    </row>
    <row r="1669" spans="1:9" ht="13">
      <c r="A1669" s="25" t="s">
        <v>3675</v>
      </c>
      <c r="B1669" s="238" t="s">
        <v>3676</v>
      </c>
      <c r="C1669" s="28" t="s">
        <v>3648</v>
      </c>
      <c r="D1669" s="2">
        <v>2020</v>
      </c>
      <c r="E1669" s="4">
        <v>6</v>
      </c>
      <c r="F1669" s="5" t="s">
        <v>32</v>
      </c>
      <c r="G1669" s="6">
        <v>138</v>
      </c>
      <c r="H1669" s="23"/>
      <c r="I1669" s="18"/>
    </row>
    <row r="1670" spans="1:9" ht="13">
      <c r="A1670" s="124" t="s">
        <v>3677</v>
      </c>
      <c r="B1670" s="238" t="s">
        <v>3678</v>
      </c>
      <c r="C1670" s="28" t="s">
        <v>3679</v>
      </c>
      <c r="D1670" s="2" t="s">
        <v>5</v>
      </c>
      <c r="E1670" s="4">
        <v>12</v>
      </c>
      <c r="F1670" s="5" t="s">
        <v>32</v>
      </c>
      <c r="G1670" s="6">
        <v>360</v>
      </c>
      <c r="H1670" s="17"/>
      <c r="I1670" s="13"/>
    </row>
    <row r="1671" spans="1:9" ht="18">
      <c r="A1671" s="696" t="s">
        <v>3680</v>
      </c>
      <c r="B1671" s="689"/>
      <c r="C1671" s="689"/>
      <c r="D1671" s="689"/>
      <c r="E1671" s="689"/>
      <c r="F1671" s="689"/>
      <c r="G1671" s="689"/>
      <c r="H1671" s="689"/>
      <c r="I1671" s="690"/>
    </row>
    <row r="1672" spans="1:9" ht="13">
      <c r="A1672" s="54" t="s">
        <v>3681</v>
      </c>
      <c r="B1672" s="210" t="s">
        <v>3682</v>
      </c>
      <c r="C1672" s="28" t="s">
        <v>3683</v>
      </c>
      <c r="D1672" s="5">
        <v>2021</v>
      </c>
      <c r="E1672" s="4">
        <v>6</v>
      </c>
      <c r="F1672" s="5" t="s">
        <v>32</v>
      </c>
      <c r="G1672" s="46">
        <v>120</v>
      </c>
      <c r="H1672" s="47" t="s">
        <v>1727</v>
      </c>
      <c r="I1672" s="19"/>
    </row>
    <row r="1673" spans="1:9" ht="13">
      <c r="A1673" s="37" t="s">
        <v>3684</v>
      </c>
      <c r="B1673" s="210" t="s">
        <v>3685</v>
      </c>
      <c r="C1673" s="28" t="s">
        <v>3683</v>
      </c>
      <c r="D1673" s="5">
        <v>2020</v>
      </c>
      <c r="E1673" s="4">
        <v>12</v>
      </c>
      <c r="F1673" s="5" t="s">
        <v>32</v>
      </c>
      <c r="G1673" s="46">
        <v>240</v>
      </c>
      <c r="H1673" s="47" t="s">
        <v>2703</v>
      </c>
      <c r="I1673" s="19"/>
    </row>
    <row r="1674" spans="1:9" ht="13">
      <c r="A1674" s="37" t="s">
        <v>3686</v>
      </c>
      <c r="B1674" s="210" t="s">
        <v>3687</v>
      </c>
      <c r="C1674" s="28" t="s">
        <v>3683</v>
      </c>
      <c r="D1674" s="5">
        <v>2021</v>
      </c>
      <c r="E1674" s="4">
        <v>6</v>
      </c>
      <c r="F1674" s="5" t="s">
        <v>32</v>
      </c>
      <c r="G1674" s="46">
        <v>120</v>
      </c>
      <c r="H1674" s="47" t="s">
        <v>1727</v>
      </c>
      <c r="I1674" s="19"/>
    </row>
    <row r="1675" spans="1:9" ht="13">
      <c r="A1675" s="14" t="s">
        <v>3688</v>
      </c>
      <c r="B1675" s="5" t="s">
        <v>3689</v>
      </c>
      <c r="C1675" s="28" t="s">
        <v>52</v>
      </c>
      <c r="D1675" s="5">
        <v>2021</v>
      </c>
      <c r="E1675" s="4">
        <v>12</v>
      </c>
      <c r="F1675" s="5" t="s">
        <v>32</v>
      </c>
      <c r="G1675" s="46">
        <v>180</v>
      </c>
      <c r="H1675" s="47" t="s">
        <v>2369</v>
      </c>
      <c r="I1675" s="19"/>
    </row>
    <row r="1676" spans="1:9" ht="23">
      <c r="A1676" s="720" t="s">
        <v>3690</v>
      </c>
      <c r="B1676" s="689"/>
      <c r="C1676" s="689"/>
      <c r="D1676" s="689"/>
      <c r="E1676" s="689"/>
      <c r="F1676" s="689"/>
      <c r="G1676" s="689"/>
      <c r="H1676" s="689"/>
      <c r="I1676" s="690"/>
    </row>
    <row r="1677" spans="1:9" ht="18">
      <c r="A1677" s="696" t="s">
        <v>3691</v>
      </c>
      <c r="B1677" s="689"/>
      <c r="C1677" s="689"/>
      <c r="D1677" s="689"/>
      <c r="E1677" s="689"/>
      <c r="F1677" s="689"/>
      <c r="G1677" s="689"/>
      <c r="H1677" s="689"/>
      <c r="I1677" s="690"/>
    </row>
    <row r="1678" spans="1:9" ht="13">
      <c r="A1678" s="54" t="s">
        <v>3692</v>
      </c>
      <c r="B1678" s="210" t="s">
        <v>3693</v>
      </c>
      <c r="C1678" s="28" t="s">
        <v>3694</v>
      </c>
      <c r="D1678" s="5">
        <v>2019</v>
      </c>
      <c r="E1678" s="4">
        <v>6</v>
      </c>
      <c r="F1678" s="5" t="s">
        <v>32</v>
      </c>
      <c r="G1678" s="29">
        <v>96</v>
      </c>
      <c r="H1678" s="33"/>
      <c r="I1678" s="19"/>
    </row>
    <row r="1679" spans="1:9" ht="13">
      <c r="A1679" s="54" t="s">
        <v>3695</v>
      </c>
      <c r="B1679" s="163" t="s">
        <v>3696</v>
      </c>
      <c r="C1679" s="28" t="s">
        <v>3694</v>
      </c>
      <c r="D1679" s="5">
        <v>2018</v>
      </c>
      <c r="E1679" s="4">
        <v>12</v>
      </c>
      <c r="F1679" s="5" t="s">
        <v>32</v>
      </c>
      <c r="G1679" s="6">
        <v>240</v>
      </c>
      <c r="H1679" s="33"/>
      <c r="I1679" s="13"/>
    </row>
    <row r="1680" spans="1:9" ht="13">
      <c r="A1680" s="54" t="s">
        <v>3697</v>
      </c>
      <c r="B1680" s="163" t="s">
        <v>3698</v>
      </c>
      <c r="C1680" s="28" t="s">
        <v>3694</v>
      </c>
      <c r="D1680" s="5">
        <v>2019</v>
      </c>
      <c r="E1680" s="4">
        <v>6</v>
      </c>
      <c r="F1680" s="5" t="s">
        <v>32</v>
      </c>
      <c r="G1680" s="29">
        <v>138</v>
      </c>
      <c r="H1680" s="33"/>
      <c r="I1680" s="19"/>
    </row>
    <row r="1681" spans="1:9" ht="13">
      <c r="A1681" s="54" t="s">
        <v>3699</v>
      </c>
      <c r="B1681" s="163" t="s">
        <v>3700</v>
      </c>
      <c r="C1681" s="28" t="s">
        <v>3694</v>
      </c>
      <c r="D1681" s="5">
        <v>2019</v>
      </c>
      <c r="E1681" s="4">
        <v>6</v>
      </c>
      <c r="F1681" s="5" t="s">
        <v>32</v>
      </c>
      <c r="G1681" s="29">
        <v>138</v>
      </c>
      <c r="H1681" s="33"/>
      <c r="I1681" s="19"/>
    </row>
    <row r="1682" spans="1:9" ht="13">
      <c r="A1682" s="25" t="s">
        <v>3701</v>
      </c>
      <c r="B1682" s="163" t="s">
        <v>3702</v>
      </c>
      <c r="C1682" s="28" t="s">
        <v>3703</v>
      </c>
      <c r="D1682" s="5">
        <v>2018</v>
      </c>
      <c r="E1682" s="4">
        <v>6</v>
      </c>
      <c r="F1682" s="5" t="s">
        <v>32</v>
      </c>
      <c r="G1682" s="29">
        <v>138</v>
      </c>
      <c r="H1682" s="33"/>
      <c r="I1682" s="19"/>
    </row>
    <row r="1683" spans="1:9" ht="33">
      <c r="A1683" s="691" t="s">
        <v>3704</v>
      </c>
      <c r="B1683" s="689"/>
      <c r="C1683" s="689"/>
      <c r="D1683" s="689"/>
      <c r="E1683" s="689"/>
      <c r="F1683" s="689"/>
      <c r="G1683" s="689"/>
      <c r="H1683" s="689"/>
      <c r="I1683" s="690"/>
    </row>
    <row r="1684" spans="1:9" ht="23">
      <c r="A1684" s="693" t="s">
        <v>3705</v>
      </c>
      <c r="B1684" s="689"/>
      <c r="C1684" s="689"/>
      <c r="D1684" s="689"/>
      <c r="E1684" s="689"/>
      <c r="F1684" s="689"/>
      <c r="G1684" s="689"/>
      <c r="H1684" s="689"/>
      <c r="I1684" s="690"/>
    </row>
    <row r="1685" spans="1:9" ht="18">
      <c r="A1685" s="696" t="s">
        <v>3706</v>
      </c>
      <c r="B1685" s="689"/>
      <c r="C1685" s="689"/>
      <c r="D1685" s="689"/>
      <c r="E1685" s="689"/>
      <c r="F1685" s="689"/>
      <c r="G1685" s="689"/>
      <c r="H1685" s="689"/>
      <c r="I1685" s="690"/>
    </row>
    <row r="1686" spans="1:9" ht="13">
      <c r="A1686" s="15" t="s">
        <v>3707</v>
      </c>
      <c r="B1686" s="5" t="s">
        <v>3708</v>
      </c>
      <c r="C1686" s="28" t="s">
        <v>3709</v>
      </c>
      <c r="D1686" s="5">
        <v>2021</v>
      </c>
      <c r="E1686" s="4">
        <v>6</v>
      </c>
      <c r="F1686" s="5" t="s">
        <v>3710</v>
      </c>
      <c r="G1686" s="29">
        <v>120</v>
      </c>
      <c r="H1686" s="23"/>
      <c r="I1686" s="8"/>
    </row>
    <row r="1687" spans="1:9" ht="13">
      <c r="A1687" s="14" t="s">
        <v>3711</v>
      </c>
      <c r="B1687" s="195" t="s">
        <v>3712</v>
      </c>
      <c r="C1687" s="28" t="s">
        <v>3713</v>
      </c>
      <c r="D1687" s="5">
        <v>2021</v>
      </c>
      <c r="E1687" s="4">
        <v>6</v>
      </c>
      <c r="F1687" s="5" t="s">
        <v>32</v>
      </c>
      <c r="G1687" s="29">
        <v>120</v>
      </c>
      <c r="H1687" s="23"/>
      <c r="I1687" s="18">
        <v>1</v>
      </c>
    </row>
    <row r="1688" spans="1:9" ht="13">
      <c r="A1688" s="14" t="s">
        <v>3714</v>
      </c>
      <c r="B1688" s="195" t="s">
        <v>3715</v>
      </c>
      <c r="C1688" s="28" t="s">
        <v>3713</v>
      </c>
      <c r="D1688" s="5">
        <v>2021</v>
      </c>
      <c r="E1688" s="4">
        <v>6</v>
      </c>
      <c r="F1688" s="5" t="s">
        <v>32</v>
      </c>
      <c r="G1688" s="29">
        <v>120</v>
      </c>
      <c r="H1688" s="23"/>
      <c r="I1688" s="18"/>
    </row>
    <row r="1689" spans="1:9" ht="33">
      <c r="A1689" s="709" t="s">
        <v>3716</v>
      </c>
      <c r="B1689" s="689"/>
      <c r="C1689" s="689"/>
      <c r="D1689" s="689"/>
      <c r="E1689" s="689"/>
      <c r="F1689" s="689"/>
      <c r="G1689" s="689"/>
      <c r="H1689" s="689"/>
      <c r="I1689" s="690"/>
    </row>
    <row r="1690" spans="1:9" ht="23">
      <c r="A1690" s="710" t="s">
        <v>3717</v>
      </c>
      <c r="B1690" s="689"/>
      <c r="C1690" s="689"/>
      <c r="D1690" s="689"/>
      <c r="E1690" s="689"/>
      <c r="F1690" s="689"/>
      <c r="G1690" s="689"/>
      <c r="H1690" s="689"/>
      <c r="I1690" s="690"/>
    </row>
    <row r="1691" spans="1:9" ht="18">
      <c r="A1691" s="696" t="s">
        <v>3718</v>
      </c>
      <c r="B1691" s="689"/>
      <c r="C1691" s="689"/>
      <c r="D1691" s="689"/>
      <c r="E1691" s="689"/>
      <c r="F1691" s="689"/>
      <c r="G1691" s="689"/>
      <c r="H1691" s="689"/>
      <c r="I1691" s="690"/>
    </row>
    <row r="1692" spans="1:9" ht="13">
      <c r="A1692" s="15" t="s">
        <v>3719</v>
      </c>
      <c r="B1692" s="5" t="s">
        <v>3720</v>
      </c>
      <c r="C1692" s="28" t="s">
        <v>3721</v>
      </c>
      <c r="D1692" s="5">
        <v>2019</v>
      </c>
      <c r="E1692" s="4">
        <v>12</v>
      </c>
      <c r="F1692" s="5" t="s">
        <v>3710</v>
      </c>
      <c r="G1692" s="29">
        <v>174</v>
      </c>
      <c r="H1692" s="17"/>
      <c r="I1692" s="13"/>
    </row>
    <row r="1693" spans="1:9" ht="13">
      <c r="A1693" s="15" t="s">
        <v>3722</v>
      </c>
      <c r="B1693" s="5" t="s">
        <v>3723</v>
      </c>
      <c r="C1693" s="28" t="s">
        <v>3724</v>
      </c>
      <c r="D1693" s="5">
        <v>2021</v>
      </c>
      <c r="E1693" s="4">
        <v>25</v>
      </c>
      <c r="F1693" s="5" t="s">
        <v>3725</v>
      </c>
      <c r="G1693" s="29">
        <v>180</v>
      </c>
      <c r="H1693" s="33"/>
      <c r="I1693" s="119"/>
    </row>
    <row r="1694" spans="1:9" ht="13">
      <c r="A1694" s="15" t="s">
        <v>3726</v>
      </c>
      <c r="B1694" s="5" t="s">
        <v>3727</v>
      </c>
      <c r="C1694" s="28" t="s">
        <v>1946</v>
      </c>
      <c r="D1694" s="5">
        <v>2020</v>
      </c>
      <c r="E1694" s="4">
        <v>12</v>
      </c>
      <c r="F1694" s="5" t="s">
        <v>3710</v>
      </c>
      <c r="G1694" s="29">
        <v>180</v>
      </c>
      <c r="H1694" s="17"/>
      <c r="I1694" s="19"/>
    </row>
    <row r="1695" spans="1:9" ht="13">
      <c r="A1695" s="15" t="s">
        <v>3728</v>
      </c>
      <c r="B1695" s="5" t="s">
        <v>3729</v>
      </c>
      <c r="C1695" s="28" t="s">
        <v>3730</v>
      </c>
      <c r="D1695" s="5">
        <v>2022</v>
      </c>
      <c r="E1695" s="4">
        <v>12</v>
      </c>
      <c r="F1695" s="5" t="s">
        <v>3710</v>
      </c>
      <c r="G1695" s="29">
        <v>228</v>
      </c>
      <c r="H1695" s="33"/>
      <c r="I1695" s="119"/>
    </row>
    <row r="1696" spans="1:9" ht="13">
      <c r="A1696" s="15" t="s">
        <v>3731</v>
      </c>
      <c r="B1696" s="5" t="s">
        <v>3732</v>
      </c>
      <c r="C1696" s="28" t="s">
        <v>3733</v>
      </c>
      <c r="D1696" s="5">
        <v>2022</v>
      </c>
      <c r="E1696" s="4">
        <v>12</v>
      </c>
      <c r="F1696" s="5" t="s">
        <v>3710</v>
      </c>
      <c r="G1696" s="29">
        <v>228</v>
      </c>
      <c r="H1696" s="33"/>
      <c r="I1696" s="119"/>
    </row>
    <row r="1697" spans="1:9" ht="13">
      <c r="A1697" s="54" t="s">
        <v>3734</v>
      </c>
      <c r="B1697" s="5" t="s">
        <v>3735</v>
      </c>
      <c r="C1697" s="28" t="s">
        <v>3736</v>
      </c>
      <c r="D1697" s="5">
        <v>2019</v>
      </c>
      <c r="E1697" s="4">
        <v>12</v>
      </c>
      <c r="F1697" s="5" t="s">
        <v>3710</v>
      </c>
      <c r="G1697" s="29">
        <v>216</v>
      </c>
      <c r="H1697" s="17"/>
      <c r="I1697" s="13"/>
    </row>
    <row r="1698" spans="1:9" ht="13">
      <c r="A1698" s="39" t="s">
        <v>3737</v>
      </c>
      <c r="B1698" s="5" t="s">
        <v>3738</v>
      </c>
      <c r="C1698" s="28" t="s">
        <v>3736</v>
      </c>
      <c r="D1698" s="5">
        <v>2022</v>
      </c>
      <c r="E1698" s="4">
        <v>12</v>
      </c>
      <c r="F1698" s="5" t="s">
        <v>3710</v>
      </c>
      <c r="G1698" s="29">
        <v>228</v>
      </c>
      <c r="H1698" s="33"/>
      <c r="I1698" s="119"/>
    </row>
    <row r="1699" spans="1:9" ht="13">
      <c r="A1699" s="15" t="s">
        <v>3739</v>
      </c>
      <c r="B1699" s="5" t="s">
        <v>3740</v>
      </c>
      <c r="C1699" s="28" t="s">
        <v>3741</v>
      </c>
      <c r="D1699" s="5">
        <v>2022</v>
      </c>
      <c r="E1699" s="4">
        <v>12</v>
      </c>
      <c r="F1699" s="5" t="s">
        <v>3710</v>
      </c>
      <c r="G1699" s="29">
        <v>222</v>
      </c>
      <c r="H1699" s="33"/>
      <c r="I1699" s="119"/>
    </row>
    <row r="1700" spans="1:9" ht="13">
      <c r="A1700" s="39" t="s">
        <v>3742</v>
      </c>
      <c r="B1700" s="5" t="s">
        <v>3743</v>
      </c>
      <c r="C1700" s="28" t="s">
        <v>3744</v>
      </c>
      <c r="D1700" s="5">
        <v>2022</v>
      </c>
      <c r="E1700" s="4">
        <v>12</v>
      </c>
      <c r="F1700" s="5" t="s">
        <v>3710</v>
      </c>
      <c r="G1700" s="29">
        <v>222</v>
      </c>
      <c r="H1700" s="33"/>
      <c r="I1700" s="119"/>
    </row>
    <row r="1701" spans="1:9" ht="13">
      <c r="A1701" s="25" t="s">
        <v>3745</v>
      </c>
      <c r="B1701" s="5" t="s">
        <v>3746</v>
      </c>
      <c r="C1701" s="28" t="s">
        <v>3747</v>
      </c>
      <c r="D1701" s="5">
        <v>2022</v>
      </c>
      <c r="E1701" s="4">
        <v>12</v>
      </c>
      <c r="F1701" s="5" t="s">
        <v>3710</v>
      </c>
      <c r="G1701" s="29">
        <v>222</v>
      </c>
      <c r="H1701" s="23"/>
      <c r="I1701" s="8"/>
    </row>
    <row r="1702" spans="1:9" ht="13">
      <c r="A1702" s="14" t="s">
        <v>3748</v>
      </c>
      <c r="B1702" s="5" t="s">
        <v>3749</v>
      </c>
      <c r="C1702" s="28" t="s">
        <v>3750</v>
      </c>
      <c r="D1702" s="5">
        <v>2021</v>
      </c>
      <c r="E1702" s="4">
        <v>12</v>
      </c>
      <c r="F1702" s="5" t="s">
        <v>3710</v>
      </c>
      <c r="G1702" s="29">
        <v>264</v>
      </c>
      <c r="H1702" s="17"/>
      <c r="I1702" s="13"/>
    </row>
    <row r="1703" spans="1:9" ht="13">
      <c r="A1703" s="15" t="s">
        <v>3751</v>
      </c>
      <c r="B1703" s="5" t="s">
        <v>3752</v>
      </c>
      <c r="C1703" s="28" t="s">
        <v>3753</v>
      </c>
      <c r="D1703" s="43">
        <v>2019</v>
      </c>
      <c r="E1703" s="4">
        <v>12</v>
      </c>
      <c r="F1703" s="5" t="s">
        <v>3710</v>
      </c>
      <c r="G1703" s="29">
        <v>240</v>
      </c>
      <c r="H1703" s="17"/>
      <c r="I1703" s="13"/>
    </row>
    <row r="1704" spans="1:9" ht="13">
      <c r="A1704" s="54" t="s">
        <v>3754</v>
      </c>
      <c r="B1704" s="5" t="s">
        <v>3755</v>
      </c>
      <c r="C1704" s="28" t="s">
        <v>3756</v>
      </c>
      <c r="D1704" s="5">
        <v>2022</v>
      </c>
      <c r="E1704" s="4">
        <v>12</v>
      </c>
      <c r="F1704" s="5" t="s">
        <v>3710</v>
      </c>
      <c r="G1704" s="29">
        <v>222</v>
      </c>
      <c r="H1704" s="33"/>
      <c r="I1704" s="119"/>
    </row>
    <row r="1705" spans="1:9" ht="13">
      <c r="A1705" s="15" t="s">
        <v>3757</v>
      </c>
      <c r="B1705" s="5" t="s">
        <v>3758</v>
      </c>
      <c r="C1705" s="28" t="s">
        <v>3759</v>
      </c>
      <c r="D1705" s="5">
        <v>2022</v>
      </c>
      <c r="E1705" s="4">
        <v>12</v>
      </c>
      <c r="F1705" s="5" t="s">
        <v>3710</v>
      </c>
      <c r="G1705" s="29">
        <v>252</v>
      </c>
      <c r="H1705" s="23"/>
      <c r="I1705" s="8"/>
    </row>
    <row r="1706" spans="1:9" ht="13">
      <c r="A1706" s="25" t="s">
        <v>3745</v>
      </c>
      <c r="B1706" s="5" t="s">
        <v>3760</v>
      </c>
      <c r="C1706" s="28" t="s">
        <v>3761</v>
      </c>
      <c r="D1706" s="5">
        <v>2022</v>
      </c>
      <c r="E1706" s="4">
        <v>12</v>
      </c>
      <c r="F1706" s="5" t="s">
        <v>3710</v>
      </c>
      <c r="G1706" s="29">
        <v>252</v>
      </c>
      <c r="H1706" s="33"/>
      <c r="I1706" s="119"/>
    </row>
    <row r="1707" spans="1:9" ht="13">
      <c r="A1707" s="25" t="s">
        <v>3762</v>
      </c>
      <c r="B1707" s="5" t="s">
        <v>3763</v>
      </c>
      <c r="C1707" s="28" t="s">
        <v>3764</v>
      </c>
      <c r="D1707" s="5">
        <v>2020</v>
      </c>
      <c r="E1707" s="4">
        <v>12</v>
      </c>
      <c r="F1707" s="5" t="s">
        <v>3710</v>
      </c>
      <c r="G1707" s="29">
        <v>210</v>
      </c>
      <c r="H1707" s="17"/>
      <c r="I1707" s="13"/>
    </row>
    <row r="1708" spans="1:9" ht="13">
      <c r="A1708" s="25" t="s">
        <v>3765</v>
      </c>
      <c r="B1708" s="5" t="s">
        <v>3766</v>
      </c>
      <c r="C1708" s="28" t="s">
        <v>307</v>
      </c>
      <c r="D1708" s="5">
        <v>2019</v>
      </c>
      <c r="E1708" s="4">
        <v>12</v>
      </c>
      <c r="F1708" s="5" t="s">
        <v>3710</v>
      </c>
      <c r="G1708" s="29">
        <v>270</v>
      </c>
      <c r="H1708" s="17"/>
      <c r="I1708" s="13"/>
    </row>
    <row r="1709" spans="1:9" ht="13">
      <c r="A1709" s="239" t="s">
        <v>3767</v>
      </c>
      <c r="B1709" s="106" t="s">
        <v>3768</v>
      </c>
      <c r="C1709" s="214" t="s">
        <v>3769</v>
      </c>
      <c r="D1709" s="106">
        <v>2019</v>
      </c>
      <c r="E1709" s="108">
        <v>12</v>
      </c>
      <c r="F1709" s="106" t="s">
        <v>3710</v>
      </c>
      <c r="G1709" s="215">
        <v>282</v>
      </c>
      <c r="H1709" s="240"/>
      <c r="I1709" s="241"/>
    </row>
    <row r="1710" spans="1:9" ht="13">
      <c r="A1710" s="242" t="s">
        <v>3770</v>
      </c>
      <c r="B1710" s="5" t="s">
        <v>3771</v>
      </c>
      <c r="C1710" s="28" t="s">
        <v>4</v>
      </c>
      <c r="D1710" s="5">
        <v>2022</v>
      </c>
      <c r="E1710" s="4">
        <v>12</v>
      </c>
      <c r="F1710" s="5" t="s">
        <v>3710</v>
      </c>
      <c r="G1710" s="29">
        <v>252</v>
      </c>
      <c r="H1710" s="243"/>
      <c r="I1710" s="244"/>
    </row>
    <row r="1711" spans="1:9" ht="13">
      <c r="A1711" s="105" t="s">
        <v>3772</v>
      </c>
      <c r="B1711" s="5" t="s">
        <v>3773</v>
      </c>
      <c r="C1711" s="28" t="s">
        <v>360</v>
      </c>
      <c r="D1711" s="5">
        <v>2022</v>
      </c>
      <c r="E1711" s="4">
        <v>12</v>
      </c>
      <c r="F1711" s="5" t="s">
        <v>3710</v>
      </c>
      <c r="G1711" s="29">
        <v>252</v>
      </c>
      <c r="H1711" s="243"/>
      <c r="I1711" s="244"/>
    </row>
    <row r="1712" spans="1:9" ht="13">
      <c r="A1712" s="105" t="s">
        <v>3774</v>
      </c>
      <c r="B1712" s="5" t="s">
        <v>3775</v>
      </c>
      <c r="C1712" s="28" t="s">
        <v>346</v>
      </c>
      <c r="D1712" s="5">
        <v>2022</v>
      </c>
      <c r="E1712" s="4">
        <v>12</v>
      </c>
      <c r="F1712" s="5" t="s">
        <v>3710</v>
      </c>
      <c r="G1712" s="29">
        <v>252</v>
      </c>
      <c r="H1712" s="243"/>
      <c r="I1712" s="244"/>
    </row>
    <row r="1713" spans="1:9" ht="18">
      <c r="A1713" s="708" t="s">
        <v>3776</v>
      </c>
      <c r="B1713" s="689"/>
      <c r="C1713" s="689"/>
      <c r="D1713" s="689"/>
      <c r="E1713" s="689"/>
      <c r="F1713" s="689"/>
      <c r="G1713" s="689"/>
      <c r="H1713" s="689"/>
      <c r="I1713" s="690"/>
    </row>
    <row r="1714" spans="1:9" ht="13">
      <c r="A1714" s="242" t="s">
        <v>3777</v>
      </c>
      <c r="B1714" s="106" t="s">
        <v>3778</v>
      </c>
      <c r="C1714" s="214" t="s">
        <v>3779</v>
      </c>
      <c r="D1714" s="106">
        <v>2022</v>
      </c>
      <c r="E1714" s="108">
        <v>12</v>
      </c>
      <c r="F1714" s="106" t="s">
        <v>3710</v>
      </c>
      <c r="G1714" s="215">
        <v>324</v>
      </c>
      <c r="H1714" s="240"/>
      <c r="I1714" s="241"/>
    </row>
    <row r="1715" spans="1:9" ht="13">
      <c r="A1715" s="242" t="s">
        <v>3780</v>
      </c>
      <c r="B1715" s="106" t="s">
        <v>3781</v>
      </c>
      <c r="C1715" s="214" t="s">
        <v>3730</v>
      </c>
      <c r="D1715" s="106">
        <v>2023</v>
      </c>
      <c r="E1715" s="108">
        <v>12</v>
      </c>
      <c r="F1715" s="106" t="s">
        <v>3710</v>
      </c>
      <c r="G1715" s="215">
        <v>360</v>
      </c>
      <c r="H1715" s="240"/>
      <c r="I1715" s="241"/>
    </row>
    <row r="1716" spans="1:9" ht="13">
      <c r="A1716" s="105" t="s">
        <v>3782</v>
      </c>
      <c r="B1716" s="106" t="s">
        <v>3783</v>
      </c>
      <c r="C1716" s="214" t="s">
        <v>3784</v>
      </c>
      <c r="D1716" s="106">
        <v>2023</v>
      </c>
      <c r="E1716" s="108">
        <v>12</v>
      </c>
      <c r="F1716" s="106" t="s">
        <v>3710</v>
      </c>
      <c r="G1716" s="215">
        <v>354</v>
      </c>
      <c r="H1716" s="243"/>
      <c r="I1716" s="244" t="s">
        <v>3785</v>
      </c>
    </row>
    <row r="1717" spans="1:9" ht="13">
      <c r="A1717" s="105" t="s">
        <v>3786</v>
      </c>
      <c r="B1717" s="106" t="s">
        <v>3787</v>
      </c>
      <c r="C1717" s="214" t="s">
        <v>3788</v>
      </c>
      <c r="D1717" s="106">
        <v>2023</v>
      </c>
      <c r="E1717" s="108">
        <v>12</v>
      </c>
      <c r="F1717" s="106" t="s">
        <v>3710</v>
      </c>
      <c r="G1717" s="215">
        <v>288</v>
      </c>
      <c r="H1717" s="240"/>
      <c r="I1717" s="241"/>
    </row>
    <row r="1718" spans="1:9" ht="13">
      <c r="A1718" s="105" t="s">
        <v>3789</v>
      </c>
      <c r="B1718" s="106" t="s">
        <v>3790</v>
      </c>
      <c r="C1718" s="214" t="s">
        <v>3784</v>
      </c>
      <c r="D1718" s="106">
        <v>2023</v>
      </c>
      <c r="E1718" s="108">
        <v>12</v>
      </c>
      <c r="F1718" s="106" t="s">
        <v>3710</v>
      </c>
      <c r="G1718" s="215">
        <v>312</v>
      </c>
      <c r="H1718" s="243"/>
      <c r="I1718" s="244"/>
    </row>
    <row r="1719" spans="1:9" ht="13">
      <c r="A1719" s="105" t="s">
        <v>3791</v>
      </c>
      <c r="B1719" s="106" t="s">
        <v>3792</v>
      </c>
      <c r="C1719" s="214" t="s">
        <v>3750</v>
      </c>
      <c r="D1719" s="106">
        <v>2022</v>
      </c>
      <c r="E1719" s="108">
        <v>12</v>
      </c>
      <c r="F1719" s="106" t="s">
        <v>3710</v>
      </c>
      <c r="G1719" s="215">
        <v>360</v>
      </c>
      <c r="H1719" s="243"/>
      <c r="I1719" s="244"/>
    </row>
    <row r="1720" spans="1:9" ht="13">
      <c r="A1720" s="242" t="s">
        <v>3793</v>
      </c>
      <c r="B1720" s="106" t="s">
        <v>3794</v>
      </c>
      <c r="C1720" s="214" t="s">
        <v>3795</v>
      </c>
      <c r="D1720" s="106">
        <v>2022</v>
      </c>
      <c r="E1720" s="108">
        <v>12</v>
      </c>
      <c r="F1720" s="106" t="s">
        <v>3710</v>
      </c>
      <c r="G1720" s="215">
        <v>294</v>
      </c>
      <c r="H1720" s="240"/>
      <c r="I1720" s="241"/>
    </row>
    <row r="1721" spans="1:9" ht="13">
      <c r="A1721" s="242" t="s">
        <v>3796</v>
      </c>
      <c r="B1721" s="106" t="s">
        <v>3797</v>
      </c>
      <c r="C1721" s="214" t="s">
        <v>3798</v>
      </c>
      <c r="D1721" s="106">
        <v>2022</v>
      </c>
      <c r="E1721" s="108">
        <v>12</v>
      </c>
      <c r="F1721" s="106" t="s">
        <v>3710</v>
      </c>
      <c r="G1721" s="215">
        <v>318</v>
      </c>
      <c r="H1721" s="240"/>
      <c r="I1721" s="241"/>
    </row>
    <row r="1722" spans="1:9" ht="13">
      <c r="A1722" s="242" t="s">
        <v>3799</v>
      </c>
      <c r="B1722" s="106" t="s">
        <v>3800</v>
      </c>
      <c r="C1722" s="214" t="s">
        <v>3801</v>
      </c>
      <c r="D1722" s="106">
        <v>2021</v>
      </c>
      <c r="E1722" s="108">
        <v>12</v>
      </c>
      <c r="F1722" s="106" t="s">
        <v>3710</v>
      </c>
      <c r="G1722" s="215">
        <v>300</v>
      </c>
      <c r="H1722" s="240"/>
      <c r="I1722" s="241"/>
    </row>
    <row r="1723" spans="1:9" ht="13">
      <c r="A1723" s="242" t="s">
        <v>3802</v>
      </c>
      <c r="B1723" s="106" t="s">
        <v>3803</v>
      </c>
      <c r="C1723" s="214" t="s">
        <v>3804</v>
      </c>
      <c r="D1723" s="106">
        <v>2020</v>
      </c>
      <c r="E1723" s="108">
        <v>12</v>
      </c>
      <c r="F1723" s="106" t="s">
        <v>3710</v>
      </c>
      <c r="G1723" s="215">
        <v>330</v>
      </c>
      <c r="H1723" s="240"/>
      <c r="I1723" s="241"/>
    </row>
    <row r="1724" spans="1:9" ht="18">
      <c r="A1724" s="708" t="s">
        <v>3805</v>
      </c>
      <c r="B1724" s="689"/>
      <c r="C1724" s="689"/>
      <c r="D1724" s="689"/>
      <c r="E1724" s="689"/>
      <c r="F1724" s="689"/>
      <c r="G1724" s="689"/>
      <c r="H1724" s="689"/>
      <c r="I1724" s="690"/>
    </row>
    <row r="1725" spans="1:9" ht="13">
      <c r="A1725" s="105" t="s">
        <v>3806</v>
      </c>
      <c r="B1725" s="106" t="s">
        <v>3807</v>
      </c>
      <c r="C1725" s="214" t="s">
        <v>3808</v>
      </c>
      <c r="D1725" s="106">
        <v>2022</v>
      </c>
      <c r="E1725" s="108">
        <v>12</v>
      </c>
      <c r="F1725" s="106" t="s">
        <v>3710</v>
      </c>
      <c r="G1725" s="215">
        <v>564</v>
      </c>
      <c r="H1725" s="243"/>
      <c r="I1725" s="244"/>
    </row>
    <row r="1726" spans="1:9" ht="33">
      <c r="A1726" s="691" t="s">
        <v>3809</v>
      </c>
      <c r="B1726" s="689"/>
      <c r="C1726" s="689"/>
      <c r="D1726" s="689"/>
      <c r="E1726" s="689"/>
      <c r="F1726" s="689"/>
      <c r="G1726" s="689"/>
      <c r="H1726" s="689"/>
      <c r="I1726" s="690"/>
    </row>
    <row r="1727" spans="1:9" ht="23">
      <c r="A1727" s="721" t="s">
        <v>3810</v>
      </c>
      <c r="B1727" s="703"/>
      <c r="C1727" s="703"/>
      <c r="D1727" s="703"/>
      <c r="E1727" s="703"/>
      <c r="F1727" s="703"/>
      <c r="G1727" s="703"/>
      <c r="H1727" s="703"/>
      <c r="I1727" s="704"/>
    </row>
    <row r="1728" spans="1:9" ht="18">
      <c r="A1728" s="722" t="s">
        <v>3811</v>
      </c>
      <c r="B1728" s="703"/>
      <c r="C1728" s="703"/>
      <c r="D1728" s="703"/>
      <c r="E1728" s="703"/>
      <c r="F1728" s="703"/>
      <c r="G1728" s="703"/>
      <c r="H1728" s="703"/>
      <c r="I1728" s="704"/>
    </row>
    <row r="1729" spans="1:9" ht="13">
      <c r="A1729" s="245" t="s">
        <v>3812</v>
      </c>
      <c r="B1729" s="95" t="s">
        <v>3813</v>
      </c>
      <c r="C1729" s="88" t="s">
        <v>4</v>
      </c>
      <c r="D1729" s="96">
        <v>2020</v>
      </c>
      <c r="E1729" s="90">
        <v>12</v>
      </c>
      <c r="F1729" s="87" t="s">
        <v>32</v>
      </c>
      <c r="G1729" s="91">
        <v>312</v>
      </c>
      <c r="H1729" s="246"/>
      <c r="I1729" s="72"/>
    </row>
    <row r="1730" spans="1:9" ht="18">
      <c r="A1730" s="723" t="s">
        <v>3814</v>
      </c>
      <c r="B1730" s="703"/>
      <c r="C1730" s="703"/>
      <c r="D1730" s="703"/>
      <c r="E1730" s="703"/>
      <c r="F1730" s="703"/>
      <c r="G1730" s="703"/>
      <c r="H1730" s="703"/>
      <c r="I1730" s="704"/>
    </row>
    <row r="1731" spans="1:9" ht="13">
      <c r="A1731" s="245" t="s">
        <v>3815</v>
      </c>
      <c r="B1731" s="95" t="s">
        <v>3816</v>
      </c>
      <c r="C1731" s="88" t="s">
        <v>3817</v>
      </c>
      <c r="D1731" s="96">
        <v>2021</v>
      </c>
      <c r="E1731" s="90">
        <v>12</v>
      </c>
      <c r="F1731" s="87" t="s">
        <v>32</v>
      </c>
      <c r="G1731" s="91">
        <v>348</v>
      </c>
      <c r="H1731" s="97"/>
      <c r="I1731" s="247"/>
    </row>
    <row r="1732" spans="1:9" ht="13">
      <c r="A1732" s="245" t="s">
        <v>3818</v>
      </c>
      <c r="B1732" s="95" t="s">
        <v>3819</v>
      </c>
      <c r="C1732" s="88" t="s">
        <v>3820</v>
      </c>
      <c r="D1732" s="96">
        <v>2023</v>
      </c>
      <c r="E1732" s="90">
        <v>12</v>
      </c>
      <c r="F1732" s="87" t="s">
        <v>32</v>
      </c>
      <c r="G1732" s="91">
        <v>312</v>
      </c>
      <c r="H1732" s="97"/>
      <c r="I1732" s="247"/>
    </row>
    <row r="1733" spans="1:9" ht="13">
      <c r="A1733" s="245" t="s">
        <v>3821</v>
      </c>
      <c r="B1733" s="95" t="s">
        <v>3822</v>
      </c>
      <c r="C1733" s="88" t="s">
        <v>3823</v>
      </c>
      <c r="D1733" s="96">
        <v>2022</v>
      </c>
      <c r="E1733" s="90">
        <v>12</v>
      </c>
      <c r="F1733" s="87" t="s">
        <v>32</v>
      </c>
      <c r="G1733" s="91">
        <v>312</v>
      </c>
      <c r="H1733" s="97"/>
      <c r="I1733" s="247"/>
    </row>
    <row r="1734" spans="1:9" ht="13">
      <c r="A1734" s="245" t="s">
        <v>3824</v>
      </c>
      <c r="B1734" s="95" t="s">
        <v>3825</v>
      </c>
      <c r="C1734" s="88" t="s">
        <v>2007</v>
      </c>
      <c r="D1734" s="96">
        <v>2021</v>
      </c>
      <c r="E1734" s="90">
        <v>12</v>
      </c>
      <c r="F1734" s="87" t="s">
        <v>32</v>
      </c>
      <c r="G1734" s="91">
        <v>378</v>
      </c>
      <c r="H1734" s="246"/>
      <c r="I1734" s="248"/>
    </row>
    <row r="1735" spans="1:9" ht="13">
      <c r="A1735" s="245" t="s">
        <v>3826</v>
      </c>
      <c r="B1735" s="95" t="s">
        <v>3827</v>
      </c>
      <c r="C1735" s="88" t="s">
        <v>3828</v>
      </c>
      <c r="D1735" s="96">
        <v>2021</v>
      </c>
      <c r="E1735" s="90">
        <v>12</v>
      </c>
      <c r="F1735" s="87" t="s">
        <v>3829</v>
      </c>
      <c r="G1735" s="91">
        <v>192</v>
      </c>
      <c r="H1735" s="246"/>
      <c r="I1735" s="248"/>
    </row>
    <row r="1736" spans="1:9" ht="13">
      <c r="A1736" s="249" t="s">
        <v>3830</v>
      </c>
      <c r="B1736" s="95" t="s">
        <v>3831</v>
      </c>
      <c r="C1736" s="88" t="s">
        <v>3832</v>
      </c>
      <c r="D1736" s="96">
        <v>2021</v>
      </c>
      <c r="E1736" s="90">
        <v>12</v>
      </c>
      <c r="F1736" s="87" t="s">
        <v>32</v>
      </c>
      <c r="G1736" s="91">
        <v>330</v>
      </c>
      <c r="H1736" s="246"/>
      <c r="I1736" s="248"/>
    </row>
    <row r="1737" spans="1:9" ht="13">
      <c r="A1737" s="250" t="s">
        <v>3833</v>
      </c>
      <c r="B1737" s="95" t="s">
        <v>3834</v>
      </c>
      <c r="C1737" s="88" t="s">
        <v>3817</v>
      </c>
      <c r="D1737" s="96">
        <v>2021</v>
      </c>
      <c r="E1737" s="90">
        <v>12</v>
      </c>
      <c r="F1737" s="87" t="s">
        <v>32</v>
      </c>
      <c r="G1737" s="91">
        <v>288</v>
      </c>
      <c r="H1737" s="246"/>
      <c r="I1737" s="72"/>
    </row>
    <row r="1738" spans="1:9" ht="13">
      <c r="A1738" s="251" t="s">
        <v>3835</v>
      </c>
      <c r="B1738" s="95" t="s">
        <v>3836</v>
      </c>
      <c r="C1738" s="88" t="s">
        <v>3837</v>
      </c>
      <c r="D1738" s="96">
        <v>2021</v>
      </c>
      <c r="E1738" s="90">
        <v>12</v>
      </c>
      <c r="F1738" s="87" t="s">
        <v>32</v>
      </c>
      <c r="G1738" s="91">
        <v>288</v>
      </c>
      <c r="H1738" s="246"/>
      <c r="I1738" s="72"/>
    </row>
    <row r="1739" spans="1:9" ht="13">
      <c r="A1739" s="251" t="s">
        <v>3838</v>
      </c>
      <c r="B1739" s="95" t="s">
        <v>3839</v>
      </c>
      <c r="C1739" s="88" t="s">
        <v>3840</v>
      </c>
      <c r="D1739" s="96">
        <v>2022</v>
      </c>
      <c r="E1739" s="90">
        <v>12</v>
      </c>
      <c r="F1739" s="87" t="s">
        <v>32</v>
      </c>
      <c r="G1739" s="91">
        <v>276</v>
      </c>
      <c r="H1739" s="97"/>
      <c r="I1739" s="247"/>
    </row>
    <row r="1740" spans="1:9" ht="13">
      <c r="A1740" s="251" t="s">
        <v>3841</v>
      </c>
      <c r="B1740" s="95" t="s">
        <v>3842</v>
      </c>
      <c r="C1740" s="88" t="s">
        <v>155</v>
      </c>
      <c r="D1740" s="96">
        <v>2021</v>
      </c>
      <c r="E1740" s="90">
        <v>12</v>
      </c>
      <c r="F1740" s="87" t="s">
        <v>32</v>
      </c>
      <c r="G1740" s="91">
        <v>384</v>
      </c>
      <c r="H1740" s="246"/>
      <c r="I1740" s="248"/>
    </row>
    <row r="1741" spans="1:9" ht="13">
      <c r="A1741" s="252" t="s">
        <v>3843</v>
      </c>
      <c r="B1741" s="95" t="s">
        <v>3844</v>
      </c>
      <c r="C1741" s="88" t="s">
        <v>3845</v>
      </c>
      <c r="D1741" s="96">
        <v>2020</v>
      </c>
      <c r="E1741" s="90">
        <v>12</v>
      </c>
      <c r="F1741" s="87" t="s">
        <v>32</v>
      </c>
      <c r="G1741" s="91">
        <v>330</v>
      </c>
      <c r="H1741" s="246"/>
      <c r="I1741" s="248"/>
    </row>
    <row r="1742" spans="1:9" ht="13">
      <c r="A1742" s="245" t="s">
        <v>3846</v>
      </c>
      <c r="B1742" s="95" t="s">
        <v>3847</v>
      </c>
      <c r="C1742" s="88" t="s">
        <v>1827</v>
      </c>
      <c r="D1742" s="96">
        <v>2020</v>
      </c>
      <c r="E1742" s="90">
        <v>12</v>
      </c>
      <c r="F1742" s="87" t="s">
        <v>32</v>
      </c>
      <c r="G1742" s="91">
        <v>378</v>
      </c>
      <c r="H1742" s="246"/>
      <c r="I1742" s="248"/>
    </row>
    <row r="1743" spans="1:9" ht="13">
      <c r="A1743" s="245" t="s">
        <v>3848</v>
      </c>
      <c r="B1743" s="95" t="s">
        <v>3849</v>
      </c>
      <c r="C1743" s="88" t="s">
        <v>3850</v>
      </c>
      <c r="D1743" s="96">
        <v>2019</v>
      </c>
      <c r="E1743" s="90">
        <v>12</v>
      </c>
      <c r="F1743" s="87" t="s">
        <v>32</v>
      </c>
      <c r="G1743" s="91">
        <v>312</v>
      </c>
      <c r="H1743" s="246"/>
      <c r="I1743" s="248"/>
    </row>
    <row r="1744" spans="1:9" ht="13">
      <c r="A1744" s="245" t="s">
        <v>3851</v>
      </c>
      <c r="B1744" s="95" t="s">
        <v>3852</v>
      </c>
      <c r="C1744" s="88" t="s">
        <v>4</v>
      </c>
      <c r="D1744" s="96">
        <v>2017</v>
      </c>
      <c r="E1744" s="90">
        <v>12</v>
      </c>
      <c r="F1744" s="87" t="s">
        <v>32</v>
      </c>
      <c r="G1744" s="91">
        <v>374</v>
      </c>
      <c r="H1744" s="246"/>
      <c r="I1744" s="248"/>
    </row>
    <row r="1745" spans="1:9" ht="13">
      <c r="A1745" s="250" t="s">
        <v>3853</v>
      </c>
      <c r="B1745" s="95" t="s">
        <v>3854</v>
      </c>
      <c r="C1745" s="88" t="s">
        <v>519</v>
      </c>
      <c r="D1745" s="96">
        <v>2019</v>
      </c>
      <c r="E1745" s="90">
        <v>12</v>
      </c>
      <c r="F1745" s="87" t="s">
        <v>32</v>
      </c>
      <c r="G1745" s="91">
        <v>312</v>
      </c>
      <c r="H1745" s="246"/>
      <c r="I1745" s="248"/>
    </row>
    <row r="1746" spans="1:9" ht="13">
      <c r="A1746" s="253" t="s">
        <v>3855</v>
      </c>
      <c r="B1746" s="95" t="s">
        <v>3856</v>
      </c>
      <c r="C1746" s="88" t="s">
        <v>3857</v>
      </c>
      <c r="D1746" s="96" t="s">
        <v>5</v>
      </c>
      <c r="E1746" s="90">
        <v>12</v>
      </c>
      <c r="F1746" s="87" t="s">
        <v>32</v>
      </c>
      <c r="G1746" s="91">
        <v>192</v>
      </c>
      <c r="H1746" s="97"/>
      <c r="I1746" s="247"/>
    </row>
    <row r="1747" spans="1:9" ht="13">
      <c r="A1747" s="253" t="s">
        <v>3858</v>
      </c>
      <c r="B1747" s="95" t="s">
        <v>3859</v>
      </c>
      <c r="C1747" s="88" t="s">
        <v>3860</v>
      </c>
      <c r="D1747" s="96">
        <v>2022</v>
      </c>
      <c r="E1747" s="90">
        <v>12</v>
      </c>
      <c r="F1747" s="87" t="s">
        <v>32</v>
      </c>
      <c r="G1747" s="91">
        <v>318</v>
      </c>
      <c r="H1747" s="97"/>
      <c r="I1747" s="247"/>
    </row>
    <row r="1748" spans="1:9" ht="13">
      <c r="A1748" s="253" t="s">
        <v>3861</v>
      </c>
      <c r="B1748" s="95" t="s">
        <v>3862</v>
      </c>
      <c r="C1748" s="88" t="s">
        <v>3863</v>
      </c>
      <c r="D1748" s="96">
        <v>2021</v>
      </c>
      <c r="E1748" s="90">
        <v>12</v>
      </c>
      <c r="F1748" s="87" t="s">
        <v>32</v>
      </c>
      <c r="G1748" s="91">
        <v>324</v>
      </c>
      <c r="H1748" s="97"/>
      <c r="I1748" s="247"/>
    </row>
    <row r="1749" spans="1:9" ht="13">
      <c r="A1749" s="253" t="s">
        <v>3864</v>
      </c>
      <c r="B1749" s="95" t="s">
        <v>3865</v>
      </c>
      <c r="C1749" s="88" t="s">
        <v>3840</v>
      </c>
      <c r="D1749" s="96">
        <v>2020</v>
      </c>
      <c r="E1749" s="90">
        <v>12</v>
      </c>
      <c r="F1749" s="87" t="s">
        <v>32</v>
      </c>
      <c r="G1749" s="91">
        <v>240</v>
      </c>
      <c r="H1749" s="246"/>
      <c r="I1749" s="248"/>
    </row>
    <row r="1750" spans="1:9" ht="13">
      <c r="A1750" s="253" t="s">
        <v>3866</v>
      </c>
      <c r="B1750" s="95" t="s">
        <v>3867</v>
      </c>
      <c r="C1750" s="88" t="s">
        <v>3868</v>
      </c>
      <c r="D1750" s="96">
        <v>2020</v>
      </c>
      <c r="E1750" s="90">
        <v>12</v>
      </c>
      <c r="F1750" s="87" t="s">
        <v>32</v>
      </c>
      <c r="G1750" s="91">
        <v>378</v>
      </c>
      <c r="H1750" s="246"/>
      <c r="I1750" s="248"/>
    </row>
    <row r="1751" spans="1:9" ht="13">
      <c r="A1751" s="253" t="s">
        <v>3869</v>
      </c>
      <c r="B1751" s="95" t="s">
        <v>3870</v>
      </c>
      <c r="C1751" s="88" t="s">
        <v>463</v>
      </c>
      <c r="D1751" s="96">
        <v>2017</v>
      </c>
      <c r="E1751" s="90">
        <v>12</v>
      </c>
      <c r="F1751" s="87" t="s">
        <v>32</v>
      </c>
      <c r="G1751" s="91">
        <v>384</v>
      </c>
      <c r="H1751" s="246"/>
      <c r="I1751" s="248"/>
    </row>
    <row r="1752" spans="1:9" ht="13">
      <c r="A1752" s="253" t="s">
        <v>3871</v>
      </c>
      <c r="B1752" s="95" t="s">
        <v>3872</v>
      </c>
      <c r="C1752" s="88" t="s">
        <v>155</v>
      </c>
      <c r="D1752" s="96">
        <v>2017</v>
      </c>
      <c r="E1752" s="90">
        <v>12</v>
      </c>
      <c r="F1752" s="87" t="s">
        <v>32</v>
      </c>
      <c r="G1752" s="91">
        <v>396</v>
      </c>
      <c r="H1752" s="246"/>
      <c r="I1752" s="248"/>
    </row>
    <row r="1753" spans="1:9" ht="18">
      <c r="A1753" s="722" t="s">
        <v>3873</v>
      </c>
      <c r="B1753" s="703"/>
      <c r="C1753" s="703"/>
      <c r="D1753" s="703"/>
      <c r="E1753" s="703"/>
      <c r="F1753" s="703"/>
      <c r="G1753" s="703"/>
      <c r="H1753" s="703"/>
      <c r="I1753" s="704"/>
    </row>
    <row r="1754" spans="1:9" ht="13">
      <c r="A1754" s="245" t="s">
        <v>3874</v>
      </c>
      <c r="B1754" s="95" t="s">
        <v>3875</v>
      </c>
      <c r="C1754" s="88" t="s">
        <v>3817</v>
      </c>
      <c r="D1754" s="96">
        <v>2023</v>
      </c>
      <c r="E1754" s="90">
        <v>12</v>
      </c>
      <c r="F1754" s="87" t="s">
        <v>32</v>
      </c>
      <c r="G1754" s="91">
        <v>210</v>
      </c>
      <c r="H1754" s="97" t="s">
        <v>3226</v>
      </c>
      <c r="I1754" s="247"/>
    </row>
    <row r="1755" spans="1:9" ht="13">
      <c r="A1755" s="250" t="s">
        <v>3876</v>
      </c>
      <c r="B1755" s="95" t="s">
        <v>3877</v>
      </c>
      <c r="C1755" s="88" t="s">
        <v>3845</v>
      </c>
      <c r="D1755" s="96">
        <v>2023</v>
      </c>
      <c r="E1755" s="90">
        <v>12</v>
      </c>
      <c r="F1755" s="87" t="s">
        <v>32</v>
      </c>
      <c r="G1755" s="91">
        <v>210</v>
      </c>
      <c r="H1755" s="97"/>
      <c r="I1755" s="247"/>
    </row>
    <row r="1756" spans="1:9" ht="13">
      <c r="A1756" s="253" t="s">
        <v>3878</v>
      </c>
      <c r="B1756" s="95" t="s">
        <v>3879</v>
      </c>
      <c r="C1756" s="88" t="s">
        <v>3880</v>
      </c>
      <c r="D1756" s="96">
        <v>2021</v>
      </c>
      <c r="E1756" s="90">
        <v>12</v>
      </c>
      <c r="F1756" s="87" t="s">
        <v>32</v>
      </c>
      <c r="G1756" s="91">
        <v>210</v>
      </c>
      <c r="H1756" s="97"/>
      <c r="I1756" s="247"/>
    </row>
    <row r="1757" spans="1:9" ht="13">
      <c r="A1757" s="253" t="s">
        <v>3881</v>
      </c>
      <c r="B1757" s="95" t="s">
        <v>3882</v>
      </c>
      <c r="C1757" s="88" t="s">
        <v>3883</v>
      </c>
      <c r="D1757" s="96">
        <v>2022</v>
      </c>
      <c r="E1757" s="90">
        <v>12</v>
      </c>
      <c r="F1757" s="87" t="s">
        <v>32</v>
      </c>
      <c r="G1757" s="91">
        <v>234</v>
      </c>
      <c r="H1757" s="97"/>
      <c r="I1757" s="247"/>
    </row>
    <row r="1758" spans="1:9" ht="13">
      <c r="A1758" s="253" t="s">
        <v>3884</v>
      </c>
      <c r="B1758" s="95" t="s">
        <v>3885</v>
      </c>
      <c r="C1758" s="88" t="s">
        <v>360</v>
      </c>
      <c r="D1758" s="96">
        <v>2020</v>
      </c>
      <c r="E1758" s="90">
        <v>12</v>
      </c>
      <c r="F1758" s="87" t="s">
        <v>32</v>
      </c>
      <c r="G1758" s="91">
        <v>354</v>
      </c>
      <c r="H1758" s="246"/>
      <c r="I1758" s="248"/>
    </row>
    <row r="1759" spans="1:9" ht="13">
      <c r="A1759" s="249" t="s">
        <v>3886</v>
      </c>
      <c r="B1759" s="95" t="s">
        <v>3887</v>
      </c>
      <c r="C1759" s="88" t="s">
        <v>1966</v>
      </c>
      <c r="D1759" s="96">
        <v>2020</v>
      </c>
      <c r="E1759" s="90">
        <v>12</v>
      </c>
      <c r="F1759" s="87" t="s">
        <v>32</v>
      </c>
      <c r="G1759" s="91">
        <v>432</v>
      </c>
      <c r="H1759" s="246"/>
      <c r="I1759" s="248"/>
    </row>
    <row r="1760" spans="1:9" ht="23">
      <c r="A1760" s="721" t="s">
        <v>3888</v>
      </c>
      <c r="B1760" s="703"/>
      <c r="C1760" s="703"/>
      <c r="D1760" s="703"/>
      <c r="E1760" s="703"/>
      <c r="F1760" s="703"/>
      <c r="G1760" s="703"/>
      <c r="H1760" s="703"/>
      <c r="I1760" s="704"/>
    </row>
    <row r="1761" spans="1:9" ht="18">
      <c r="A1761" s="722" t="s">
        <v>3889</v>
      </c>
      <c r="B1761" s="703"/>
      <c r="C1761" s="703"/>
      <c r="D1761" s="703"/>
      <c r="E1761" s="703"/>
      <c r="F1761" s="703"/>
      <c r="G1761" s="703"/>
      <c r="H1761" s="703"/>
      <c r="I1761" s="704"/>
    </row>
    <row r="1762" spans="1:9" ht="13">
      <c r="A1762" s="245" t="s">
        <v>3890</v>
      </c>
      <c r="B1762" s="95" t="s">
        <v>3891</v>
      </c>
      <c r="C1762" s="88" t="s">
        <v>4</v>
      </c>
      <c r="D1762" s="96">
        <v>2017</v>
      </c>
      <c r="E1762" s="90">
        <v>12</v>
      </c>
      <c r="F1762" s="87" t="s">
        <v>32</v>
      </c>
      <c r="G1762" s="254">
        <v>174</v>
      </c>
      <c r="H1762" s="92"/>
      <c r="I1762" s="248"/>
    </row>
    <row r="1763" spans="1:9" ht="13">
      <c r="A1763" s="245" t="s">
        <v>3892</v>
      </c>
      <c r="B1763" s="95" t="s">
        <v>3893</v>
      </c>
      <c r="C1763" s="88" t="s">
        <v>4</v>
      </c>
      <c r="D1763" s="96">
        <v>2020</v>
      </c>
      <c r="E1763" s="90">
        <v>12</v>
      </c>
      <c r="F1763" s="87" t="s">
        <v>32</v>
      </c>
      <c r="G1763" s="254">
        <v>204</v>
      </c>
      <c r="H1763" s="92"/>
      <c r="I1763" s="248"/>
    </row>
    <row r="1764" spans="1:9" ht="13">
      <c r="A1764" s="245" t="s">
        <v>3894</v>
      </c>
      <c r="B1764" s="95" t="s">
        <v>3895</v>
      </c>
      <c r="C1764" s="88" t="s">
        <v>4</v>
      </c>
      <c r="D1764" s="96">
        <v>2019</v>
      </c>
      <c r="E1764" s="90">
        <v>12</v>
      </c>
      <c r="F1764" s="87" t="s">
        <v>32</v>
      </c>
      <c r="G1764" s="254">
        <v>204</v>
      </c>
      <c r="H1764" s="92"/>
      <c r="I1764" s="248"/>
    </row>
    <row r="1765" spans="1:9" ht="13">
      <c r="A1765" s="249" t="s">
        <v>3896</v>
      </c>
      <c r="B1765" s="95" t="s">
        <v>3897</v>
      </c>
      <c r="C1765" s="88" t="s">
        <v>3898</v>
      </c>
      <c r="D1765" s="96">
        <v>2020</v>
      </c>
      <c r="E1765" s="90">
        <v>12</v>
      </c>
      <c r="F1765" s="87" t="s">
        <v>2327</v>
      </c>
      <c r="G1765" s="254">
        <v>204</v>
      </c>
      <c r="H1765" s="246"/>
      <c r="I1765" s="248"/>
    </row>
    <row r="1766" spans="1:9" ht="13">
      <c r="A1766" s="249" t="s">
        <v>3899</v>
      </c>
      <c r="B1766" s="95" t="s">
        <v>3900</v>
      </c>
      <c r="C1766" s="88" t="s">
        <v>2156</v>
      </c>
      <c r="D1766" s="96">
        <v>2020</v>
      </c>
      <c r="E1766" s="90">
        <v>12</v>
      </c>
      <c r="F1766" s="87" t="s">
        <v>32</v>
      </c>
      <c r="G1766" s="254">
        <v>204</v>
      </c>
      <c r="H1766" s="92"/>
      <c r="I1766" s="72"/>
    </row>
    <row r="1767" spans="1:9" ht="13">
      <c r="A1767" s="251" t="s">
        <v>3901</v>
      </c>
      <c r="B1767" s="95" t="s">
        <v>3902</v>
      </c>
      <c r="C1767" s="88" t="s">
        <v>3903</v>
      </c>
      <c r="D1767" s="96">
        <v>2019</v>
      </c>
      <c r="E1767" s="90">
        <v>12</v>
      </c>
      <c r="F1767" s="87" t="s">
        <v>32</v>
      </c>
      <c r="G1767" s="254">
        <v>204</v>
      </c>
      <c r="H1767" s="92"/>
      <c r="I1767" s="248"/>
    </row>
    <row r="1768" spans="1:9" ht="13">
      <c r="A1768" s="251" t="s">
        <v>3904</v>
      </c>
      <c r="B1768" s="95" t="s">
        <v>3905</v>
      </c>
      <c r="C1768" s="88" t="s">
        <v>3906</v>
      </c>
      <c r="D1768" s="96">
        <v>2019</v>
      </c>
      <c r="E1768" s="90">
        <v>12</v>
      </c>
      <c r="F1768" s="87" t="s">
        <v>32</v>
      </c>
      <c r="G1768" s="254">
        <v>204</v>
      </c>
      <c r="H1768" s="92"/>
      <c r="I1768" s="248"/>
    </row>
    <row r="1769" spans="1:9" ht="13">
      <c r="A1769" s="251" t="s">
        <v>3907</v>
      </c>
      <c r="B1769" s="95" t="s">
        <v>3908</v>
      </c>
      <c r="C1769" s="88" t="s">
        <v>3909</v>
      </c>
      <c r="D1769" s="96">
        <v>2020</v>
      </c>
      <c r="E1769" s="90">
        <v>12</v>
      </c>
      <c r="F1769" s="87" t="s">
        <v>32</v>
      </c>
      <c r="G1769" s="254">
        <v>204</v>
      </c>
      <c r="H1769" s="92"/>
      <c r="I1769" s="248"/>
    </row>
    <row r="1770" spans="1:9" ht="13">
      <c r="A1770" s="253" t="s">
        <v>3910</v>
      </c>
      <c r="B1770" s="95" t="s">
        <v>3911</v>
      </c>
      <c r="C1770" s="88" t="s">
        <v>3912</v>
      </c>
      <c r="D1770" s="96">
        <v>2020</v>
      </c>
      <c r="E1770" s="90">
        <v>12</v>
      </c>
      <c r="F1770" s="87" t="s">
        <v>32</v>
      </c>
      <c r="G1770" s="254">
        <v>204</v>
      </c>
      <c r="H1770" s="92"/>
      <c r="I1770" s="248"/>
    </row>
    <row r="1771" spans="1:9" ht="13">
      <c r="A1771" s="253" t="s">
        <v>3913</v>
      </c>
      <c r="B1771" s="95" t="s">
        <v>3914</v>
      </c>
      <c r="C1771" s="88" t="s">
        <v>3915</v>
      </c>
      <c r="D1771" s="96">
        <v>2021</v>
      </c>
      <c r="E1771" s="90">
        <v>12</v>
      </c>
      <c r="F1771" s="87" t="s">
        <v>32</v>
      </c>
      <c r="G1771" s="254">
        <v>216</v>
      </c>
      <c r="H1771" s="246"/>
      <c r="I1771" s="247"/>
    </row>
    <row r="1772" spans="1:9" ht="13">
      <c r="A1772" s="253" t="s">
        <v>3916</v>
      </c>
      <c r="B1772" s="95" t="s">
        <v>3917</v>
      </c>
      <c r="C1772" s="88" t="s">
        <v>591</v>
      </c>
      <c r="D1772" s="96">
        <v>2019</v>
      </c>
      <c r="E1772" s="90">
        <v>12</v>
      </c>
      <c r="F1772" s="87" t="s">
        <v>32</v>
      </c>
      <c r="G1772" s="254">
        <v>204</v>
      </c>
      <c r="H1772" s="92"/>
      <c r="I1772" s="248"/>
    </row>
    <row r="1773" spans="1:9" ht="13">
      <c r="A1773" s="253" t="s">
        <v>3918</v>
      </c>
      <c r="B1773" s="95" t="s">
        <v>3919</v>
      </c>
      <c r="C1773" s="88" t="s">
        <v>3920</v>
      </c>
      <c r="D1773" s="96">
        <v>2018</v>
      </c>
      <c r="E1773" s="90">
        <v>12</v>
      </c>
      <c r="F1773" s="87" t="s">
        <v>32</v>
      </c>
      <c r="G1773" s="254">
        <v>210</v>
      </c>
      <c r="H1773" s="92"/>
      <c r="I1773" s="248"/>
    </row>
    <row r="1774" spans="1:9" ht="33">
      <c r="A1774" s="733" t="s">
        <v>3921</v>
      </c>
      <c r="B1774" s="703"/>
      <c r="C1774" s="703"/>
      <c r="D1774" s="703"/>
      <c r="E1774" s="703"/>
      <c r="F1774" s="703"/>
      <c r="G1774" s="703"/>
      <c r="H1774" s="703"/>
      <c r="I1774" s="704"/>
    </row>
    <row r="1775" spans="1:9" ht="23">
      <c r="A1775" s="734" t="s">
        <v>3922</v>
      </c>
      <c r="B1775" s="703"/>
      <c r="C1775" s="703"/>
      <c r="D1775" s="703"/>
      <c r="E1775" s="703"/>
      <c r="F1775" s="703"/>
      <c r="G1775" s="703"/>
      <c r="H1775" s="703"/>
      <c r="I1775" s="704"/>
    </row>
    <row r="1776" spans="1:9" ht="18">
      <c r="A1776" s="723" t="s">
        <v>3923</v>
      </c>
      <c r="B1776" s="703"/>
      <c r="C1776" s="703"/>
      <c r="D1776" s="703"/>
      <c r="E1776" s="703"/>
      <c r="F1776" s="703"/>
      <c r="G1776" s="703"/>
      <c r="H1776" s="703"/>
      <c r="I1776" s="704"/>
    </row>
    <row r="1777" spans="1:9" ht="13">
      <c r="A1777" s="152" t="s">
        <v>3924</v>
      </c>
      <c r="B1777" s="70" t="s">
        <v>3925</v>
      </c>
      <c r="C1777" s="68" t="s">
        <v>133</v>
      </c>
      <c r="D1777" s="89">
        <v>2023</v>
      </c>
      <c r="E1777" s="69">
        <v>12</v>
      </c>
      <c r="F1777" s="70" t="s">
        <v>32</v>
      </c>
      <c r="G1777" s="100">
        <v>216</v>
      </c>
      <c r="H1777" s="92"/>
      <c r="I1777" s="72"/>
    </row>
    <row r="1778" spans="1:9" ht="13">
      <c r="A1778" s="255" t="s">
        <v>3926</v>
      </c>
      <c r="B1778" s="87" t="s">
        <v>3927</v>
      </c>
      <c r="C1778" s="88" t="s">
        <v>3928</v>
      </c>
      <c r="D1778" s="89">
        <v>2023</v>
      </c>
      <c r="E1778" s="90">
        <v>12</v>
      </c>
      <c r="F1778" s="87" t="s">
        <v>32</v>
      </c>
      <c r="G1778" s="100">
        <v>210</v>
      </c>
      <c r="H1778" s="92"/>
      <c r="I1778" s="72"/>
    </row>
    <row r="1779" spans="1:9" ht="13">
      <c r="A1779" s="94" t="s">
        <v>3929</v>
      </c>
      <c r="B1779" s="87" t="s">
        <v>3930</v>
      </c>
      <c r="C1779" s="88" t="s">
        <v>3931</v>
      </c>
      <c r="D1779" s="89">
        <v>2023</v>
      </c>
      <c r="E1779" s="90">
        <v>12</v>
      </c>
      <c r="F1779" s="87" t="s">
        <v>32</v>
      </c>
      <c r="G1779" s="100">
        <v>204</v>
      </c>
      <c r="H1779" s="92"/>
      <c r="I1779" s="72"/>
    </row>
    <row r="1780" spans="1:9" ht="13">
      <c r="A1780" s="145" t="s">
        <v>3932</v>
      </c>
      <c r="B1780" s="70" t="s">
        <v>3933</v>
      </c>
      <c r="C1780" s="68" t="s">
        <v>3934</v>
      </c>
      <c r="D1780" s="89">
        <v>2023</v>
      </c>
      <c r="E1780" s="69">
        <v>12</v>
      </c>
      <c r="F1780" s="70" t="s">
        <v>32</v>
      </c>
      <c r="G1780" s="100">
        <v>216</v>
      </c>
      <c r="H1780" s="92"/>
      <c r="I1780" s="72"/>
    </row>
    <row r="1781" spans="1:9" ht="13">
      <c r="A1781" s="145" t="s">
        <v>3935</v>
      </c>
      <c r="B1781" s="70" t="s">
        <v>3936</v>
      </c>
      <c r="C1781" s="68" t="s">
        <v>3937</v>
      </c>
      <c r="D1781" s="89">
        <v>2023</v>
      </c>
      <c r="E1781" s="69">
        <v>12</v>
      </c>
      <c r="F1781" s="70" t="s">
        <v>32</v>
      </c>
      <c r="G1781" s="100">
        <v>210</v>
      </c>
      <c r="H1781" s="92"/>
      <c r="I1781" s="72"/>
    </row>
    <row r="1782" spans="1:9" ht="13">
      <c r="A1782" s="94" t="s">
        <v>3938</v>
      </c>
      <c r="B1782" s="87" t="s">
        <v>3939</v>
      </c>
      <c r="C1782" s="88" t="s">
        <v>3085</v>
      </c>
      <c r="D1782" s="89">
        <v>2022</v>
      </c>
      <c r="E1782" s="90">
        <v>12</v>
      </c>
      <c r="F1782" s="87" t="s">
        <v>32</v>
      </c>
      <c r="G1782" s="100">
        <v>228</v>
      </c>
      <c r="H1782" s="92"/>
      <c r="I1782" s="72"/>
    </row>
    <row r="1783" spans="1:9" ht="13">
      <c r="A1783" s="735" t="s">
        <v>3940</v>
      </c>
      <c r="B1783" s="725"/>
      <c r="C1783" s="725"/>
      <c r="D1783" s="725"/>
      <c r="E1783" s="725"/>
      <c r="F1783" s="725"/>
      <c r="G1783" s="725"/>
      <c r="H1783" s="725"/>
      <c r="I1783" s="725"/>
    </row>
    <row r="1784" spans="1:9" ht="13">
      <c r="A1784" s="736" t="s">
        <v>3941</v>
      </c>
      <c r="B1784" s="725"/>
      <c r="C1784" s="725"/>
      <c r="D1784" s="725"/>
      <c r="E1784" s="725"/>
      <c r="F1784" s="725"/>
      <c r="G1784" s="725"/>
      <c r="H1784" s="725"/>
      <c r="I1784" s="725"/>
    </row>
    <row r="1785" spans="1:9" ht="13">
      <c r="A1785" s="737" t="s">
        <v>3942</v>
      </c>
      <c r="B1785" s="725"/>
      <c r="C1785" s="725"/>
      <c r="D1785" s="725"/>
      <c r="E1785" s="725"/>
      <c r="F1785" s="725"/>
      <c r="G1785" s="725"/>
      <c r="H1785" s="725"/>
      <c r="I1785" s="725"/>
    </row>
    <row r="1786" spans="1:9" ht="13">
      <c r="A1786" s="724" t="s">
        <v>3943</v>
      </c>
      <c r="B1786" s="725"/>
      <c r="C1786" s="725"/>
      <c r="D1786" s="725"/>
      <c r="E1786" s="725"/>
      <c r="F1786" s="725"/>
      <c r="G1786" s="725"/>
      <c r="H1786" s="725"/>
      <c r="I1786" s="725"/>
    </row>
    <row r="1787" spans="1:9" ht="13">
      <c r="A1787" s="726" t="s">
        <v>3944</v>
      </c>
      <c r="B1787" s="725"/>
      <c r="C1787" s="725"/>
      <c r="D1787" s="725"/>
      <c r="E1787" s="725"/>
      <c r="F1787" s="725"/>
      <c r="G1787" s="725"/>
      <c r="H1787" s="725"/>
      <c r="I1787" s="725"/>
    </row>
    <row r="1788" spans="1:9" ht="13">
      <c r="A1788" s="727" t="s">
        <v>3945</v>
      </c>
      <c r="B1788" s="725"/>
      <c r="C1788" s="725"/>
      <c r="D1788" s="725"/>
      <c r="E1788" s="725"/>
      <c r="F1788" s="725"/>
      <c r="G1788" s="725"/>
      <c r="H1788" s="725"/>
      <c r="I1788" s="725"/>
    </row>
    <row r="1789" spans="1:9" ht="13">
      <c r="A1789" s="728" t="s">
        <v>3946</v>
      </c>
      <c r="B1789" s="725"/>
      <c r="C1789" s="725"/>
      <c r="D1789" s="725"/>
      <c r="E1789" s="725"/>
      <c r="F1789" s="725"/>
      <c r="G1789" s="725"/>
      <c r="H1789" s="725"/>
      <c r="I1789" s="725"/>
    </row>
    <row r="1790" spans="1:9" ht="13">
      <c r="A1790" s="729" t="s">
        <v>3947</v>
      </c>
      <c r="B1790" s="725"/>
      <c r="C1790" s="725"/>
      <c r="D1790" s="725"/>
      <c r="E1790" s="725"/>
      <c r="F1790" s="725"/>
      <c r="G1790" s="725"/>
      <c r="H1790" s="725"/>
      <c r="I1790" s="725"/>
    </row>
    <row r="1791" spans="1:9" ht="13">
      <c r="A1791" s="730" t="s">
        <v>3948</v>
      </c>
      <c r="B1791" s="725"/>
      <c r="C1791" s="725"/>
      <c r="D1791" s="725"/>
      <c r="E1791" s="725"/>
      <c r="F1791" s="725"/>
      <c r="G1791" s="725"/>
      <c r="H1791" s="725"/>
      <c r="I1791" s="725"/>
    </row>
    <row r="1792" spans="1:9" ht="13">
      <c r="A1792" s="731" t="s">
        <v>3949</v>
      </c>
      <c r="B1792" s="725"/>
      <c r="C1792" s="725"/>
      <c r="D1792" s="725"/>
      <c r="E1792" s="725"/>
      <c r="F1792" s="725"/>
      <c r="G1792" s="725"/>
      <c r="H1792" s="725"/>
      <c r="I1792" s="725"/>
    </row>
    <row r="1793" spans="1:9" ht="13">
      <c r="A1793" s="732" t="s">
        <v>3950</v>
      </c>
      <c r="B1793" s="725"/>
      <c r="C1793" s="725"/>
      <c r="D1793" s="725"/>
      <c r="E1793" s="725"/>
      <c r="F1793" s="725"/>
      <c r="G1793" s="725"/>
      <c r="H1793" s="725"/>
      <c r="I1793" s="725"/>
    </row>
  </sheetData>
  <mergeCells count="239">
    <mergeCell ref="A1369:I1369"/>
    <mergeCell ref="A1374:I1374"/>
    <mergeCell ref="A1376:I1376"/>
    <mergeCell ref="A1390:I1390"/>
    <mergeCell ref="A1392:I1392"/>
    <mergeCell ref="A1394:I1394"/>
    <mergeCell ref="A1395:I1395"/>
    <mergeCell ref="A1398:I1398"/>
    <mergeCell ref="A1399:I1399"/>
    <mergeCell ref="A1327:I1327"/>
    <mergeCell ref="A1337:I1337"/>
    <mergeCell ref="A1338:I1338"/>
    <mergeCell ref="A1339:I1339"/>
    <mergeCell ref="A1346:I1346"/>
    <mergeCell ref="A1350:I1350"/>
    <mergeCell ref="A1351:I1351"/>
    <mergeCell ref="A1359:I1359"/>
    <mergeCell ref="A1360:I1360"/>
    <mergeCell ref="A1259:I1259"/>
    <mergeCell ref="A1260:I1260"/>
    <mergeCell ref="A1276:I1276"/>
    <mergeCell ref="A1287:I1287"/>
    <mergeCell ref="A1288:I1288"/>
    <mergeCell ref="A1289:I1289"/>
    <mergeCell ref="A1299:I1299"/>
    <mergeCell ref="A1300:I1300"/>
    <mergeCell ref="A1326:I1326"/>
    <mergeCell ref="A1760:I1760"/>
    <mergeCell ref="A1786:I1786"/>
    <mergeCell ref="A1787:I1787"/>
    <mergeCell ref="A1788:I1788"/>
    <mergeCell ref="A1789:I1789"/>
    <mergeCell ref="A1790:I1790"/>
    <mergeCell ref="A1791:I1791"/>
    <mergeCell ref="A1792:I1792"/>
    <mergeCell ref="A1793:I1793"/>
    <mergeCell ref="A1761:I1761"/>
    <mergeCell ref="A1774:I1774"/>
    <mergeCell ref="A1775:I1775"/>
    <mergeCell ref="A1776:I1776"/>
    <mergeCell ref="A1783:I1783"/>
    <mergeCell ref="A1784:I1784"/>
    <mergeCell ref="A1785:I1785"/>
    <mergeCell ref="A1690:I1690"/>
    <mergeCell ref="A1691:I1691"/>
    <mergeCell ref="A1713:I1713"/>
    <mergeCell ref="A1724:I1724"/>
    <mergeCell ref="A1726:I1726"/>
    <mergeCell ref="A1727:I1727"/>
    <mergeCell ref="A1728:I1728"/>
    <mergeCell ref="A1730:I1730"/>
    <mergeCell ref="A1753:I1753"/>
    <mergeCell ref="A1652:I1652"/>
    <mergeCell ref="A1653:I1653"/>
    <mergeCell ref="A1671:I1671"/>
    <mergeCell ref="A1676:I1676"/>
    <mergeCell ref="A1677:I1677"/>
    <mergeCell ref="A1683:I1683"/>
    <mergeCell ref="A1684:I1684"/>
    <mergeCell ref="A1685:I1685"/>
    <mergeCell ref="A1689:I1689"/>
    <mergeCell ref="A1573:I1573"/>
    <mergeCell ref="A1583:I1583"/>
    <mergeCell ref="A1584:I1584"/>
    <mergeCell ref="A1625:I1625"/>
    <mergeCell ref="A1629:I1629"/>
    <mergeCell ref="A1630:I1630"/>
    <mergeCell ref="A1638:I1638"/>
    <mergeCell ref="A1639:I1639"/>
    <mergeCell ref="A1651:I1651"/>
    <mergeCell ref="A1465:I1465"/>
    <mergeCell ref="A1466:I1466"/>
    <mergeCell ref="A1501:I1501"/>
    <mergeCell ref="A1519:I1519"/>
    <mergeCell ref="A1547:I1547"/>
    <mergeCell ref="A1548:I1548"/>
    <mergeCell ref="A1561:I1561"/>
    <mergeCell ref="A1562:I1562"/>
    <mergeCell ref="A1572:I1572"/>
    <mergeCell ref="A1478:I1478"/>
    <mergeCell ref="A1479:I1479"/>
    <mergeCell ref="A1483:I1483"/>
    <mergeCell ref="A1484:I1484"/>
    <mergeCell ref="A1490:I1490"/>
    <mergeCell ref="A1491:I1491"/>
    <mergeCell ref="A1500:I1500"/>
    <mergeCell ref="A1419:I1419"/>
    <mergeCell ref="A1420:I1420"/>
    <mergeCell ref="A1428:I1428"/>
    <mergeCell ref="A1429:I1429"/>
    <mergeCell ref="A1434:I1434"/>
    <mergeCell ref="A1444:I1444"/>
    <mergeCell ref="A1445:I1445"/>
    <mergeCell ref="A1451:I1451"/>
    <mergeCell ref="A1452:I1452"/>
    <mergeCell ref="A1107:I1107"/>
    <mergeCell ref="A1108:I1108"/>
    <mergeCell ref="A1111:I1111"/>
    <mergeCell ref="A1121:I1121"/>
    <mergeCell ref="A1122:I1122"/>
    <mergeCell ref="A1137:I1137"/>
    <mergeCell ref="A1402:I1402"/>
    <mergeCell ref="A1403:I1403"/>
    <mergeCell ref="A1404:I1404"/>
    <mergeCell ref="A1138:I1138"/>
    <mergeCell ref="A1154:I1154"/>
    <mergeCell ref="A1171:I1171"/>
    <mergeCell ref="A1192:I1192"/>
    <mergeCell ref="A1193:I1193"/>
    <mergeCell ref="A1196:I1196"/>
    <mergeCell ref="A1220:I1220"/>
    <mergeCell ref="A1221:I1221"/>
    <mergeCell ref="A1222:I1222"/>
    <mergeCell ref="A1226:I1226"/>
    <mergeCell ref="A1227:I1227"/>
    <mergeCell ref="A1234:I1234"/>
    <mergeCell ref="A1245:I1245"/>
    <mergeCell ref="A1246:I1246"/>
    <mergeCell ref="A1258:I1258"/>
    <mergeCell ref="A779:I779"/>
    <mergeCell ref="A780:I780"/>
    <mergeCell ref="A786:I786"/>
    <mergeCell ref="A797:I797"/>
    <mergeCell ref="A805:I805"/>
    <mergeCell ref="A816:I816"/>
    <mergeCell ref="A817:I817"/>
    <mergeCell ref="A848:I848"/>
    <mergeCell ref="A1106:I1106"/>
    <mergeCell ref="A1050:I1050"/>
    <mergeCell ref="A1051:I1051"/>
    <mergeCell ref="A1052:I1052"/>
    <mergeCell ref="A1058:I1058"/>
    <mergeCell ref="A1088:I1088"/>
    <mergeCell ref="A411:I411"/>
    <mergeCell ref="A429:I429"/>
    <mergeCell ref="A450:I450"/>
    <mergeCell ref="A467:I467"/>
    <mergeCell ref="A488:I488"/>
    <mergeCell ref="A489:I489"/>
    <mergeCell ref="A496:I496"/>
    <mergeCell ref="A498:I498"/>
    <mergeCell ref="A512:I512"/>
    <mergeCell ref="A513:I513"/>
    <mergeCell ref="A517:I517"/>
    <mergeCell ref="A523:I523"/>
    <mergeCell ref="A531:I531"/>
    <mergeCell ref="A537:I537"/>
    <mergeCell ref="A545:I545"/>
    <mergeCell ref="A553:I553"/>
    <mergeCell ref="A554:I554"/>
    <mergeCell ref="A575:I575"/>
    <mergeCell ref="A592:I592"/>
    <mergeCell ref="A1004:I1004"/>
    <mergeCell ref="A1008:I1008"/>
    <mergeCell ref="A1017:I1017"/>
    <mergeCell ref="A1018:I1018"/>
    <mergeCell ref="A1034:I1034"/>
    <mergeCell ref="A1035:I1035"/>
    <mergeCell ref="A1040:I1040"/>
    <mergeCell ref="A1041:I1041"/>
    <mergeCell ref="A1042:I1042"/>
    <mergeCell ref="A890:I890"/>
    <mergeCell ref="A891:I891"/>
    <mergeCell ref="A892:I892"/>
    <mergeCell ref="A893:I893"/>
    <mergeCell ref="A894:I894"/>
    <mergeCell ref="A937:I937"/>
    <mergeCell ref="A945:I945"/>
    <mergeCell ref="A963:I963"/>
    <mergeCell ref="A979:I979"/>
    <mergeCell ref="A363:I363"/>
    <mergeCell ref="A368:I368"/>
    <mergeCell ref="A369:I369"/>
    <mergeCell ref="A399:I399"/>
    <mergeCell ref="A855:I855"/>
    <mergeCell ref="A863:I863"/>
    <mergeCell ref="A864:I864"/>
    <mergeCell ref="A882:I882"/>
    <mergeCell ref="A889:I889"/>
    <mergeCell ref="A609:I609"/>
    <mergeCell ref="A610:I610"/>
    <mergeCell ref="A624:I624"/>
    <mergeCell ref="A635:I635"/>
    <mergeCell ref="A657:I657"/>
    <mergeCell ref="A666:I666"/>
    <mergeCell ref="A667:I667"/>
    <mergeCell ref="A686:I686"/>
    <mergeCell ref="A687:I687"/>
    <mergeCell ref="A701:I701"/>
    <mergeCell ref="A737:I737"/>
    <mergeCell ref="A753:I753"/>
    <mergeCell ref="A757:I757"/>
    <mergeCell ref="A765:I765"/>
    <mergeCell ref="A766:I766"/>
    <mergeCell ref="A252:I252"/>
    <mergeCell ref="A253:I253"/>
    <mergeCell ref="A265:I265"/>
    <mergeCell ref="A266:I266"/>
    <mergeCell ref="A305:I305"/>
    <mergeCell ref="A306:I306"/>
    <mergeCell ref="A316:I316"/>
    <mergeCell ref="A334:I334"/>
    <mergeCell ref="A340:I340"/>
    <mergeCell ref="A167:I167"/>
    <mergeCell ref="A177:I177"/>
    <mergeCell ref="A180:I180"/>
    <mergeCell ref="A191:I191"/>
    <mergeCell ref="A200:I200"/>
    <mergeCell ref="A212:I212"/>
    <mergeCell ref="A217:I217"/>
    <mergeCell ref="A222:I222"/>
    <mergeCell ref="A245:I245"/>
    <mergeCell ref="A88:I88"/>
    <mergeCell ref="A98:I98"/>
    <mergeCell ref="A99:I99"/>
    <mergeCell ref="A112:I112"/>
    <mergeCell ref="A113:I113"/>
    <mergeCell ref="A130:I130"/>
    <mergeCell ref="A131:I131"/>
    <mergeCell ref="A148:I148"/>
    <mergeCell ref="A153:I153"/>
    <mergeCell ref="A35:I35"/>
    <mergeCell ref="A42:I42"/>
    <mergeCell ref="A43:I43"/>
    <mergeCell ref="A49:I49"/>
    <mergeCell ref="A56:I56"/>
    <mergeCell ref="A61:I61"/>
    <mergeCell ref="A62:I62"/>
    <mergeCell ref="A68:I68"/>
    <mergeCell ref="A79:I79"/>
    <mergeCell ref="A1:I1"/>
    <mergeCell ref="A2:I2"/>
    <mergeCell ref="A3:I3"/>
    <mergeCell ref="A12:I12"/>
    <mergeCell ref="A13:I13"/>
    <mergeCell ref="A16:I16"/>
    <mergeCell ref="A17:I17"/>
    <mergeCell ref="A26:I26"/>
    <mergeCell ref="A31:I31"/>
  </mergeCells>
  <printOptions horizontalCentered="1" gridLines="1"/>
  <pageMargins left="0.7" right="0.7" top="0.75" bottom="0.75" header="0" footer="0"/>
  <pageSetup fitToHeight="0" pageOrder="overThenDown" orientation="landscape" cellComments="atEnd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913"/>
  <sheetViews>
    <sheetView workbookViewId="0"/>
  </sheetViews>
  <sheetFormatPr baseColWidth="10" defaultColWidth="12.6640625" defaultRowHeight="15.75" customHeight="1"/>
  <cols>
    <col min="1" max="1" width="14.5" customWidth="1"/>
    <col min="2" max="2" width="16.1640625" customWidth="1"/>
    <col min="3" max="3" width="27.1640625" customWidth="1"/>
    <col min="4" max="4" width="56.1640625" customWidth="1"/>
    <col min="5" max="5" width="6.33203125" customWidth="1"/>
    <col min="6" max="6" width="8" customWidth="1"/>
    <col min="7" max="7" width="10.1640625" customWidth="1"/>
    <col min="8" max="8" width="8" customWidth="1"/>
    <col min="9" max="9" width="8.33203125" customWidth="1"/>
    <col min="10" max="10" width="14.1640625" customWidth="1"/>
    <col min="11" max="11" width="8.6640625" customWidth="1"/>
  </cols>
  <sheetData>
    <row r="1" spans="1:11" ht="15.75" customHeight="1">
      <c r="A1" s="738" t="s">
        <v>3951</v>
      </c>
      <c r="B1" s="725"/>
      <c r="C1" s="725"/>
      <c r="D1" s="725"/>
      <c r="E1" s="725"/>
      <c r="F1" s="725"/>
      <c r="G1" s="725"/>
      <c r="H1" s="725"/>
      <c r="I1" s="725"/>
      <c r="J1" s="725"/>
      <c r="K1" s="725"/>
    </row>
    <row r="2" spans="1:11" ht="15.75" customHeight="1">
      <c r="A2" s="256" t="s">
        <v>3952</v>
      </c>
      <c r="B2" s="256" t="s">
        <v>3953</v>
      </c>
      <c r="C2" s="256" t="s">
        <v>3954</v>
      </c>
      <c r="D2" s="256" t="s">
        <v>3955</v>
      </c>
      <c r="E2" s="257" t="s">
        <v>3956</v>
      </c>
      <c r="F2" s="258" t="s">
        <v>3957</v>
      </c>
      <c r="G2" s="256" t="s">
        <v>3958</v>
      </c>
      <c r="H2" s="256" t="s">
        <v>3959</v>
      </c>
      <c r="I2" s="256" t="s">
        <v>3960</v>
      </c>
      <c r="J2" s="256" t="s">
        <v>3961</v>
      </c>
      <c r="K2" s="257" t="s">
        <v>3962</v>
      </c>
    </row>
    <row r="3" spans="1:11" ht="15.75" customHeight="1">
      <c r="A3" s="259" t="s">
        <v>3963</v>
      </c>
      <c r="B3" s="260" t="s">
        <v>3707</v>
      </c>
      <c r="C3" s="260" t="s">
        <v>3964</v>
      </c>
      <c r="D3" s="261" t="s">
        <v>3965</v>
      </c>
      <c r="E3" s="262">
        <v>2021</v>
      </c>
      <c r="F3" s="263">
        <v>6</v>
      </c>
      <c r="G3" s="260" t="s">
        <v>32</v>
      </c>
      <c r="H3" s="260" t="s">
        <v>3966</v>
      </c>
      <c r="I3" s="260">
        <v>120</v>
      </c>
      <c r="J3" s="260"/>
      <c r="K3" s="262">
        <v>15.5</v>
      </c>
    </row>
    <row r="4" spans="1:11" ht="15.75" customHeight="1">
      <c r="A4" s="259" t="s">
        <v>3963</v>
      </c>
      <c r="B4" s="260" t="s">
        <v>3711</v>
      </c>
      <c r="C4" s="260" t="s">
        <v>3964</v>
      </c>
      <c r="D4" s="261" t="s">
        <v>3967</v>
      </c>
      <c r="E4" s="262">
        <v>2021</v>
      </c>
      <c r="F4" s="263">
        <v>6</v>
      </c>
      <c r="G4" s="260" t="s">
        <v>32</v>
      </c>
      <c r="H4" s="260" t="s">
        <v>3968</v>
      </c>
      <c r="I4" s="260">
        <v>120</v>
      </c>
      <c r="J4" s="260"/>
      <c r="K4" s="262">
        <v>15.5</v>
      </c>
    </row>
    <row r="5" spans="1:11" ht="15.75" customHeight="1">
      <c r="A5" s="259" t="s">
        <v>3963</v>
      </c>
      <c r="B5" s="260" t="s">
        <v>3714</v>
      </c>
      <c r="C5" s="260" t="s">
        <v>3964</v>
      </c>
      <c r="D5" s="261" t="s">
        <v>3969</v>
      </c>
      <c r="E5" s="262">
        <v>2021</v>
      </c>
      <c r="F5" s="263">
        <v>6</v>
      </c>
      <c r="G5" s="260" t="s">
        <v>32</v>
      </c>
      <c r="H5" s="260" t="s">
        <v>3970</v>
      </c>
      <c r="I5" s="260">
        <v>120</v>
      </c>
      <c r="J5" s="260"/>
      <c r="K5" s="262">
        <v>15.5</v>
      </c>
    </row>
    <row r="6" spans="1:11" ht="15.75" customHeight="1">
      <c r="A6" s="264"/>
      <c r="B6" s="264"/>
      <c r="C6" s="264"/>
      <c r="D6" s="265"/>
      <c r="E6" s="266"/>
      <c r="F6" s="267"/>
      <c r="G6" s="264"/>
      <c r="H6" s="264"/>
      <c r="I6" s="264"/>
      <c r="J6" s="264"/>
      <c r="K6" s="266"/>
    </row>
    <row r="7" spans="1:11" ht="15.75" customHeight="1">
      <c r="A7" s="268" t="s">
        <v>3971</v>
      </c>
      <c r="B7" s="260" t="s">
        <v>3213</v>
      </c>
      <c r="C7" s="260" t="s">
        <v>3972</v>
      </c>
      <c r="D7" s="261" t="s">
        <v>3973</v>
      </c>
      <c r="E7" s="262" t="s">
        <v>5</v>
      </c>
      <c r="F7" s="263">
        <v>24</v>
      </c>
      <c r="G7" s="260" t="s">
        <v>6</v>
      </c>
      <c r="H7" s="260" t="s">
        <v>3974</v>
      </c>
      <c r="I7" s="260">
        <v>60</v>
      </c>
      <c r="J7" s="260"/>
      <c r="K7" s="262">
        <v>6.5</v>
      </c>
    </row>
    <row r="8" spans="1:11" ht="15.75" customHeight="1">
      <c r="A8" s="268" t="s">
        <v>3971</v>
      </c>
      <c r="B8" s="260" t="s">
        <v>3975</v>
      </c>
      <c r="C8" s="260" t="s">
        <v>3972</v>
      </c>
      <c r="D8" s="261" t="s">
        <v>3976</v>
      </c>
      <c r="E8" s="262" t="s">
        <v>5</v>
      </c>
      <c r="F8" s="263">
        <v>24</v>
      </c>
      <c r="G8" s="260" t="s">
        <v>6</v>
      </c>
      <c r="H8" s="260" t="s">
        <v>3977</v>
      </c>
      <c r="I8" s="260">
        <v>60</v>
      </c>
      <c r="J8" s="260"/>
      <c r="K8" s="262">
        <v>0</v>
      </c>
    </row>
    <row r="9" spans="1:11" ht="15.75" customHeight="1">
      <c r="A9" s="268" t="s">
        <v>3971</v>
      </c>
      <c r="B9" s="260" t="s">
        <v>3241</v>
      </c>
      <c r="C9" s="260" t="s">
        <v>3972</v>
      </c>
      <c r="D9" s="261" t="s">
        <v>3978</v>
      </c>
      <c r="E9" s="262" t="s">
        <v>5</v>
      </c>
      <c r="F9" s="263">
        <v>8</v>
      </c>
      <c r="G9" s="260" t="s">
        <v>3979</v>
      </c>
      <c r="H9" s="260" t="s">
        <v>3980</v>
      </c>
      <c r="I9" s="260">
        <v>104</v>
      </c>
      <c r="J9" s="260"/>
      <c r="K9" s="262">
        <v>13.5</v>
      </c>
    </row>
    <row r="10" spans="1:11" ht="15.75" customHeight="1">
      <c r="A10" s="268" t="s">
        <v>3971</v>
      </c>
      <c r="B10" s="260" t="s">
        <v>3981</v>
      </c>
      <c r="C10" s="260" t="s">
        <v>3972</v>
      </c>
      <c r="D10" s="261" t="s">
        <v>3982</v>
      </c>
      <c r="E10" s="262">
        <v>2022</v>
      </c>
      <c r="F10" s="263">
        <v>24</v>
      </c>
      <c r="G10" s="260" t="s">
        <v>3230</v>
      </c>
      <c r="H10" s="260" t="s">
        <v>3983</v>
      </c>
      <c r="I10" s="260">
        <v>96</v>
      </c>
      <c r="J10" s="260"/>
      <c r="K10" s="262">
        <v>13.5</v>
      </c>
    </row>
    <row r="11" spans="1:11" ht="15.75" customHeight="1">
      <c r="A11" s="268" t="s">
        <v>3971</v>
      </c>
      <c r="B11" s="260" t="s">
        <v>3227</v>
      </c>
      <c r="C11" s="260" t="s">
        <v>3972</v>
      </c>
      <c r="D11" s="261" t="s">
        <v>3984</v>
      </c>
      <c r="E11" s="262" t="s">
        <v>5</v>
      </c>
      <c r="F11" s="263">
        <v>24</v>
      </c>
      <c r="G11" s="260" t="s">
        <v>3230</v>
      </c>
      <c r="H11" s="260" t="s">
        <v>3985</v>
      </c>
      <c r="I11" s="260">
        <v>96</v>
      </c>
      <c r="J11" s="260"/>
      <c r="K11" s="262">
        <v>0</v>
      </c>
    </row>
    <row r="12" spans="1:11" ht="15.75" customHeight="1">
      <c r="A12" s="268" t="s">
        <v>3971</v>
      </c>
      <c r="B12" s="260" t="s">
        <v>3986</v>
      </c>
      <c r="C12" s="260" t="s">
        <v>3987</v>
      </c>
      <c r="D12" s="261" t="s">
        <v>3988</v>
      </c>
      <c r="E12" s="262" t="s">
        <v>5</v>
      </c>
      <c r="F12" s="263">
        <v>6</v>
      </c>
      <c r="G12" s="260" t="s">
        <v>32</v>
      </c>
      <c r="H12" s="260" t="s">
        <v>3989</v>
      </c>
      <c r="I12" s="260">
        <v>168</v>
      </c>
      <c r="J12" s="260"/>
      <c r="K12" s="262">
        <v>40</v>
      </c>
    </row>
    <row r="13" spans="1:11" ht="15.75" customHeight="1">
      <c r="A13" s="268" t="s">
        <v>3971</v>
      </c>
      <c r="B13" s="260" t="s">
        <v>3990</v>
      </c>
      <c r="C13" s="260" t="s">
        <v>3991</v>
      </c>
      <c r="D13" s="261" t="s">
        <v>3992</v>
      </c>
      <c r="E13" s="262">
        <v>2019</v>
      </c>
      <c r="F13" s="263">
        <v>12</v>
      </c>
      <c r="G13" s="260" t="s">
        <v>32</v>
      </c>
      <c r="H13" s="260" t="s">
        <v>3993</v>
      </c>
      <c r="I13" s="260">
        <v>360</v>
      </c>
      <c r="J13" s="260"/>
      <c r="K13" s="262">
        <v>12.5</v>
      </c>
    </row>
    <row r="14" spans="1:11" ht="15.75" customHeight="1">
      <c r="A14" s="268" t="s">
        <v>3971</v>
      </c>
      <c r="B14" s="260" t="s">
        <v>2627</v>
      </c>
      <c r="C14" s="260" t="s">
        <v>3991</v>
      </c>
      <c r="D14" s="261" t="s">
        <v>3994</v>
      </c>
      <c r="E14" s="262">
        <v>2018</v>
      </c>
      <c r="F14" s="263">
        <v>6</v>
      </c>
      <c r="G14" s="260" t="s">
        <v>3979</v>
      </c>
      <c r="H14" s="260" t="s">
        <v>3995</v>
      </c>
      <c r="I14" s="260">
        <v>216</v>
      </c>
      <c r="J14" s="260"/>
      <c r="K14" s="262">
        <v>13</v>
      </c>
    </row>
    <row r="15" spans="1:11" ht="15.75" customHeight="1">
      <c r="A15" s="268" t="s">
        <v>3971</v>
      </c>
      <c r="B15" s="260" t="s">
        <v>3996</v>
      </c>
      <c r="C15" s="260" t="s">
        <v>3991</v>
      </c>
      <c r="D15" s="261" t="s">
        <v>3994</v>
      </c>
      <c r="E15" s="262">
        <v>2019</v>
      </c>
      <c r="F15" s="263">
        <v>12</v>
      </c>
      <c r="G15" s="260" t="s">
        <v>32</v>
      </c>
      <c r="H15" s="260" t="s">
        <v>3997</v>
      </c>
      <c r="I15" s="260">
        <v>192</v>
      </c>
      <c r="J15" s="260"/>
      <c r="K15" s="262">
        <v>13</v>
      </c>
    </row>
    <row r="16" spans="1:11" ht="15.75" customHeight="1">
      <c r="A16" s="268" t="s">
        <v>3971</v>
      </c>
      <c r="B16" s="260" t="s">
        <v>2601</v>
      </c>
      <c r="C16" s="260" t="s">
        <v>3991</v>
      </c>
      <c r="D16" s="261" t="s">
        <v>3998</v>
      </c>
      <c r="E16" s="262">
        <v>2019</v>
      </c>
      <c r="F16" s="263">
        <v>12</v>
      </c>
      <c r="G16" s="260" t="s">
        <v>32</v>
      </c>
      <c r="H16" s="260" t="s">
        <v>3999</v>
      </c>
      <c r="I16" s="260">
        <v>126</v>
      </c>
      <c r="J16" s="260"/>
      <c r="K16" s="262">
        <v>13</v>
      </c>
    </row>
    <row r="17" spans="1:11" ht="15.75" customHeight="1">
      <c r="A17" s="268" t="s">
        <v>3971</v>
      </c>
      <c r="B17" s="260" t="s">
        <v>4000</v>
      </c>
      <c r="C17" s="260" t="s">
        <v>3991</v>
      </c>
      <c r="D17" s="261" t="s">
        <v>4001</v>
      </c>
      <c r="E17" s="262">
        <v>2022</v>
      </c>
      <c r="F17" s="263">
        <v>12</v>
      </c>
      <c r="G17" s="260" t="s">
        <v>32</v>
      </c>
      <c r="H17" s="260" t="s">
        <v>4002</v>
      </c>
      <c r="I17" s="260">
        <v>150</v>
      </c>
      <c r="J17" s="260"/>
      <c r="K17" s="262">
        <v>13</v>
      </c>
    </row>
    <row r="18" spans="1:11" ht="15.75" customHeight="1">
      <c r="A18" s="268" t="s">
        <v>3971</v>
      </c>
      <c r="B18" s="260" t="s">
        <v>2618</v>
      </c>
      <c r="C18" s="260" t="s">
        <v>3991</v>
      </c>
      <c r="D18" s="261" t="s">
        <v>4001</v>
      </c>
      <c r="E18" s="262">
        <v>2023</v>
      </c>
      <c r="F18" s="263">
        <v>12</v>
      </c>
      <c r="G18" s="260" t="s">
        <v>32</v>
      </c>
      <c r="H18" s="260" t="s">
        <v>4003</v>
      </c>
      <c r="I18" s="260">
        <v>168</v>
      </c>
      <c r="J18" s="260"/>
      <c r="K18" s="262">
        <v>13</v>
      </c>
    </row>
    <row r="19" spans="1:11" ht="15.75" customHeight="1">
      <c r="A19" s="268" t="s">
        <v>3971</v>
      </c>
      <c r="B19" s="260" t="s">
        <v>4004</v>
      </c>
      <c r="C19" s="260" t="s">
        <v>3991</v>
      </c>
      <c r="D19" s="261" t="s">
        <v>4005</v>
      </c>
      <c r="E19" s="262">
        <v>2014</v>
      </c>
      <c r="F19" s="263">
        <v>12</v>
      </c>
      <c r="G19" s="260" t="s">
        <v>32</v>
      </c>
      <c r="H19" s="260" t="s">
        <v>4006</v>
      </c>
      <c r="I19" s="260">
        <v>360</v>
      </c>
      <c r="J19" s="260"/>
      <c r="K19" s="262">
        <v>13</v>
      </c>
    </row>
    <row r="20" spans="1:11" ht="15.75" customHeight="1">
      <c r="A20" s="268" t="s">
        <v>3971</v>
      </c>
      <c r="B20" s="260" t="s">
        <v>4007</v>
      </c>
      <c r="C20" s="260" t="s">
        <v>3991</v>
      </c>
      <c r="D20" s="261" t="s">
        <v>4005</v>
      </c>
      <c r="E20" s="262">
        <v>2019</v>
      </c>
      <c r="F20" s="263">
        <v>12</v>
      </c>
      <c r="G20" s="260" t="s">
        <v>32</v>
      </c>
      <c r="H20" s="260" t="s">
        <v>4008</v>
      </c>
      <c r="I20" s="260">
        <v>360</v>
      </c>
      <c r="J20" s="260"/>
      <c r="K20" s="262">
        <v>13</v>
      </c>
    </row>
    <row r="21" spans="1:11" ht="15.75" customHeight="1">
      <c r="A21" s="268" t="s">
        <v>3971</v>
      </c>
      <c r="B21" s="260" t="s">
        <v>2613</v>
      </c>
      <c r="C21" s="260" t="s">
        <v>3991</v>
      </c>
      <c r="D21" s="261" t="s">
        <v>4009</v>
      </c>
      <c r="E21" s="262">
        <v>2022</v>
      </c>
      <c r="F21" s="263">
        <v>12</v>
      </c>
      <c r="G21" s="260" t="s">
        <v>32</v>
      </c>
      <c r="H21" s="260" t="s">
        <v>4010</v>
      </c>
      <c r="I21" s="260">
        <v>276</v>
      </c>
      <c r="J21" s="260"/>
      <c r="K21" s="262">
        <v>12.5</v>
      </c>
    </row>
    <row r="22" spans="1:11" ht="15.75" customHeight="1">
      <c r="A22" s="268" t="s">
        <v>3971</v>
      </c>
      <c r="B22" s="260" t="s">
        <v>4011</v>
      </c>
      <c r="C22" s="260" t="s">
        <v>3991</v>
      </c>
      <c r="D22" s="261" t="s">
        <v>4012</v>
      </c>
      <c r="E22" s="262">
        <v>2023</v>
      </c>
      <c r="F22" s="263">
        <v>12</v>
      </c>
      <c r="G22" s="260" t="s">
        <v>32</v>
      </c>
      <c r="H22" s="260" t="s">
        <v>4013</v>
      </c>
      <c r="I22" s="260">
        <v>168</v>
      </c>
      <c r="J22" s="260"/>
      <c r="K22" s="262">
        <v>13</v>
      </c>
    </row>
    <row r="23" spans="1:11" ht="15.75" customHeight="1">
      <c r="A23" s="268" t="s">
        <v>3971</v>
      </c>
      <c r="B23" s="260" t="s">
        <v>2610</v>
      </c>
      <c r="C23" s="260" t="s">
        <v>3991</v>
      </c>
      <c r="D23" s="261" t="s">
        <v>4014</v>
      </c>
      <c r="E23" s="262">
        <v>2022</v>
      </c>
      <c r="F23" s="263">
        <v>12</v>
      </c>
      <c r="G23" s="260" t="s">
        <v>32</v>
      </c>
      <c r="H23" s="260" t="s">
        <v>4015</v>
      </c>
      <c r="I23" s="260">
        <v>276</v>
      </c>
      <c r="J23" s="260"/>
      <c r="K23" s="262">
        <v>12.5</v>
      </c>
    </row>
    <row r="24" spans="1:11" ht="15.75" customHeight="1">
      <c r="A24" s="268" t="s">
        <v>3971</v>
      </c>
      <c r="B24" s="260" t="s">
        <v>2584</v>
      </c>
      <c r="C24" s="260" t="s">
        <v>3991</v>
      </c>
      <c r="D24" s="261" t="s">
        <v>4016</v>
      </c>
      <c r="E24" s="262" t="s">
        <v>5</v>
      </c>
      <c r="F24" s="263">
        <v>12</v>
      </c>
      <c r="G24" s="260" t="s">
        <v>32</v>
      </c>
      <c r="H24" s="260" t="s">
        <v>4017</v>
      </c>
      <c r="I24" s="260">
        <v>126</v>
      </c>
      <c r="J24" s="260"/>
      <c r="K24" s="262">
        <v>12</v>
      </c>
    </row>
    <row r="25" spans="1:11" ht="15.75" customHeight="1">
      <c r="A25" s="268" t="s">
        <v>3971</v>
      </c>
      <c r="B25" s="260" t="s">
        <v>2587</v>
      </c>
      <c r="C25" s="260" t="s">
        <v>3991</v>
      </c>
      <c r="D25" s="261" t="s">
        <v>4018</v>
      </c>
      <c r="E25" s="262" t="s">
        <v>5</v>
      </c>
      <c r="F25" s="263">
        <v>1</v>
      </c>
      <c r="G25" s="260" t="s">
        <v>4019</v>
      </c>
      <c r="H25" s="260" t="s">
        <v>4020</v>
      </c>
      <c r="I25" s="260">
        <v>210</v>
      </c>
      <c r="J25" s="260"/>
      <c r="K25" s="262">
        <v>12</v>
      </c>
    </row>
    <row r="26" spans="1:11" ht="15.75" customHeight="1">
      <c r="A26" s="268" t="s">
        <v>3971</v>
      </c>
      <c r="B26" s="260" t="s">
        <v>2592</v>
      </c>
      <c r="C26" s="260" t="s">
        <v>3991</v>
      </c>
      <c r="D26" s="261" t="s">
        <v>4021</v>
      </c>
      <c r="E26" s="262">
        <v>2019</v>
      </c>
      <c r="F26" s="263">
        <v>12</v>
      </c>
      <c r="G26" s="260" t="s">
        <v>32</v>
      </c>
      <c r="H26" s="260" t="s">
        <v>4022</v>
      </c>
      <c r="I26" s="260">
        <v>114</v>
      </c>
      <c r="J26" s="260"/>
      <c r="K26" s="262">
        <v>12.5</v>
      </c>
    </row>
    <row r="27" spans="1:11" ht="15.75" customHeight="1">
      <c r="A27" s="268" t="s">
        <v>3971</v>
      </c>
      <c r="B27" s="260" t="s">
        <v>4023</v>
      </c>
      <c r="C27" s="260" t="s">
        <v>3991</v>
      </c>
      <c r="D27" s="261" t="s">
        <v>4021</v>
      </c>
      <c r="E27" s="262" t="s">
        <v>5</v>
      </c>
      <c r="F27" s="263">
        <v>12</v>
      </c>
      <c r="G27" s="260" t="s">
        <v>32</v>
      </c>
      <c r="H27" s="260" t="s">
        <v>4024</v>
      </c>
      <c r="I27" s="260">
        <v>108</v>
      </c>
      <c r="J27" s="260"/>
      <c r="K27" s="262">
        <v>12</v>
      </c>
    </row>
    <row r="28" spans="1:11" ht="15.75" customHeight="1">
      <c r="A28" s="268" t="s">
        <v>3971</v>
      </c>
      <c r="B28" s="260" t="s">
        <v>4025</v>
      </c>
      <c r="C28" s="260" t="s">
        <v>3991</v>
      </c>
      <c r="D28" s="261" t="s">
        <v>4026</v>
      </c>
      <c r="E28" s="262" t="s">
        <v>5</v>
      </c>
      <c r="F28" s="263">
        <v>1</v>
      </c>
      <c r="G28" s="260" t="s">
        <v>4019</v>
      </c>
      <c r="H28" s="260" t="s">
        <v>3980</v>
      </c>
      <c r="I28" s="260">
        <v>180</v>
      </c>
      <c r="J28" s="260"/>
      <c r="K28" s="262">
        <v>12</v>
      </c>
    </row>
    <row r="29" spans="1:11" ht="15.75" customHeight="1">
      <c r="A29" s="268" t="s">
        <v>3971</v>
      </c>
      <c r="B29" s="260" t="s">
        <v>2590</v>
      </c>
      <c r="C29" s="260" t="s">
        <v>3991</v>
      </c>
      <c r="D29" s="261" t="s">
        <v>4027</v>
      </c>
      <c r="E29" s="262">
        <v>2024</v>
      </c>
      <c r="F29" s="263">
        <v>12</v>
      </c>
      <c r="G29" s="260" t="s">
        <v>32</v>
      </c>
      <c r="H29" s="260" t="s">
        <v>4028</v>
      </c>
      <c r="I29" s="260">
        <v>120</v>
      </c>
      <c r="J29" s="260"/>
      <c r="K29" s="262">
        <v>12.5</v>
      </c>
    </row>
    <row r="30" spans="1:11" ht="15.75" customHeight="1">
      <c r="A30" s="268" t="s">
        <v>3971</v>
      </c>
      <c r="B30" s="260" t="s">
        <v>4029</v>
      </c>
      <c r="C30" s="260" t="s">
        <v>3991</v>
      </c>
      <c r="D30" s="261" t="s">
        <v>4030</v>
      </c>
      <c r="E30" s="262">
        <v>2024</v>
      </c>
      <c r="F30" s="263">
        <v>1</v>
      </c>
      <c r="G30" s="260" t="s">
        <v>4019</v>
      </c>
      <c r="H30" s="260" t="s">
        <v>4031</v>
      </c>
      <c r="I30" s="260">
        <v>200</v>
      </c>
      <c r="J30" s="260"/>
      <c r="K30" s="262">
        <v>12.5</v>
      </c>
    </row>
    <row r="31" spans="1:11" ht="15.75" customHeight="1">
      <c r="A31" s="268" t="s">
        <v>3971</v>
      </c>
      <c r="B31" s="260" t="s">
        <v>2581</v>
      </c>
      <c r="C31" s="260" t="s">
        <v>3991</v>
      </c>
      <c r="D31" s="261" t="s">
        <v>4032</v>
      </c>
      <c r="E31" s="262">
        <v>2023</v>
      </c>
      <c r="F31" s="263">
        <v>12</v>
      </c>
      <c r="G31" s="260" t="s">
        <v>32</v>
      </c>
      <c r="H31" s="260" t="s">
        <v>4033</v>
      </c>
      <c r="I31" s="260">
        <v>120</v>
      </c>
      <c r="J31" s="260"/>
      <c r="K31" s="262">
        <v>12.5</v>
      </c>
    </row>
    <row r="32" spans="1:11" ht="15.75" customHeight="1">
      <c r="A32" s="268" t="s">
        <v>3971</v>
      </c>
      <c r="B32" s="260" t="s">
        <v>4034</v>
      </c>
      <c r="C32" s="260" t="s">
        <v>3991</v>
      </c>
      <c r="D32" s="261" t="s">
        <v>4032</v>
      </c>
      <c r="E32" s="262">
        <v>2024</v>
      </c>
      <c r="F32" s="263">
        <v>12</v>
      </c>
      <c r="G32" s="260" t="s">
        <v>32</v>
      </c>
      <c r="H32" s="260" t="s">
        <v>4035</v>
      </c>
      <c r="I32" s="260">
        <v>126</v>
      </c>
      <c r="J32" s="260"/>
      <c r="K32" s="262">
        <v>12.5</v>
      </c>
    </row>
    <row r="33" spans="1:11" ht="15.75" customHeight="1">
      <c r="A33" s="268" t="s">
        <v>3971</v>
      </c>
      <c r="B33" s="260" t="s">
        <v>4036</v>
      </c>
      <c r="C33" s="260" t="s">
        <v>3991</v>
      </c>
      <c r="D33" s="261" t="s">
        <v>4037</v>
      </c>
      <c r="E33" s="262">
        <v>2024</v>
      </c>
      <c r="F33" s="263">
        <v>1</v>
      </c>
      <c r="G33" s="260" t="s">
        <v>4019</v>
      </c>
      <c r="H33" s="260" t="s">
        <v>4038</v>
      </c>
      <c r="I33" s="260">
        <v>210</v>
      </c>
      <c r="J33" s="260"/>
      <c r="K33" s="262">
        <v>12</v>
      </c>
    </row>
    <row r="34" spans="1:11" ht="15.75" customHeight="1">
      <c r="A34" s="268" t="s">
        <v>3971</v>
      </c>
      <c r="B34" s="260" t="s">
        <v>4039</v>
      </c>
      <c r="C34" s="260" t="s">
        <v>3991</v>
      </c>
      <c r="D34" s="261" t="s">
        <v>4037</v>
      </c>
      <c r="E34" s="262" t="s">
        <v>5</v>
      </c>
      <c r="F34" s="263">
        <v>1</v>
      </c>
      <c r="G34" s="260" t="s">
        <v>4019</v>
      </c>
      <c r="H34" s="260" t="s">
        <v>4040</v>
      </c>
      <c r="I34" s="260">
        <v>210</v>
      </c>
      <c r="J34" s="260"/>
      <c r="K34" s="262">
        <v>12</v>
      </c>
    </row>
    <row r="35" spans="1:11" ht="15.75" customHeight="1">
      <c r="A35" s="268" t="s">
        <v>3971</v>
      </c>
      <c r="B35" s="260" t="s">
        <v>2616</v>
      </c>
      <c r="C35" s="260" t="s">
        <v>3991</v>
      </c>
      <c r="D35" s="261" t="s">
        <v>4041</v>
      </c>
      <c r="E35" s="262">
        <v>2022</v>
      </c>
      <c r="F35" s="263">
        <v>12</v>
      </c>
      <c r="G35" s="260" t="s">
        <v>32</v>
      </c>
      <c r="H35" s="260" t="s">
        <v>4042</v>
      </c>
      <c r="I35" s="260">
        <v>276</v>
      </c>
      <c r="J35" s="260"/>
      <c r="K35" s="262">
        <v>12</v>
      </c>
    </row>
    <row r="36" spans="1:11" ht="15.75" customHeight="1">
      <c r="A36" s="268" t="s">
        <v>3971</v>
      </c>
      <c r="B36" s="260" t="s">
        <v>4043</v>
      </c>
      <c r="C36" s="260" t="s">
        <v>3991</v>
      </c>
      <c r="D36" s="261" t="s">
        <v>4041</v>
      </c>
      <c r="E36" s="262">
        <v>2023</v>
      </c>
      <c r="F36" s="263">
        <v>12</v>
      </c>
      <c r="G36" s="260" t="s">
        <v>32</v>
      </c>
      <c r="H36" s="260" t="s">
        <v>4044</v>
      </c>
      <c r="I36" s="260">
        <v>192</v>
      </c>
      <c r="J36" s="260"/>
      <c r="K36" s="262">
        <v>12</v>
      </c>
    </row>
    <row r="37" spans="1:11" ht="15.75" customHeight="1">
      <c r="A37" s="268" t="s">
        <v>3971</v>
      </c>
      <c r="B37" s="260" t="s">
        <v>2597</v>
      </c>
      <c r="C37" s="260" t="s">
        <v>3991</v>
      </c>
      <c r="D37" s="261" t="s">
        <v>2598</v>
      </c>
      <c r="E37" s="262">
        <v>2024</v>
      </c>
      <c r="F37" s="263">
        <v>12</v>
      </c>
      <c r="G37" s="260" t="s">
        <v>32</v>
      </c>
      <c r="H37" s="260" t="s">
        <v>4045</v>
      </c>
      <c r="I37" s="260">
        <v>132</v>
      </c>
      <c r="J37" s="260"/>
      <c r="K37" s="262">
        <v>12</v>
      </c>
    </row>
    <row r="38" spans="1:11" ht="15.75" customHeight="1">
      <c r="A38" s="268" t="s">
        <v>3971</v>
      </c>
      <c r="B38" s="260" t="s">
        <v>4046</v>
      </c>
      <c r="C38" s="260" t="s">
        <v>3991</v>
      </c>
      <c r="D38" s="261" t="s">
        <v>4047</v>
      </c>
      <c r="E38" s="262">
        <v>2023</v>
      </c>
      <c r="F38" s="263">
        <v>12</v>
      </c>
      <c r="G38" s="260" t="s">
        <v>32</v>
      </c>
      <c r="H38" s="260" t="s">
        <v>4048</v>
      </c>
      <c r="I38" s="260">
        <v>276</v>
      </c>
      <c r="J38" s="260"/>
      <c r="K38" s="262">
        <v>13</v>
      </c>
    </row>
    <row r="39" spans="1:11" ht="15.75" customHeight="1">
      <c r="A39" s="268" t="s">
        <v>3971</v>
      </c>
      <c r="B39" s="260" t="s">
        <v>4049</v>
      </c>
      <c r="C39" s="260" t="s">
        <v>3991</v>
      </c>
      <c r="D39" s="261" t="s">
        <v>4050</v>
      </c>
      <c r="E39" s="262">
        <v>2023</v>
      </c>
      <c r="F39" s="263">
        <v>12</v>
      </c>
      <c r="G39" s="260" t="s">
        <v>32</v>
      </c>
      <c r="H39" s="260" t="s">
        <v>4051</v>
      </c>
      <c r="I39" s="260">
        <v>222</v>
      </c>
      <c r="J39" s="260"/>
      <c r="K39" s="262">
        <v>12.5</v>
      </c>
    </row>
    <row r="40" spans="1:11" ht="15.75" customHeight="1">
      <c r="A40" s="268" t="s">
        <v>3971</v>
      </c>
      <c r="B40" s="260" t="s">
        <v>2554</v>
      </c>
      <c r="C40" s="260" t="s">
        <v>4052</v>
      </c>
      <c r="D40" s="261" t="s">
        <v>2555</v>
      </c>
      <c r="E40" s="262">
        <v>2021</v>
      </c>
      <c r="F40" s="263">
        <v>12</v>
      </c>
      <c r="G40" s="260" t="s">
        <v>32</v>
      </c>
      <c r="H40" s="260" t="s">
        <v>4053</v>
      </c>
      <c r="I40" s="260">
        <v>234</v>
      </c>
      <c r="J40" s="260"/>
      <c r="K40" s="262">
        <v>12.5</v>
      </c>
    </row>
    <row r="41" spans="1:11" ht="15.75" customHeight="1">
      <c r="A41" s="268" t="s">
        <v>3971</v>
      </c>
      <c r="B41" s="260" t="s">
        <v>2552</v>
      </c>
      <c r="C41" s="260" t="s">
        <v>4052</v>
      </c>
      <c r="D41" s="261" t="s">
        <v>4054</v>
      </c>
      <c r="E41" s="262">
        <v>2022</v>
      </c>
      <c r="F41" s="263">
        <v>12</v>
      </c>
      <c r="G41" s="260" t="s">
        <v>32</v>
      </c>
      <c r="H41" s="260" t="s">
        <v>4055</v>
      </c>
      <c r="I41" s="260">
        <v>234</v>
      </c>
      <c r="J41" s="260"/>
      <c r="K41" s="262">
        <v>12.5</v>
      </c>
    </row>
    <row r="42" spans="1:11" ht="15.75" customHeight="1">
      <c r="A42" s="268" t="s">
        <v>3971</v>
      </c>
      <c r="B42" s="260" t="s">
        <v>2573</v>
      </c>
      <c r="C42" s="260" t="s">
        <v>4052</v>
      </c>
      <c r="D42" s="261" t="s">
        <v>4056</v>
      </c>
      <c r="E42" s="262">
        <v>2021</v>
      </c>
      <c r="F42" s="263">
        <v>12</v>
      </c>
      <c r="G42" s="260" t="s">
        <v>32</v>
      </c>
      <c r="H42" s="260" t="s">
        <v>4051</v>
      </c>
      <c r="I42" s="260">
        <v>234</v>
      </c>
      <c r="J42" s="260"/>
      <c r="K42" s="262">
        <v>12</v>
      </c>
    </row>
    <row r="43" spans="1:11" ht="15.75" customHeight="1">
      <c r="A43" s="268" t="s">
        <v>3971</v>
      </c>
      <c r="B43" s="260" t="s">
        <v>2556</v>
      </c>
      <c r="C43" s="260" t="s">
        <v>4052</v>
      </c>
      <c r="D43" s="261" t="s">
        <v>4057</v>
      </c>
      <c r="E43" s="262">
        <v>2024</v>
      </c>
      <c r="F43" s="263">
        <v>12</v>
      </c>
      <c r="G43" s="260" t="s">
        <v>32</v>
      </c>
      <c r="H43" s="260" t="s">
        <v>4058</v>
      </c>
      <c r="I43" s="260">
        <v>108</v>
      </c>
      <c r="J43" s="260"/>
      <c r="K43" s="262">
        <v>12</v>
      </c>
    </row>
    <row r="44" spans="1:11" ht="15.75" customHeight="1">
      <c r="A44" s="268" t="s">
        <v>3971</v>
      </c>
      <c r="B44" s="260" t="s">
        <v>4059</v>
      </c>
      <c r="C44" s="260" t="s">
        <v>4052</v>
      </c>
      <c r="D44" s="261" t="s">
        <v>2565</v>
      </c>
      <c r="E44" s="262">
        <v>2023</v>
      </c>
      <c r="F44" s="263">
        <v>12</v>
      </c>
      <c r="G44" s="260" t="s">
        <v>32</v>
      </c>
      <c r="H44" s="260" t="s">
        <v>4060</v>
      </c>
      <c r="I44" s="260">
        <v>138</v>
      </c>
      <c r="J44" s="260"/>
      <c r="K44" s="262">
        <v>13</v>
      </c>
    </row>
    <row r="45" spans="1:11" ht="15.75" customHeight="1">
      <c r="A45" s="268" t="s">
        <v>3971</v>
      </c>
      <c r="B45" s="260" t="s">
        <v>2544</v>
      </c>
      <c r="C45" s="260" t="s">
        <v>4052</v>
      </c>
      <c r="D45" s="261" t="s">
        <v>2545</v>
      </c>
      <c r="E45" s="262">
        <v>2024</v>
      </c>
      <c r="F45" s="263">
        <v>12</v>
      </c>
      <c r="G45" s="260" t="s">
        <v>32</v>
      </c>
      <c r="H45" s="260" t="s">
        <v>4061</v>
      </c>
      <c r="I45" s="260">
        <v>138</v>
      </c>
      <c r="J45" s="260"/>
      <c r="K45" s="262">
        <v>12</v>
      </c>
    </row>
    <row r="46" spans="1:11" ht="15.75" customHeight="1">
      <c r="A46" s="268" t="s">
        <v>3971</v>
      </c>
      <c r="B46" s="260" t="s">
        <v>4062</v>
      </c>
      <c r="C46" s="260" t="s">
        <v>4052</v>
      </c>
      <c r="D46" s="261" t="s">
        <v>4063</v>
      </c>
      <c r="E46" s="262">
        <v>2024</v>
      </c>
      <c r="F46" s="263">
        <v>12</v>
      </c>
      <c r="G46" s="260" t="s">
        <v>32</v>
      </c>
      <c r="H46" s="260" t="s">
        <v>4064</v>
      </c>
      <c r="I46" s="260">
        <v>180</v>
      </c>
      <c r="J46" s="260"/>
      <c r="K46" s="262">
        <v>12</v>
      </c>
    </row>
    <row r="47" spans="1:11" ht="15.75" customHeight="1">
      <c r="A47" s="268" t="s">
        <v>3971</v>
      </c>
      <c r="B47" s="260" t="s">
        <v>2567</v>
      </c>
      <c r="C47" s="260" t="s">
        <v>4052</v>
      </c>
      <c r="D47" s="261" t="s">
        <v>4065</v>
      </c>
      <c r="E47" s="262">
        <v>2023</v>
      </c>
      <c r="F47" s="263">
        <v>12</v>
      </c>
      <c r="G47" s="260" t="s">
        <v>32</v>
      </c>
      <c r="H47" s="260" t="s">
        <v>4066</v>
      </c>
      <c r="I47" s="260">
        <v>162</v>
      </c>
      <c r="J47" s="260"/>
      <c r="K47" s="262">
        <v>12.5</v>
      </c>
    </row>
    <row r="48" spans="1:11" ht="15.75" customHeight="1">
      <c r="A48" s="268" t="s">
        <v>3971</v>
      </c>
      <c r="B48" s="260" t="s">
        <v>4067</v>
      </c>
      <c r="C48" s="260" t="s">
        <v>4052</v>
      </c>
      <c r="D48" s="261" t="s">
        <v>4068</v>
      </c>
      <c r="E48" s="262">
        <v>2023</v>
      </c>
      <c r="F48" s="263">
        <v>12</v>
      </c>
      <c r="G48" s="260" t="s">
        <v>32</v>
      </c>
      <c r="H48" s="260" t="s">
        <v>4069</v>
      </c>
      <c r="I48" s="260">
        <v>114</v>
      </c>
      <c r="J48" s="260"/>
      <c r="K48" s="262">
        <v>12</v>
      </c>
    </row>
    <row r="49" spans="1:11" ht="15.75" customHeight="1">
      <c r="A49" s="268" t="s">
        <v>3971</v>
      </c>
      <c r="B49" s="260" t="s">
        <v>2575</v>
      </c>
      <c r="C49" s="260" t="s">
        <v>4052</v>
      </c>
      <c r="D49" s="261" t="s">
        <v>4070</v>
      </c>
      <c r="E49" s="262">
        <v>2017</v>
      </c>
      <c r="F49" s="263">
        <v>12</v>
      </c>
      <c r="G49" s="260" t="s">
        <v>32</v>
      </c>
      <c r="H49" s="260" t="s">
        <v>4015</v>
      </c>
      <c r="I49" s="260">
        <v>348</v>
      </c>
      <c r="J49" s="260"/>
      <c r="K49" s="262">
        <v>13</v>
      </c>
    </row>
    <row r="50" spans="1:11" ht="13">
      <c r="A50" s="268" t="s">
        <v>3971</v>
      </c>
      <c r="B50" s="260" t="s">
        <v>2571</v>
      </c>
      <c r="C50" s="260" t="s">
        <v>4052</v>
      </c>
      <c r="D50" s="261" t="s">
        <v>4071</v>
      </c>
      <c r="E50" s="262">
        <v>2021</v>
      </c>
      <c r="F50" s="263">
        <v>12</v>
      </c>
      <c r="G50" s="260" t="s">
        <v>32</v>
      </c>
      <c r="H50" s="260" t="s">
        <v>4072</v>
      </c>
      <c r="I50" s="260">
        <v>162</v>
      </c>
      <c r="J50" s="260"/>
      <c r="K50" s="262">
        <v>12</v>
      </c>
    </row>
    <row r="51" spans="1:11" ht="13">
      <c r="A51" s="268" t="s">
        <v>3971</v>
      </c>
      <c r="B51" s="260" t="s">
        <v>2546</v>
      </c>
      <c r="C51" s="260" t="s">
        <v>4052</v>
      </c>
      <c r="D51" s="261" t="s">
        <v>4073</v>
      </c>
      <c r="E51" s="262">
        <v>2024</v>
      </c>
      <c r="F51" s="263">
        <v>12</v>
      </c>
      <c r="G51" s="260" t="s">
        <v>32</v>
      </c>
      <c r="H51" s="260" t="s">
        <v>4074</v>
      </c>
      <c r="I51" s="260">
        <v>174</v>
      </c>
      <c r="J51" s="260"/>
      <c r="K51" s="262">
        <v>12</v>
      </c>
    </row>
    <row r="52" spans="1:11" ht="13">
      <c r="A52" s="268" t="s">
        <v>3971</v>
      </c>
      <c r="B52" s="260" t="s">
        <v>2541</v>
      </c>
      <c r="C52" s="260" t="s">
        <v>4052</v>
      </c>
      <c r="D52" s="261" t="s">
        <v>2542</v>
      </c>
      <c r="E52" s="262">
        <v>2024</v>
      </c>
      <c r="F52" s="263">
        <v>12</v>
      </c>
      <c r="G52" s="260" t="s">
        <v>32</v>
      </c>
      <c r="H52" s="260" t="s">
        <v>4075</v>
      </c>
      <c r="I52" s="260">
        <v>138</v>
      </c>
      <c r="J52" s="260"/>
      <c r="K52" s="262">
        <v>12</v>
      </c>
    </row>
    <row r="53" spans="1:11" ht="13">
      <c r="A53" s="268" t="s">
        <v>3971</v>
      </c>
      <c r="B53" s="260" t="s">
        <v>2562</v>
      </c>
      <c r="C53" s="260" t="s">
        <v>4052</v>
      </c>
      <c r="D53" s="261" t="s">
        <v>2563</v>
      </c>
      <c r="E53" s="262">
        <v>2021</v>
      </c>
      <c r="F53" s="263">
        <v>12</v>
      </c>
      <c r="G53" s="260" t="s">
        <v>32</v>
      </c>
      <c r="H53" s="260" t="s">
        <v>4076</v>
      </c>
      <c r="I53" s="260">
        <v>126</v>
      </c>
      <c r="J53" s="260"/>
      <c r="K53" s="262">
        <v>12</v>
      </c>
    </row>
    <row r="54" spans="1:11" ht="13">
      <c r="A54" s="268" t="s">
        <v>3971</v>
      </c>
      <c r="B54" s="260" t="s">
        <v>2676</v>
      </c>
      <c r="C54" s="260" t="s">
        <v>4077</v>
      </c>
      <c r="D54" s="261" t="s">
        <v>4078</v>
      </c>
      <c r="E54" s="262">
        <v>2023</v>
      </c>
      <c r="F54" s="263">
        <v>12</v>
      </c>
      <c r="G54" s="260" t="s">
        <v>32</v>
      </c>
      <c r="H54" s="260" t="s">
        <v>4079</v>
      </c>
      <c r="I54" s="260">
        <v>138</v>
      </c>
      <c r="J54" s="260"/>
      <c r="K54" s="262">
        <v>11.5</v>
      </c>
    </row>
    <row r="55" spans="1:11" ht="13">
      <c r="A55" s="268" t="s">
        <v>3971</v>
      </c>
      <c r="B55" s="260" t="s">
        <v>2666</v>
      </c>
      <c r="C55" s="260" t="s">
        <v>4077</v>
      </c>
      <c r="D55" s="261" t="s">
        <v>2667</v>
      </c>
      <c r="E55" s="262">
        <v>2020</v>
      </c>
      <c r="F55" s="263">
        <v>12</v>
      </c>
      <c r="G55" s="260" t="s">
        <v>32</v>
      </c>
      <c r="H55" s="260" t="s">
        <v>4080</v>
      </c>
      <c r="I55" s="260">
        <v>96</v>
      </c>
      <c r="J55" s="260"/>
      <c r="K55" s="262">
        <v>12</v>
      </c>
    </row>
    <row r="56" spans="1:11" ht="13">
      <c r="A56" s="268" t="s">
        <v>3971</v>
      </c>
      <c r="B56" s="260" t="s">
        <v>2660</v>
      </c>
      <c r="C56" s="260" t="s">
        <v>4077</v>
      </c>
      <c r="D56" s="261" t="s">
        <v>4081</v>
      </c>
      <c r="E56" s="262">
        <v>2023</v>
      </c>
      <c r="F56" s="263">
        <v>12</v>
      </c>
      <c r="G56" s="260" t="s">
        <v>32</v>
      </c>
      <c r="H56" s="260" t="s">
        <v>4082</v>
      </c>
      <c r="I56" s="260">
        <v>108</v>
      </c>
      <c r="J56" s="260"/>
      <c r="K56" s="262">
        <v>12</v>
      </c>
    </row>
    <row r="57" spans="1:11" ht="13">
      <c r="A57" s="268" t="s">
        <v>3971</v>
      </c>
      <c r="B57" s="260" t="s">
        <v>2657</v>
      </c>
      <c r="C57" s="260" t="s">
        <v>4077</v>
      </c>
      <c r="D57" s="261" t="s">
        <v>4083</v>
      </c>
      <c r="E57" s="262">
        <v>2024</v>
      </c>
      <c r="F57" s="263">
        <v>12</v>
      </c>
      <c r="G57" s="260" t="s">
        <v>32</v>
      </c>
      <c r="H57" s="260" t="s">
        <v>4084</v>
      </c>
      <c r="I57" s="260">
        <v>108</v>
      </c>
      <c r="J57" s="260"/>
      <c r="K57" s="262">
        <v>11</v>
      </c>
    </row>
    <row r="58" spans="1:11" ht="13">
      <c r="A58" s="268" t="s">
        <v>3971</v>
      </c>
      <c r="B58" s="260" t="s">
        <v>2645</v>
      </c>
      <c r="C58" s="260" t="s">
        <v>4077</v>
      </c>
      <c r="D58" s="261" t="s">
        <v>4085</v>
      </c>
      <c r="E58" s="262">
        <v>2022</v>
      </c>
      <c r="F58" s="263">
        <v>12</v>
      </c>
      <c r="G58" s="260" t="s">
        <v>32</v>
      </c>
      <c r="H58" s="260" t="s">
        <v>4086</v>
      </c>
      <c r="I58" s="260">
        <v>114</v>
      </c>
      <c r="J58" s="260"/>
      <c r="K58" s="262">
        <v>11.5</v>
      </c>
    </row>
    <row r="59" spans="1:11" ht="13">
      <c r="A59" s="268" t="s">
        <v>3971</v>
      </c>
      <c r="B59" s="260" t="s">
        <v>2653</v>
      </c>
      <c r="C59" s="260" t="s">
        <v>4077</v>
      </c>
      <c r="D59" s="261" t="s">
        <v>4087</v>
      </c>
      <c r="E59" s="262">
        <v>2022</v>
      </c>
      <c r="F59" s="263">
        <v>12</v>
      </c>
      <c r="G59" s="260" t="s">
        <v>32</v>
      </c>
      <c r="H59" s="260" t="s">
        <v>4076</v>
      </c>
      <c r="I59" s="260">
        <v>186</v>
      </c>
      <c r="J59" s="260"/>
      <c r="K59" s="262">
        <v>13</v>
      </c>
    </row>
    <row r="60" spans="1:11" ht="13">
      <c r="A60" s="268" t="s">
        <v>3971</v>
      </c>
      <c r="B60" s="260" t="s">
        <v>2650</v>
      </c>
      <c r="C60" s="260" t="s">
        <v>4077</v>
      </c>
      <c r="D60" s="261" t="s">
        <v>4087</v>
      </c>
      <c r="E60" s="262">
        <v>2021</v>
      </c>
      <c r="F60" s="263">
        <v>12</v>
      </c>
      <c r="G60" s="260" t="s">
        <v>32</v>
      </c>
      <c r="H60" s="260" t="s">
        <v>4088</v>
      </c>
      <c r="I60" s="260">
        <v>186</v>
      </c>
      <c r="J60" s="260"/>
      <c r="K60" s="262">
        <v>13</v>
      </c>
    </row>
    <row r="61" spans="1:11" ht="13">
      <c r="A61" s="268" t="s">
        <v>3971</v>
      </c>
      <c r="B61" s="260" t="s">
        <v>2631</v>
      </c>
      <c r="C61" s="260" t="s">
        <v>4077</v>
      </c>
      <c r="D61" s="261" t="s">
        <v>4089</v>
      </c>
      <c r="E61" s="262" t="s">
        <v>5</v>
      </c>
      <c r="F61" s="263">
        <v>24</v>
      </c>
      <c r="G61" s="260" t="s">
        <v>564</v>
      </c>
      <c r="H61" s="260" t="s">
        <v>4090</v>
      </c>
      <c r="I61" s="260">
        <v>108</v>
      </c>
      <c r="J61" s="260"/>
      <c r="K61" s="262">
        <v>7</v>
      </c>
    </row>
    <row r="62" spans="1:11" ht="13">
      <c r="A62" s="268" t="s">
        <v>3971</v>
      </c>
      <c r="B62" s="260" t="s">
        <v>2635</v>
      </c>
      <c r="C62" s="260" t="s">
        <v>4077</v>
      </c>
      <c r="D62" s="261" t="s">
        <v>4091</v>
      </c>
      <c r="E62" s="262" t="s">
        <v>5</v>
      </c>
      <c r="F62" s="263">
        <v>24</v>
      </c>
      <c r="G62" s="260" t="s">
        <v>564</v>
      </c>
      <c r="H62" s="260" t="s">
        <v>4092</v>
      </c>
      <c r="I62" s="260">
        <v>108</v>
      </c>
      <c r="J62" s="260"/>
      <c r="K62" s="262">
        <v>7</v>
      </c>
    </row>
    <row r="63" spans="1:11" ht="13">
      <c r="A63" s="268" t="s">
        <v>3971</v>
      </c>
      <c r="B63" s="260" t="s">
        <v>2639</v>
      </c>
      <c r="C63" s="260" t="s">
        <v>4077</v>
      </c>
      <c r="D63" s="261" t="s">
        <v>4093</v>
      </c>
      <c r="E63" s="262" t="s">
        <v>5</v>
      </c>
      <c r="F63" s="263">
        <v>12</v>
      </c>
      <c r="G63" s="260" t="s">
        <v>32</v>
      </c>
      <c r="H63" s="260" t="s">
        <v>4094</v>
      </c>
      <c r="I63" s="260">
        <v>120</v>
      </c>
      <c r="J63" s="260"/>
      <c r="K63" s="262">
        <v>10</v>
      </c>
    </row>
    <row r="64" spans="1:11" ht="13">
      <c r="A64" s="268" t="s">
        <v>3971</v>
      </c>
      <c r="B64" s="260" t="s">
        <v>2681</v>
      </c>
      <c r="C64" s="260" t="s">
        <v>4077</v>
      </c>
      <c r="D64" s="261" t="s">
        <v>4095</v>
      </c>
      <c r="E64" s="262">
        <v>2021</v>
      </c>
      <c r="F64" s="263">
        <v>12</v>
      </c>
      <c r="G64" s="260" t="s">
        <v>32</v>
      </c>
      <c r="H64" s="260" t="s">
        <v>4096</v>
      </c>
      <c r="I64" s="260">
        <v>180</v>
      </c>
      <c r="J64" s="260"/>
      <c r="K64" s="262">
        <v>12</v>
      </c>
    </row>
    <row r="65" spans="1:11" ht="13">
      <c r="A65" s="268" t="s">
        <v>3971</v>
      </c>
      <c r="B65" s="260" t="s">
        <v>2674</v>
      </c>
      <c r="C65" s="260" t="s">
        <v>4077</v>
      </c>
      <c r="D65" s="261" t="s">
        <v>4097</v>
      </c>
      <c r="E65" s="262">
        <v>2024</v>
      </c>
      <c r="F65" s="263">
        <v>12</v>
      </c>
      <c r="G65" s="260" t="s">
        <v>32</v>
      </c>
      <c r="H65" s="260" t="s">
        <v>4098</v>
      </c>
      <c r="I65" s="260">
        <v>108</v>
      </c>
      <c r="J65" s="260"/>
      <c r="K65" s="262">
        <v>11</v>
      </c>
    </row>
    <row r="66" spans="1:11" ht="13">
      <c r="A66" s="268" t="s">
        <v>3971</v>
      </c>
      <c r="B66" s="260" t="s">
        <v>2694</v>
      </c>
      <c r="C66" s="260" t="s">
        <v>4077</v>
      </c>
      <c r="D66" s="261" t="s">
        <v>4099</v>
      </c>
      <c r="E66" s="262" t="s">
        <v>5</v>
      </c>
      <c r="F66" s="263">
        <v>12</v>
      </c>
      <c r="G66" s="260" t="s">
        <v>32</v>
      </c>
      <c r="H66" s="260" t="s">
        <v>4100</v>
      </c>
      <c r="I66" s="260">
        <v>258</v>
      </c>
      <c r="J66" s="260"/>
      <c r="K66" s="262">
        <v>11.5</v>
      </c>
    </row>
    <row r="67" spans="1:11" ht="13">
      <c r="A67" s="268" t="s">
        <v>3971</v>
      </c>
      <c r="B67" s="260" t="s">
        <v>4101</v>
      </c>
      <c r="C67" s="260" t="s">
        <v>4077</v>
      </c>
      <c r="D67" s="261" t="s">
        <v>4102</v>
      </c>
      <c r="E67" s="262">
        <v>2024</v>
      </c>
      <c r="F67" s="263">
        <v>12</v>
      </c>
      <c r="G67" s="260" t="s">
        <v>32</v>
      </c>
      <c r="H67" s="260" t="s">
        <v>4103</v>
      </c>
      <c r="I67" s="260">
        <v>114</v>
      </c>
      <c r="J67" s="260"/>
      <c r="K67" s="262">
        <v>10.5</v>
      </c>
    </row>
    <row r="68" spans="1:11" ht="13">
      <c r="A68" s="268" t="s">
        <v>3971</v>
      </c>
      <c r="B68" s="260" t="s">
        <v>4104</v>
      </c>
      <c r="C68" s="260" t="s">
        <v>4077</v>
      </c>
      <c r="D68" s="261" t="s">
        <v>4105</v>
      </c>
      <c r="E68" s="262">
        <v>2024</v>
      </c>
      <c r="F68" s="263">
        <v>12</v>
      </c>
      <c r="G68" s="260" t="s">
        <v>32</v>
      </c>
      <c r="H68" s="260" t="s">
        <v>4106</v>
      </c>
      <c r="I68" s="260">
        <v>120</v>
      </c>
      <c r="J68" s="260"/>
      <c r="K68" s="262">
        <v>11.5</v>
      </c>
    </row>
    <row r="69" spans="1:11" ht="13">
      <c r="A69" s="268" t="s">
        <v>3971</v>
      </c>
      <c r="B69" s="260" t="s">
        <v>2686</v>
      </c>
      <c r="C69" s="260" t="s">
        <v>4077</v>
      </c>
      <c r="D69" s="261" t="s">
        <v>4107</v>
      </c>
      <c r="E69" s="262" t="s">
        <v>5</v>
      </c>
      <c r="F69" s="263">
        <v>12</v>
      </c>
      <c r="G69" s="260" t="s">
        <v>32</v>
      </c>
      <c r="H69" s="260" t="s">
        <v>4108</v>
      </c>
      <c r="I69" s="260">
        <v>180</v>
      </c>
      <c r="J69" s="260"/>
      <c r="K69" s="262">
        <v>10.5</v>
      </c>
    </row>
    <row r="70" spans="1:11" ht="13">
      <c r="A70" s="268" t="s">
        <v>3971</v>
      </c>
      <c r="B70" s="260" t="s">
        <v>2662</v>
      </c>
      <c r="C70" s="260" t="s">
        <v>4077</v>
      </c>
      <c r="D70" s="261" t="s">
        <v>2663</v>
      </c>
      <c r="E70" s="262">
        <v>2020</v>
      </c>
      <c r="F70" s="263">
        <v>12</v>
      </c>
      <c r="G70" s="260" t="s">
        <v>32</v>
      </c>
      <c r="H70" s="260" t="s">
        <v>4109</v>
      </c>
      <c r="I70" s="260">
        <v>96</v>
      </c>
      <c r="J70" s="260"/>
      <c r="K70" s="262">
        <v>12</v>
      </c>
    </row>
    <row r="71" spans="1:11" ht="13">
      <c r="A71" s="268" t="s">
        <v>3971</v>
      </c>
      <c r="B71" s="260" t="s">
        <v>2668</v>
      </c>
      <c r="C71" s="260" t="s">
        <v>4077</v>
      </c>
      <c r="D71" s="261" t="s">
        <v>4110</v>
      </c>
      <c r="E71" s="262">
        <v>2024</v>
      </c>
      <c r="F71" s="263">
        <v>12</v>
      </c>
      <c r="G71" s="260" t="s">
        <v>32</v>
      </c>
      <c r="H71" s="260" t="s">
        <v>4111</v>
      </c>
      <c r="I71" s="260">
        <v>120</v>
      </c>
      <c r="J71" s="260"/>
      <c r="K71" s="262">
        <v>11.5</v>
      </c>
    </row>
    <row r="72" spans="1:11" ht="13">
      <c r="A72" s="268" t="s">
        <v>3971</v>
      </c>
      <c r="B72" s="260" t="s">
        <v>2475</v>
      </c>
      <c r="C72" s="260" t="s">
        <v>4112</v>
      </c>
      <c r="D72" s="261" t="s">
        <v>4113</v>
      </c>
      <c r="E72" s="262">
        <v>2021</v>
      </c>
      <c r="F72" s="263">
        <v>12</v>
      </c>
      <c r="G72" s="260" t="s">
        <v>32</v>
      </c>
      <c r="H72" s="260" t="s">
        <v>4114</v>
      </c>
      <c r="I72" s="260">
        <v>174</v>
      </c>
      <c r="J72" s="260"/>
      <c r="K72" s="262">
        <v>11</v>
      </c>
    </row>
    <row r="73" spans="1:11" ht="13">
      <c r="A73" s="268" t="s">
        <v>3971</v>
      </c>
      <c r="B73" s="260" t="s">
        <v>2482</v>
      </c>
      <c r="C73" s="260" t="s">
        <v>4112</v>
      </c>
      <c r="D73" s="261" t="s">
        <v>4115</v>
      </c>
      <c r="E73" s="262">
        <v>2022</v>
      </c>
      <c r="F73" s="263">
        <v>6</v>
      </c>
      <c r="G73" s="260" t="s">
        <v>32</v>
      </c>
      <c r="H73" s="260" t="s">
        <v>4116</v>
      </c>
      <c r="I73" s="260">
        <v>117</v>
      </c>
      <c r="J73" s="260"/>
      <c r="K73" s="262">
        <v>12.5</v>
      </c>
    </row>
    <row r="74" spans="1:11" ht="13">
      <c r="A74" s="268" t="s">
        <v>3971</v>
      </c>
      <c r="B74" s="260" t="s">
        <v>4117</v>
      </c>
      <c r="C74" s="260" t="s">
        <v>4112</v>
      </c>
      <c r="D74" s="261" t="s">
        <v>4118</v>
      </c>
      <c r="E74" s="262">
        <v>2023</v>
      </c>
      <c r="F74" s="263">
        <v>12</v>
      </c>
      <c r="G74" s="260" t="s">
        <v>32</v>
      </c>
      <c r="H74" s="260" t="s">
        <v>4119</v>
      </c>
      <c r="I74" s="260">
        <v>138</v>
      </c>
      <c r="J74" s="260"/>
      <c r="K74" s="262">
        <v>11</v>
      </c>
    </row>
    <row r="75" spans="1:11" ht="13">
      <c r="A75" s="268" t="s">
        <v>3971</v>
      </c>
      <c r="B75" s="260" t="s">
        <v>4120</v>
      </c>
      <c r="C75" s="260" t="s">
        <v>4112</v>
      </c>
      <c r="D75" s="261" t="s">
        <v>4121</v>
      </c>
      <c r="E75" s="262" t="s">
        <v>5</v>
      </c>
      <c r="F75" s="263">
        <v>12</v>
      </c>
      <c r="G75" s="260" t="s">
        <v>32</v>
      </c>
      <c r="H75" s="260" t="s">
        <v>4122</v>
      </c>
      <c r="I75" s="260">
        <v>132</v>
      </c>
      <c r="J75" s="260"/>
      <c r="K75" s="262">
        <v>12</v>
      </c>
    </row>
    <row r="76" spans="1:11" ht="13">
      <c r="A76" s="268" t="s">
        <v>3971</v>
      </c>
      <c r="B76" s="260" t="s">
        <v>4123</v>
      </c>
      <c r="C76" s="260" t="s">
        <v>4112</v>
      </c>
      <c r="D76" s="261" t="s">
        <v>4124</v>
      </c>
      <c r="E76" s="262">
        <v>2023</v>
      </c>
      <c r="F76" s="263">
        <v>12</v>
      </c>
      <c r="G76" s="260" t="s">
        <v>32</v>
      </c>
      <c r="H76" s="260" t="s">
        <v>4125</v>
      </c>
      <c r="I76" s="260">
        <v>114</v>
      </c>
      <c r="J76" s="260"/>
      <c r="K76" s="262">
        <v>11</v>
      </c>
    </row>
    <row r="77" spans="1:11" ht="13">
      <c r="A77" s="268" t="s">
        <v>3971</v>
      </c>
      <c r="B77" s="260" t="s">
        <v>4126</v>
      </c>
      <c r="C77" s="260" t="s">
        <v>4127</v>
      </c>
      <c r="D77" s="261" t="s">
        <v>4128</v>
      </c>
      <c r="E77" s="262">
        <v>2020</v>
      </c>
      <c r="F77" s="263">
        <v>12</v>
      </c>
      <c r="G77" s="260" t="s">
        <v>32</v>
      </c>
      <c r="H77" s="260" t="s">
        <v>4015</v>
      </c>
      <c r="I77" s="260">
        <v>360</v>
      </c>
      <c r="J77" s="260"/>
      <c r="K77" s="262">
        <v>13</v>
      </c>
    </row>
    <row r="78" spans="1:11" ht="13">
      <c r="A78" s="268" t="s">
        <v>3971</v>
      </c>
      <c r="B78" s="260" t="s">
        <v>2454</v>
      </c>
      <c r="C78" s="260" t="s">
        <v>4127</v>
      </c>
      <c r="D78" s="261" t="s">
        <v>4129</v>
      </c>
      <c r="E78" s="262">
        <v>2020</v>
      </c>
      <c r="F78" s="263">
        <v>12</v>
      </c>
      <c r="G78" s="260" t="s">
        <v>32</v>
      </c>
      <c r="H78" s="260" t="s">
        <v>4076</v>
      </c>
      <c r="I78" s="260">
        <v>360</v>
      </c>
      <c r="J78" s="260"/>
      <c r="K78" s="262">
        <v>12</v>
      </c>
    </row>
    <row r="79" spans="1:11" ht="13">
      <c r="A79" s="268" t="s">
        <v>3971</v>
      </c>
      <c r="B79" s="260" t="s">
        <v>2451</v>
      </c>
      <c r="C79" s="260" t="s">
        <v>4127</v>
      </c>
      <c r="D79" s="261" t="s">
        <v>4129</v>
      </c>
      <c r="E79" s="262">
        <v>2021</v>
      </c>
      <c r="F79" s="263">
        <v>12</v>
      </c>
      <c r="G79" s="260" t="s">
        <v>32</v>
      </c>
      <c r="H79" s="260" t="s">
        <v>4130</v>
      </c>
      <c r="I79" s="260">
        <v>360</v>
      </c>
      <c r="J79" s="260"/>
      <c r="K79" s="262">
        <v>12</v>
      </c>
    </row>
    <row r="80" spans="1:11" ht="13">
      <c r="A80" s="268" t="s">
        <v>3971</v>
      </c>
      <c r="B80" s="260" t="s">
        <v>2448</v>
      </c>
      <c r="C80" s="260" t="s">
        <v>4127</v>
      </c>
      <c r="D80" s="261" t="s">
        <v>4131</v>
      </c>
      <c r="E80" s="262">
        <v>2019</v>
      </c>
      <c r="F80" s="263">
        <v>12</v>
      </c>
      <c r="G80" s="260" t="s">
        <v>32</v>
      </c>
      <c r="H80" s="260" t="s">
        <v>4132</v>
      </c>
      <c r="I80" s="260">
        <v>210</v>
      </c>
      <c r="J80" s="260"/>
      <c r="K80" s="262">
        <v>11.5</v>
      </c>
    </row>
    <row r="81" spans="1:11" ht="13">
      <c r="A81" s="268" t="s">
        <v>3971</v>
      </c>
      <c r="B81" s="260" t="s">
        <v>2446</v>
      </c>
      <c r="C81" s="260" t="s">
        <v>4127</v>
      </c>
      <c r="D81" s="261" t="s">
        <v>4133</v>
      </c>
      <c r="E81" s="262">
        <v>2020</v>
      </c>
      <c r="F81" s="263">
        <v>12</v>
      </c>
      <c r="G81" s="260" t="s">
        <v>32</v>
      </c>
      <c r="H81" s="260" t="s">
        <v>4134</v>
      </c>
      <c r="I81" s="260">
        <v>234</v>
      </c>
      <c r="J81" s="260"/>
      <c r="K81" s="262">
        <v>11.5</v>
      </c>
    </row>
    <row r="82" spans="1:11" ht="13">
      <c r="A82" s="268" t="s">
        <v>3971</v>
      </c>
      <c r="B82" s="260" t="s">
        <v>2455</v>
      </c>
      <c r="C82" s="260" t="s">
        <v>4127</v>
      </c>
      <c r="D82" s="261" t="s">
        <v>4135</v>
      </c>
      <c r="E82" s="262">
        <v>2021</v>
      </c>
      <c r="F82" s="263">
        <v>12</v>
      </c>
      <c r="G82" s="260" t="s">
        <v>32</v>
      </c>
      <c r="H82" s="260" t="s">
        <v>4136</v>
      </c>
      <c r="I82" s="260">
        <v>228</v>
      </c>
      <c r="J82" s="260"/>
      <c r="K82" s="262">
        <v>12</v>
      </c>
    </row>
    <row r="83" spans="1:11" ht="13">
      <c r="A83" s="268" t="s">
        <v>3971</v>
      </c>
      <c r="B83" s="260" t="s">
        <v>2440</v>
      </c>
      <c r="C83" s="260" t="s">
        <v>4127</v>
      </c>
      <c r="D83" s="261" t="s">
        <v>4137</v>
      </c>
      <c r="E83" s="262">
        <v>2022</v>
      </c>
      <c r="F83" s="263">
        <v>12</v>
      </c>
      <c r="G83" s="260" t="s">
        <v>32</v>
      </c>
      <c r="H83" s="260" t="s">
        <v>4138</v>
      </c>
      <c r="I83" s="260">
        <v>174</v>
      </c>
      <c r="J83" s="260"/>
      <c r="K83" s="262">
        <v>12.5</v>
      </c>
    </row>
    <row r="84" spans="1:11" ht="13">
      <c r="A84" s="268" t="s">
        <v>3971</v>
      </c>
      <c r="B84" s="260" t="s">
        <v>2527</v>
      </c>
      <c r="C84" s="260" t="s">
        <v>4139</v>
      </c>
      <c r="D84" s="261" t="s">
        <v>4140</v>
      </c>
      <c r="E84" s="262" t="s">
        <v>5</v>
      </c>
      <c r="F84" s="263">
        <v>12</v>
      </c>
      <c r="G84" s="260" t="s">
        <v>4141</v>
      </c>
      <c r="H84" s="260" t="s">
        <v>4142</v>
      </c>
      <c r="I84" s="260">
        <v>174</v>
      </c>
      <c r="J84" s="260"/>
      <c r="K84" s="262">
        <v>11.5</v>
      </c>
    </row>
    <row r="85" spans="1:11" ht="13">
      <c r="A85" s="268" t="s">
        <v>3971</v>
      </c>
      <c r="B85" s="260" t="s">
        <v>2524</v>
      </c>
      <c r="C85" s="260" t="s">
        <v>4139</v>
      </c>
      <c r="D85" s="261" t="s">
        <v>4143</v>
      </c>
      <c r="E85" s="262" t="s">
        <v>5</v>
      </c>
      <c r="F85" s="263">
        <v>12</v>
      </c>
      <c r="G85" s="260" t="s">
        <v>4141</v>
      </c>
      <c r="H85" s="260" t="s">
        <v>4144</v>
      </c>
      <c r="I85" s="260">
        <v>162</v>
      </c>
      <c r="J85" s="260"/>
      <c r="K85" s="262">
        <v>12.5</v>
      </c>
    </row>
    <row r="86" spans="1:11" ht="13">
      <c r="A86" s="268" t="s">
        <v>3971</v>
      </c>
      <c r="B86" s="260" t="s">
        <v>2500</v>
      </c>
      <c r="C86" s="260" t="s">
        <v>4139</v>
      </c>
      <c r="D86" s="261" t="s">
        <v>4145</v>
      </c>
      <c r="E86" s="262">
        <v>2024</v>
      </c>
      <c r="F86" s="263">
        <v>12</v>
      </c>
      <c r="G86" s="260" t="s">
        <v>32</v>
      </c>
      <c r="H86" s="260" t="s">
        <v>4146</v>
      </c>
      <c r="I86" s="260">
        <v>156</v>
      </c>
      <c r="J86" s="260"/>
      <c r="K86" s="262">
        <v>12</v>
      </c>
    </row>
    <row r="87" spans="1:11" ht="13">
      <c r="A87" s="268" t="s">
        <v>3971</v>
      </c>
      <c r="B87" s="260" t="s">
        <v>2508</v>
      </c>
      <c r="C87" s="260" t="s">
        <v>4139</v>
      </c>
      <c r="D87" s="261" t="s">
        <v>4147</v>
      </c>
      <c r="E87" s="262">
        <v>2024</v>
      </c>
      <c r="F87" s="263">
        <v>12</v>
      </c>
      <c r="G87" s="260" t="s">
        <v>32</v>
      </c>
      <c r="H87" s="260" t="s">
        <v>4148</v>
      </c>
      <c r="I87" s="260">
        <v>150</v>
      </c>
      <c r="J87" s="260"/>
      <c r="K87" s="262">
        <v>12.5</v>
      </c>
    </row>
    <row r="88" spans="1:11" ht="13">
      <c r="A88" s="268" t="s">
        <v>3971</v>
      </c>
      <c r="B88" s="260" t="s">
        <v>2530</v>
      </c>
      <c r="C88" s="260" t="s">
        <v>4139</v>
      </c>
      <c r="D88" s="261" t="s">
        <v>4149</v>
      </c>
      <c r="E88" s="262">
        <v>2020</v>
      </c>
      <c r="F88" s="263">
        <v>12</v>
      </c>
      <c r="G88" s="260" t="s">
        <v>32</v>
      </c>
      <c r="H88" s="260" t="s">
        <v>4042</v>
      </c>
      <c r="I88" s="260">
        <v>210</v>
      </c>
      <c r="J88" s="260"/>
      <c r="K88" s="262">
        <v>12.5</v>
      </c>
    </row>
    <row r="89" spans="1:11" ht="13">
      <c r="A89" s="268" t="s">
        <v>3971</v>
      </c>
      <c r="B89" s="260" t="s">
        <v>2533</v>
      </c>
      <c r="C89" s="260" t="s">
        <v>4139</v>
      </c>
      <c r="D89" s="261" t="s">
        <v>4150</v>
      </c>
      <c r="E89" s="262">
        <v>2022</v>
      </c>
      <c r="F89" s="263">
        <v>12</v>
      </c>
      <c r="G89" s="260" t="s">
        <v>32</v>
      </c>
      <c r="H89" s="260" t="s">
        <v>4151</v>
      </c>
      <c r="I89" s="260">
        <v>240</v>
      </c>
      <c r="J89" s="260"/>
      <c r="K89" s="262">
        <v>11.5</v>
      </c>
    </row>
    <row r="90" spans="1:11" ht="13">
      <c r="A90" s="268" t="s">
        <v>3971</v>
      </c>
      <c r="B90" s="260" t="s">
        <v>2510</v>
      </c>
      <c r="C90" s="260" t="s">
        <v>4139</v>
      </c>
      <c r="D90" s="261" t="s">
        <v>4152</v>
      </c>
      <c r="E90" s="262">
        <v>2022</v>
      </c>
      <c r="F90" s="263">
        <v>12</v>
      </c>
      <c r="G90" s="260" t="s">
        <v>32</v>
      </c>
      <c r="H90" s="260" t="s">
        <v>4153</v>
      </c>
      <c r="I90" s="260">
        <v>168</v>
      </c>
      <c r="J90" s="260"/>
      <c r="K90" s="262">
        <v>13</v>
      </c>
    </row>
    <row r="91" spans="1:11" ht="13">
      <c r="A91" s="268" t="s">
        <v>3971</v>
      </c>
      <c r="B91" s="260" t="s">
        <v>2512</v>
      </c>
      <c r="C91" s="260" t="s">
        <v>4139</v>
      </c>
      <c r="D91" s="261" t="s">
        <v>4152</v>
      </c>
      <c r="E91" s="262">
        <v>2018</v>
      </c>
      <c r="F91" s="263">
        <v>12</v>
      </c>
      <c r="G91" s="260" t="s">
        <v>32</v>
      </c>
      <c r="H91" s="260" t="s">
        <v>4154</v>
      </c>
      <c r="I91" s="260">
        <v>174</v>
      </c>
      <c r="J91" s="260"/>
      <c r="K91" s="262">
        <v>13</v>
      </c>
    </row>
    <row r="92" spans="1:11" ht="13">
      <c r="A92" s="268" t="s">
        <v>3971</v>
      </c>
      <c r="B92" s="260" t="s">
        <v>2506</v>
      </c>
      <c r="C92" s="260" t="s">
        <v>4139</v>
      </c>
      <c r="D92" s="261" t="s">
        <v>4155</v>
      </c>
      <c r="E92" s="262">
        <v>2023</v>
      </c>
      <c r="F92" s="263">
        <v>12</v>
      </c>
      <c r="G92" s="260" t="s">
        <v>32</v>
      </c>
      <c r="H92" s="260" t="s">
        <v>4156</v>
      </c>
      <c r="I92" s="260">
        <v>132</v>
      </c>
      <c r="J92" s="260"/>
      <c r="K92" s="262">
        <v>10.5</v>
      </c>
    </row>
    <row r="93" spans="1:11" ht="13">
      <c r="A93" s="268" t="s">
        <v>3971</v>
      </c>
      <c r="B93" s="260" t="s">
        <v>4157</v>
      </c>
      <c r="C93" s="260" t="s">
        <v>4158</v>
      </c>
      <c r="D93" s="261" t="s">
        <v>4159</v>
      </c>
      <c r="E93" s="262">
        <v>2021</v>
      </c>
      <c r="F93" s="263">
        <v>12</v>
      </c>
      <c r="G93" s="260" t="s">
        <v>32</v>
      </c>
      <c r="H93" s="260" t="s">
        <v>4076</v>
      </c>
      <c r="I93" s="260">
        <v>306</v>
      </c>
      <c r="J93" s="260"/>
      <c r="K93" s="262">
        <v>13</v>
      </c>
    </row>
    <row r="94" spans="1:11" ht="13">
      <c r="A94" s="264"/>
      <c r="B94" s="264"/>
      <c r="C94" s="264"/>
      <c r="D94" s="265"/>
      <c r="E94" s="266"/>
      <c r="F94" s="267"/>
      <c r="G94" s="264"/>
      <c r="H94" s="264"/>
      <c r="I94" s="264"/>
      <c r="J94" s="264"/>
      <c r="K94" s="266"/>
    </row>
    <row r="95" spans="1:11" ht="13">
      <c r="A95" s="269" t="s">
        <v>4160</v>
      </c>
      <c r="B95" s="260" t="s">
        <v>3815</v>
      </c>
      <c r="C95" s="260" t="s">
        <v>4161</v>
      </c>
      <c r="D95" s="261" t="s">
        <v>4162</v>
      </c>
      <c r="E95" s="262">
        <v>2021</v>
      </c>
      <c r="F95" s="263">
        <v>12</v>
      </c>
      <c r="G95" s="260" t="s">
        <v>32</v>
      </c>
      <c r="H95" s="260" t="s">
        <v>4163</v>
      </c>
      <c r="I95" s="260">
        <v>348</v>
      </c>
      <c r="J95" s="260"/>
      <c r="K95" s="262">
        <v>10.5</v>
      </c>
    </row>
    <row r="96" spans="1:11" ht="13">
      <c r="A96" s="269" t="s">
        <v>4160</v>
      </c>
      <c r="B96" s="260" t="s">
        <v>3818</v>
      </c>
      <c r="C96" s="260" t="s">
        <v>4161</v>
      </c>
      <c r="D96" s="261" t="s">
        <v>4164</v>
      </c>
      <c r="E96" s="262">
        <v>2023</v>
      </c>
      <c r="F96" s="263">
        <v>12</v>
      </c>
      <c r="G96" s="260" t="s">
        <v>32</v>
      </c>
      <c r="H96" s="260" t="s">
        <v>4165</v>
      </c>
      <c r="I96" s="260">
        <v>306</v>
      </c>
      <c r="J96" s="260"/>
      <c r="K96" s="262">
        <v>13.5</v>
      </c>
    </row>
    <row r="97" spans="1:11" ht="13">
      <c r="A97" s="269" t="s">
        <v>4160</v>
      </c>
      <c r="B97" s="260" t="s">
        <v>3858</v>
      </c>
      <c r="C97" s="260" t="s">
        <v>4161</v>
      </c>
      <c r="D97" s="261" t="s">
        <v>4166</v>
      </c>
      <c r="E97" s="262">
        <v>2022</v>
      </c>
      <c r="F97" s="263">
        <v>12</v>
      </c>
      <c r="G97" s="260" t="s">
        <v>32</v>
      </c>
      <c r="H97" s="260" t="s">
        <v>4167</v>
      </c>
      <c r="I97" s="260">
        <v>318</v>
      </c>
      <c r="J97" s="260"/>
      <c r="K97" s="262">
        <v>10.5</v>
      </c>
    </row>
    <row r="98" spans="1:11" ht="13">
      <c r="A98" s="269" t="s">
        <v>4160</v>
      </c>
      <c r="B98" s="260" t="s">
        <v>3861</v>
      </c>
      <c r="C98" s="260" t="s">
        <v>4161</v>
      </c>
      <c r="D98" s="261" t="s">
        <v>3862</v>
      </c>
      <c r="E98" s="262">
        <v>2021</v>
      </c>
      <c r="F98" s="263">
        <v>12</v>
      </c>
      <c r="G98" s="260" t="s">
        <v>32</v>
      </c>
      <c r="H98" s="260" t="s">
        <v>4168</v>
      </c>
      <c r="I98" s="260">
        <v>324</v>
      </c>
      <c r="J98" s="260"/>
      <c r="K98" s="262">
        <v>12.5</v>
      </c>
    </row>
    <row r="99" spans="1:11" ht="13">
      <c r="A99" s="269" t="s">
        <v>4160</v>
      </c>
      <c r="B99" s="260" t="s">
        <v>3821</v>
      </c>
      <c r="C99" s="260" t="s">
        <v>4161</v>
      </c>
      <c r="D99" s="261" t="s">
        <v>4169</v>
      </c>
      <c r="E99" s="262">
        <v>2022</v>
      </c>
      <c r="F99" s="263">
        <v>12</v>
      </c>
      <c r="G99" s="260" t="s">
        <v>32</v>
      </c>
      <c r="H99" s="260" t="s">
        <v>4170</v>
      </c>
      <c r="I99" s="260">
        <v>312</v>
      </c>
      <c r="J99" s="260"/>
      <c r="K99" s="262">
        <v>12.5</v>
      </c>
    </row>
    <row r="100" spans="1:11" ht="13">
      <c r="A100" s="269" t="s">
        <v>4160</v>
      </c>
      <c r="B100" s="260" t="s">
        <v>3881</v>
      </c>
      <c r="C100" s="260" t="s">
        <v>4171</v>
      </c>
      <c r="D100" s="261" t="s">
        <v>4172</v>
      </c>
      <c r="E100" s="262">
        <v>2022</v>
      </c>
      <c r="F100" s="263">
        <v>12</v>
      </c>
      <c r="G100" s="260" t="s">
        <v>32</v>
      </c>
      <c r="H100" s="260" t="s">
        <v>4072</v>
      </c>
      <c r="I100" s="260">
        <v>234</v>
      </c>
      <c r="J100" s="260"/>
      <c r="K100" s="262">
        <v>12</v>
      </c>
    </row>
    <row r="101" spans="1:11" ht="13">
      <c r="A101" s="269" t="s">
        <v>4160</v>
      </c>
      <c r="B101" s="260" t="s">
        <v>3874</v>
      </c>
      <c r="C101" s="260" t="s">
        <v>4171</v>
      </c>
      <c r="D101" s="261" t="s">
        <v>4173</v>
      </c>
      <c r="E101" s="262">
        <v>2023</v>
      </c>
      <c r="F101" s="263">
        <v>12</v>
      </c>
      <c r="G101" s="260" t="s">
        <v>32</v>
      </c>
      <c r="H101" s="260" t="s">
        <v>4174</v>
      </c>
      <c r="I101" s="260">
        <v>210</v>
      </c>
      <c r="J101" s="260"/>
      <c r="K101" s="262">
        <v>12.5</v>
      </c>
    </row>
    <row r="102" spans="1:11" ht="13">
      <c r="A102" s="269" t="s">
        <v>4160</v>
      </c>
      <c r="B102" s="260" t="s">
        <v>3876</v>
      </c>
      <c r="C102" s="260" t="s">
        <v>4171</v>
      </c>
      <c r="D102" s="261" t="s">
        <v>4175</v>
      </c>
      <c r="E102" s="262">
        <v>2023</v>
      </c>
      <c r="F102" s="263">
        <v>12</v>
      </c>
      <c r="G102" s="260" t="s">
        <v>32</v>
      </c>
      <c r="H102" s="260" t="s">
        <v>4176</v>
      </c>
      <c r="I102" s="260">
        <v>210</v>
      </c>
      <c r="J102" s="260"/>
      <c r="K102" s="262">
        <v>12</v>
      </c>
    </row>
    <row r="103" spans="1:11" ht="13">
      <c r="A103" s="269" t="s">
        <v>4160</v>
      </c>
      <c r="B103" s="260" t="s">
        <v>3878</v>
      </c>
      <c r="C103" s="260" t="s">
        <v>4171</v>
      </c>
      <c r="D103" s="261" t="s">
        <v>4177</v>
      </c>
      <c r="E103" s="262">
        <v>2021</v>
      </c>
      <c r="F103" s="263">
        <v>12</v>
      </c>
      <c r="G103" s="260" t="s">
        <v>32</v>
      </c>
      <c r="H103" s="260" t="s">
        <v>4178</v>
      </c>
      <c r="I103" s="260">
        <v>210</v>
      </c>
      <c r="J103" s="260"/>
      <c r="K103" s="262">
        <v>12</v>
      </c>
    </row>
    <row r="104" spans="1:11" ht="13">
      <c r="A104" s="264"/>
      <c r="B104" s="264"/>
      <c r="C104" s="264"/>
      <c r="D104" s="265"/>
      <c r="E104" s="266"/>
      <c r="F104" s="267"/>
      <c r="G104" s="264"/>
      <c r="H104" s="264"/>
      <c r="I104" s="264"/>
      <c r="J104" s="264"/>
      <c r="K104" s="266"/>
    </row>
    <row r="105" spans="1:11" ht="13">
      <c r="A105" s="270" t="s">
        <v>4179</v>
      </c>
      <c r="B105" s="260" t="s">
        <v>3006</v>
      </c>
      <c r="C105" s="260" t="s">
        <v>4180</v>
      </c>
      <c r="D105" s="261" t="s">
        <v>4181</v>
      </c>
      <c r="E105" s="262">
        <v>2020</v>
      </c>
      <c r="F105" s="263">
        <v>12</v>
      </c>
      <c r="G105" s="260" t="s">
        <v>32</v>
      </c>
      <c r="H105" s="260" t="s">
        <v>4002</v>
      </c>
      <c r="I105" s="260">
        <v>252</v>
      </c>
      <c r="J105" s="260"/>
      <c r="K105" s="262">
        <v>12.7</v>
      </c>
    </row>
    <row r="106" spans="1:11" ht="13">
      <c r="A106" s="270" t="s">
        <v>4179</v>
      </c>
      <c r="B106" s="260" t="s">
        <v>3009</v>
      </c>
      <c r="C106" s="260" t="s">
        <v>4180</v>
      </c>
      <c r="D106" s="261" t="s">
        <v>4181</v>
      </c>
      <c r="E106" s="262">
        <v>2017</v>
      </c>
      <c r="F106" s="263">
        <v>12</v>
      </c>
      <c r="G106" s="260" t="s">
        <v>32</v>
      </c>
      <c r="H106" s="260" t="s">
        <v>4076</v>
      </c>
      <c r="I106" s="260">
        <v>252</v>
      </c>
      <c r="J106" s="260"/>
      <c r="K106" s="262">
        <v>12.7</v>
      </c>
    </row>
    <row r="107" spans="1:11" ht="13">
      <c r="A107" s="270" t="s">
        <v>4179</v>
      </c>
      <c r="B107" s="260" t="s">
        <v>3003</v>
      </c>
      <c r="C107" s="260" t="s">
        <v>4180</v>
      </c>
      <c r="D107" s="261" t="s">
        <v>4182</v>
      </c>
      <c r="E107" s="262" t="s">
        <v>5</v>
      </c>
      <c r="F107" s="263">
        <v>12</v>
      </c>
      <c r="G107" s="260" t="s">
        <v>32</v>
      </c>
      <c r="H107" s="260" t="s">
        <v>4183</v>
      </c>
      <c r="I107" s="260">
        <v>252</v>
      </c>
      <c r="J107" s="260"/>
      <c r="K107" s="262">
        <v>12</v>
      </c>
    </row>
    <row r="108" spans="1:11" ht="13">
      <c r="A108" s="270" t="s">
        <v>4179</v>
      </c>
      <c r="B108" s="260" t="s">
        <v>3013</v>
      </c>
      <c r="C108" s="260" t="s">
        <v>4180</v>
      </c>
      <c r="D108" s="261" t="s">
        <v>4184</v>
      </c>
      <c r="E108" s="262">
        <v>2020</v>
      </c>
      <c r="F108" s="263">
        <v>12</v>
      </c>
      <c r="G108" s="260" t="s">
        <v>32</v>
      </c>
      <c r="H108" s="260" t="s">
        <v>4185</v>
      </c>
      <c r="I108" s="260">
        <v>312</v>
      </c>
      <c r="J108" s="260"/>
      <c r="K108" s="262">
        <v>14</v>
      </c>
    </row>
    <row r="109" spans="1:11" ht="13">
      <c r="A109" s="270" t="s">
        <v>4179</v>
      </c>
      <c r="B109" s="260" t="s">
        <v>3045</v>
      </c>
      <c r="C109" s="260" t="s">
        <v>4186</v>
      </c>
      <c r="D109" s="261" t="s">
        <v>4187</v>
      </c>
      <c r="E109" s="262">
        <v>2021</v>
      </c>
      <c r="F109" s="263">
        <v>12</v>
      </c>
      <c r="G109" s="260" t="s">
        <v>32</v>
      </c>
      <c r="H109" s="260" t="s">
        <v>4188</v>
      </c>
      <c r="I109" s="260">
        <v>162</v>
      </c>
      <c r="J109" s="260"/>
      <c r="K109" s="262">
        <v>14</v>
      </c>
    </row>
    <row r="110" spans="1:11" ht="13">
      <c r="A110" s="270" t="s">
        <v>4179</v>
      </c>
      <c r="B110" s="260" t="s">
        <v>3048</v>
      </c>
      <c r="C110" s="260" t="s">
        <v>4186</v>
      </c>
      <c r="D110" s="261" t="s">
        <v>3049</v>
      </c>
      <c r="E110" s="262">
        <v>2021</v>
      </c>
      <c r="F110" s="263">
        <v>12</v>
      </c>
      <c r="G110" s="260" t="s">
        <v>32</v>
      </c>
      <c r="H110" s="260" t="s">
        <v>4189</v>
      </c>
      <c r="I110" s="260">
        <v>228</v>
      </c>
      <c r="J110" s="260"/>
      <c r="K110" s="262">
        <v>13</v>
      </c>
    </row>
    <row r="111" spans="1:11" ht="13">
      <c r="A111" s="270" t="s">
        <v>4179</v>
      </c>
      <c r="B111" s="260" t="s">
        <v>3017</v>
      </c>
      <c r="C111" s="260" t="s">
        <v>4190</v>
      </c>
      <c r="D111" s="261" t="s">
        <v>4191</v>
      </c>
      <c r="E111" s="262">
        <v>2024</v>
      </c>
      <c r="F111" s="263">
        <v>12</v>
      </c>
      <c r="G111" s="260" t="s">
        <v>32</v>
      </c>
      <c r="H111" s="260" t="s">
        <v>4192</v>
      </c>
      <c r="I111" s="260">
        <v>156</v>
      </c>
      <c r="J111" s="260"/>
      <c r="K111" s="262">
        <v>12</v>
      </c>
    </row>
    <row r="112" spans="1:11" ht="13">
      <c r="A112" s="270" t="s">
        <v>4179</v>
      </c>
      <c r="B112" s="260" t="s">
        <v>3034</v>
      </c>
      <c r="C112" s="260" t="s">
        <v>4190</v>
      </c>
      <c r="D112" s="261" t="s">
        <v>4193</v>
      </c>
      <c r="E112" s="262">
        <v>2022</v>
      </c>
      <c r="F112" s="263">
        <v>12</v>
      </c>
      <c r="G112" s="260" t="s">
        <v>32</v>
      </c>
      <c r="H112" s="260" t="s">
        <v>4194</v>
      </c>
      <c r="I112" s="260">
        <v>120</v>
      </c>
      <c r="J112" s="260"/>
      <c r="K112" s="262">
        <v>12</v>
      </c>
    </row>
    <row r="113" spans="1:11" ht="13">
      <c r="A113" s="270" t="s">
        <v>4179</v>
      </c>
      <c r="B113" s="260" t="s">
        <v>4195</v>
      </c>
      <c r="C113" s="260" t="s">
        <v>4190</v>
      </c>
      <c r="D113" s="261" t="s">
        <v>4196</v>
      </c>
      <c r="E113" s="262">
        <v>2024</v>
      </c>
      <c r="F113" s="263">
        <v>12</v>
      </c>
      <c r="G113" s="260" t="s">
        <v>32</v>
      </c>
      <c r="H113" s="260" t="s">
        <v>4197</v>
      </c>
      <c r="I113" s="260">
        <v>168</v>
      </c>
      <c r="J113" s="260"/>
      <c r="K113" s="262">
        <v>12</v>
      </c>
    </row>
    <row r="114" spans="1:11" ht="13">
      <c r="A114" s="270" t="s">
        <v>4179</v>
      </c>
      <c r="B114" s="260" t="s">
        <v>3020</v>
      </c>
      <c r="C114" s="260" t="s">
        <v>4190</v>
      </c>
      <c r="D114" s="261" t="s">
        <v>3021</v>
      </c>
      <c r="E114" s="262" t="s">
        <v>5</v>
      </c>
      <c r="F114" s="263">
        <v>12</v>
      </c>
      <c r="G114" s="260" t="s">
        <v>32</v>
      </c>
      <c r="H114" s="260" t="s">
        <v>4198</v>
      </c>
      <c r="I114" s="260">
        <v>126</v>
      </c>
      <c r="J114" s="260"/>
      <c r="K114" s="262">
        <v>12.5</v>
      </c>
    </row>
    <row r="115" spans="1:11" ht="13">
      <c r="A115" s="270" t="s">
        <v>4179</v>
      </c>
      <c r="B115" s="260" t="s">
        <v>3036</v>
      </c>
      <c r="C115" s="260" t="s">
        <v>4190</v>
      </c>
      <c r="D115" s="261" t="s">
        <v>3037</v>
      </c>
      <c r="E115" s="262">
        <v>2019</v>
      </c>
      <c r="F115" s="263">
        <v>12</v>
      </c>
      <c r="G115" s="260" t="s">
        <v>32</v>
      </c>
      <c r="H115" s="260" t="s">
        <v>4199</v>
      </c>
      <c r="I115" s="260">
        <v>138</v>
      </c>
      <c r="J115" s="260"/>
      <c r="K115" s="262">
        <v>13</v>
      </c>
    </row>
    <row r="116" spans="1:11" ht="13">
      <c r="A116" s="270" t="s">
        <v>4179</v>
      </c>
      <c r="B116" s="260" t="s">
        <v>4200</v>
      </c>
      <c r="C116" s="260" t="s">
        <v>4190</v>
      </c>
      <c r="D116" s="261" t="s">
        <v>4201</v>
      </c>
      <c r="E116" s="262">
        <v>2023</v>
      </c>
      <c r="F116" s="263">
        <v>12</v>
      </c>
      <c r="G116" s="260" t="s">
        <v>32</v>
      </c>
      <c r="H116" s="260" t="s">
        <v>4202</v>
      </c>
      <c r="I116" s="260">
        <v>120</v>
      </c>
      <c r="J116" s="260"/>
      <c r="K116" s="262">
        <v>12</v>
      </c>
    </row>
    <row r="117" spans="1:11" ht="13">
      <c r="A117" s="270" t="s">
        <v>4179</v>
      </c>
      <c r="B117" s="260" t="s">
        <v>3023</v>
      </c>
      <c r="C117" s="260" t="s">
        <v>4190</v>
      </c>
      <c r="D117" s="261" t="s">
        <v>4203</v>
      </c>
      <c r="E117" s="262">
        <v>2024</v>
      </c>
      <c r="F117" s="263">
        <v>12</v>
      </c>
      <c r="G117" s="260" t="s">
        <v>32</v>
      </c>
      <c r="H117" s="260" t="s">
        <v>4204</v>
      </c>
      <c r="I117" s="260">
        <v>156</v>
      </c>
      <c r="J117" s="260"/>
      <c r="K117" s="262">
        <v>13</v>
      </c>
    </row>
    <row r="118" spans="1:11" ht="13">
      <c r="A118" s="270" t="s">
        <v>4179</v>
      </c>
      <c r="B118" s="260" t="s">
        <v>4205</v>
      </c>
      <c r="C118" s="260" t="s">
        <v>4206</v>
      </c>
      <c r="D118" s="261" t="s">
        <v>4207</v>
      </c>
      <c r="E118" s="262">
        <v>2018</v>
      </c>
      <c r="F118" s="263">
        <v>12</v>
      </c>
      <c r="G118" s="260" t="s">
        <v>32</v>
      </c>
      <c r="H118" s="260" t="s">
        <v>4208</v>
      </c>
      <c r="I118" s="260">
        <v>144</v>
      </c>
      <c r="J118" s="260"/>
      <c r="K118" s="262">
        <v>13</v>
      </c>
    </row>
    <row r="119" spans="1:11" ht="13">
      <c r="A119" s="270" t="s">
        <v>4179</v>
      </c>
      <c r="B119" s="260" t="s">
        <v>3102</v>
      </c>
      <c r="C119" s="260" t="s">
        <v>4209</v>
      </c>
      <c r="D119" s="261" t="s">
        <v>3103</v>
      </c>
      <c r="E119" s="262">
        <v>2019</v>
      </c>
      <c r="F119" s="263">
        <v>12</v>
      </c>
      <c r="G119" s="260" t="s">
        <v>32</v>
      </c>
      <c r="H119" s="260" t="s">
        <v>4210</v>
      </c>
      <c r="I119" s="260">
        <v>150</v>
      </c>
      <c r="J119" s="260"/>
      <c r="K119" s="262">
        <v>14.5</v>
      </c>
    </row>
    <row r="120" spans="1:11" ht="13">
      <c r="A120" s="270" t="s">
        <v>4179</v>
      </c>
      <c r="B120" s="260" t="s">
        <v>2980</v>
      </c>
      <c r="C120" s="260" t="s">
        <v>4211</v>
      </c>
      <c r="D120" s="261" t="s">
        <v>4212</v>
      </c>
      <c r="E120" s="262">
        <v>2021</v>
      </c>
      <c r="F120" s="263">
        <v>12</v>
      </c>
      <c r="G120" s="260" t="s">
        <v>32</v>
      </c>
      <c r="H120" s="260" t="s">
        <v>4213</v>
      </c>
      <c r="I120" s="260">
        <v>168</v>
      </c>
      <c r="J120" s="260"/>
      <c r="K120" s="262">
        <v>11.5</v>
      </c>
    </row>
    <row r="121" spans="1:11" ht="13">
      <c r="A121" s="270" t="s">
        <v>4179</v>
      </c>
      <c r="B121" s="260" t="s">
        <v>2976</v>
      </c>
      <c r="C121" s="260" t="s">
        <v>4211</v>
      </c>
      <c r="D121" s="261" t="s">
        <v>4214</v>
      </c>
      <c r="E121" s="262">
        <v>2020</v>
      </c>
      <c r="F121" s="263">
        <v>12</v>
      </c>
      <c r="G121" s="260" t="s">
        <v>32</v>
      </c>
      <c r="H121" s="260" t="s">
        <v>4215</v>
      </c>
      <c r="I121" s="260">
        <v>204</v>
      </c>
      <c r="J121" s="260"/>
      <c r="K121" s="262">
        <v>11.5</v>
      </c>
    </row>
    <row r="122" spans="1:11" ht="13">
      <c r="A122" s="270" t="s">
        <v>4179</v>
      </c>
      <c r="B122" s="260" t="s">
        <v>2983</v>
      </c>
      <c r="C122" s="260" t="s">
        <v>4211</v>
      </c>
      <c r="D122" s="261" t="s">
        <v>4216</v>
      </c>
      <c r="E122" s="262">
        <v>2020</v>
      </c>
      <c r="F122" s="263">
        <v>12</v>
      </c>
      <c r="G122" s="260" t="s">
        <v>32</v>
      </c>
      <c r="H122" s="260" t="s">
        <v>4217</v>
      </c>
      <c r="I122" s="260">
        <v>192</v>
      </c>
      <c r="J122" s="260"/>
      <c r="K122" s="262">
        <v>11.5</v>
      </c>
    </row>
    <row r="123" spans="1:11" ht="13">
      <c r="A123" s="270" t="s">
        <v>4179</v>
      </c>
      <c r="B123" s="260" t="s">
        <v>4218</v>
      </c>
      <c r="C123" s="260" t="s">
        <v>4211</v>
      </c>
      <c r="D123" s="261" t="s">
        <v>4219</v>
      </c>
      <c r="E123" s="262">
        <v>2021</v>
      </c>
      <c r="F123" s="263">
        <v>12</v>
      </c>
      <c r="G123" s="260" t="s">
        <v>32</v>
      </c>
      <c r="H123" s="260" t="s">
        <v>4220</v>
      </c>
      <c r="I123" s="260">
        <v>156</v>
      </c>
      <c r="J123" s="260"/>
      <c r="K123" s="262">
        <v>11.5</v>
      </c>
    </row>
    <row r="124" spans="1:11" ht="13">
      <c r="A124" s="270" t="s">
        <v>4179</v>
      </c>
      <c r="B124" s="260" t="s">
        <v>2971</v>
      </c>
      <c r="C124" s="260" t="s">
        <v>4211</v>
      </c>
      <c r="D124" s="261" t="s">
        <v>4219</v>
      </c>
      <c r="E124" s="262">
        <v>2019</v>
      </c>
      <c r="F124" s="263">
        <v>12</v>
      </c>
      <c r="G124" s="260" t="s">
        <v>32</v>
      </c>
      <c r="H124" s="260" t="s">
        <v>4221</v>
      </c>
      <c r="I124" s="260">
        <v>156</v>
      </c>
      <c r="J124" s="260"/>
      <c r="K124" s="262">
        <v>11.5</v>
      </c>
    </row>
    <row r="125" spans="1:11" ht="13">
      <c r="A125" s="270" t="s">
        <v>4179</v>
      </c>
      <c r="B125" s="260" t="s">
        <v>4222</v>
      </c>
      <c r="C125" s="260" t="s">
        <v>4223</v>
      </c>
      <c r="D125" s="261" t="s">
        <v>4224</v>
      </c>
      <c r="E125" s="262">
        <v>2021</v>
      </c>
      <c r="F125" s="263">
        <v>4</v>
      </c>
      <c r="G125" s="260" t="s">
        <v>4225</v>
      </c>
      <c r="H125" s="260" t="s">
        <v>4208</v>
      </c>
      <c r="I125" s="260">
        <v>280</v>
      </c>
      <c r="J125" s="260"/>
      <c r="K125" s="262">
        <v>14.5</v>
      </c>
    </row>
    <row r="126" spans="1:11" ht="13">
      <c r="A126" s="270" t="s">
        <v>4179</v>
      </c>
      <c r="B126" s="260" t="s">
        <v>4226</v>
      </c>
      <c r="C126" s="260" t="s">
        <v>4223</v>
      </c>
      <c r="D126" s="261" t="s">
        <v>4224</v>
      </c>
      <c r="E126" s="262">
        <v>2021</v>
      </c>
      <c r="F126" s="263">
        <v>4</v>
      </c>
      <c r="G126" s="260" t="s">
        <v>3979</v>
      </c>
      <c r="H126" s="260" t="s">
        <v>4227</v>
      </c>
      <c r="I126" s="260">
        <v>146</v>
      </c>
      <c r="J126" s="260"/>
      <c r="K126" s="262">
        <v>14.5</v>
      </c>
    </row>
    <row r="127" spans="1:11" ht="13">
      <c r="A127" s="270" t="s">
        <v>4179</v>
      </c>
      <c r="B127" s="260" t="s">
        <v>3063</v>
      </c>
      <c r="C127" s="260" t="s">
        <v>4223</v>
      </c>
      <c r="D127" s="261" t="s">
        <v>4224</v>
      </c>
      <c r="E127" s="262">
        <v>2022</v>
      </c>
      <c r="F127" s="263">
        <v>12</v>
      </c>
      <c r="G127" s="260" t="s">
        <v>32</v>
      </c>
      <c r="H127" s="260" t="s">
        <v>4228</v>
      </c>
      <c r="I127" s="260">
        <v>210</v>
      </c>
      <c r="J127" s="260"/>
      <c r="K127" s="262">
        <v>14.5</v>
      </c>
    </row>
    <row r="128" spans="1:11" ht="13">
      <c r="A128" s="270" t="s">
        <v>4179</v>
      </c>
      <c r="B128" s="260" t="s">
        <v>4229</v>
      </c>
      <c r="C128" s="260" t="s">
        <v>4223</v>
      </c>
      <c r="D128" s="261" t="s">
        <v>4224</v>
      </c>
      <c r="E128" s="262">
        <v>2022</v>
      </c>
      <c r="F128" s="263">
        <v>4</v>
      </c>
      <c r="G128" s="260" t="s">
        <v>4225</v>
      </c>
      <c r="H128" s="260" t="s">
        <v>4010</v>
      </c>
      <c r="I128" s="260">
        <v>292</v>
      </c>
      <c r="J128" s="260"/>
      <c r="K128" s="262">
        <v>14.5</v>
      </c>
    </row>
    <row r="129" spans="1:11" ht="13">
      <c r="A129" s="270" t="s">
        <v>4179</v>
      </c>
      <c r="B129" s="260" t="s">
        <v>3055</v>
      </c>
      <c r="C129" s="260" t="s">
        <v>4223</v>
      </c>
      <c r="D129" s="261" t="s">
        <v>4230</v>
      </c>
      <c r="E129" s="262">
        <v>2022</v>
      </c>
      <c r="F129" s="263">
        <v>12</v>
      </c>
      <c r="G129" s="260" t="s">
        <v>32</v>
      </c>
      <c r="H129" s="260" t="s">
        <v>4231</v>
      </c>
      <c r="I129" s="260">
        <v>156</v>
      </c>
      <c r="J129" s="260"/>
      <c r="K129" s="262">
        <v>14.5</v>
      </c>
    </row>
    <row r="130" spans="1:11" ht="13">
      <c r="A130" s="270" t="s">
        <v>4179</v>
      </c>
      <c r="B130" s="260" t="s">
        <v>3060</v>
      </c>
      <c r="C130" s="260" t="s">
        <v>4223</v>
      </c>
      <c r="D130" s="261" t="s">
        <v>4230</v>
      </c>
      <c r="E130" s="262">
        <v>2022</v>
      </c>
      <c r="F130" s="263">
        <v>4</v>
      </c>
      <c r="G130" s="260" t="s">
        <v>4225</v>
      </c>
      <c r="H130" s="260" t="s">
        <v>4232</v>
      </c>
      <c r="I130" s="260">
        <v>224</v>
      </c>
      <c r="J130" s="260"/>
      <c r="K130" s="262">
        <v>14.5</v>
      </c>
    </row>
    <row r="131" spans="1:11" ht="13">
      <c r="A131" s="270" t="s">
        <v>4179</v>
      </c>
      <c r="B131" s="260" t="s">
        <v>3058</v>
      </c>
      <c r="C131" s="260" t="s">
        <v>4223</v>
      </c>
      <c r="D131" s="261" t="s">
        <v>4230</v>
      </c>
      <c r="E131" s="262">
        <v>2022</v>
      </c>
      <c r="F131" s="263">
        <v>6</v>
      </c>
      <c r="G131" s="260" t="s">
        <v>3979</v>
      </c>
      <c r="H131" s="260" t="s">
        <v>4233</v>
      </c>
      <c r="I131" s="260">
        <v>183</v>
      </c>
      <c r="J131" s="260"/>
      <c r="K131" s="262">
        <v>14.5</v>
      </c>
    </row>
    <row r="132" spans="1:11" ht="13">
      <c r="A132" s="270" t="s">
        <v>4179</v>
      </c>
      <c r="B132" s="260" t="s">
        <v>3079</v>
      </c>
      <c r="C132" s="260" t="s">
        <v>4223</v>
      </c>
      <c r="D132" s="261" t="s">
        <v>4234</v>
      </c>
      <c r="E132" s="262">
        <v>2021</v>
      </c>
      <c r="F132" s="263">
        <v>12</v>
      </c>
      <c r="G132" s="260" t="s">
        <v>32</v>
      </c>
      <c r="H132" s="260" t="s">
        <v>4235</v>
      </c>
      <c r="I132" s="260">
        <v>432</v>
      </c>
      <c r="J132" s="260"/>
      <c r="K132" s="262">
        <v>14.5</v>
      </c>
    </row>
    <row r="133" spans="1:11" ht="13">
      <c r="A133" s="270" t="s">
        <v>4179</v>
      </c>
      <c r="B133" s="260" t="s">
        <v>4236</v>
      </c>
      <c r="C133" s="260" t="s">
        <v>4223</v>
      </c>
      <c r="D133" s="261" t="s">
        <v>4234</v>
      </c>
      <c r="E133" s="262">
        <v>2022</v>
      </c>
      <c r="F133" s="263">
        <v>4</v>
      </c>
      <c r="G133" s="260" t="s">
        <v>4225</v>
      </c>
      <c r="H133" s="260" t="s">
        <v>4076</v>
      </c>
      <c r="I133" s="260">
        <v>696</v>
      </c>
      <c r="J133" s="260"/>
      <c r="K133" s="262">
        <v>14.5</v>
      </c>
    </row>
    <row r="134" spans="1:11" ht="13">
      <c r="A134" s="270" t="s">
        <v>4179</v>
      </c>
      <c r="B134" s="260" t="s">
        <v>4237</v>
      </c>
      <c r="C134" s="260" t="s">
        <v>4223</v>
      </c>
      <c r="D134" s="261" t="s">
        <v>4234</v>
      </c>
      <c r="E134" s="262">
        <v>2022</v>
      </c>
      <c r="F134" s="263">
        <v>6</v>
      </c>
      <c r="G134" s="260" t="s">
        <v>3979</v>
      </c>
      <c r="H134" s="260" t="s">
        <v>4238</v>
      </c>
      <c r="I134" s="260">
        <v>528</v>
      </c>
      <c r="J134" s="260"/>
      <c r="K134" s="262">
        <v>14.5</v>
      </c>
    </row>
    <row r="135" spans="1:11" ht="13">
      <c r="A135" s="270" t="s">
        <v>4179</v>
      </c>
      <c r="B135" s="260" t="s">
        <v>3069</v>
      </c>
      <c r="C135" s="260" t="s">
        <v>4223</v>
      </c>
      <c r="D135" s="261" t="s">
        <v>4239</v>
      </c>
      <c r="E135" s="262">
        <v>2021</v>
      </c>
      <c r="F135" s="263">
        <v>12</v>
      </c>
      <c r="G135" s="260" t="s">
        <v>32</v>
      </c>
      <c r="H135" s="260" t="s">
        <v>4240</v>
      </c>
      <c r="I135" s="260">
        <v>240</v>
      </c>
      <c r="J135" s="260"/>
      <c r="K135" s="262">
        <v>14.5</v>
      </c>
    </row>
    <row r="136" spans="1:11" ht="13">
      <c r="A136" s="270" t="s">
        <v>4179</v>
      </c>
      <c r="B136" s="260" t="s">
        <v>3071</v>
      </c>
      <c r="C136" s="260" t="s">
        <v>4223</v>
      </c>
      <c r="D136" s="261" t="s">
        <v>4239</v>
      </c>
      <c r="E136" s="262">
        <v>2021</v>
      </c>
      <c r="F136" s="263">
        <v>6</v>
      </c>
      <c r="G136" s="260" t="s">
        <v>3979</v>
      </c>
      <c r="H136" s="260" t="s">
        <v>4238</v>
      </c>
      <c r="I136" s="260">
        <v>252</v>
      </c>
      <c r="J136" s="260"/>
      <c r="K136" s="262">
        <v>14.5</v>
      </c>
    </row>
    <row r="137" spans="1:11" ht="13">
      <c r="A137" s="270" t="s">
        <v>4179</v>
      </c>
      <c r="B137" s="260" t="s">
        <v>4241</v>
      </c>
      <c r="C137" s="260" t="s">
        <v>4223</v>
      </c>
      <c r="D137" s="261" t="s">
        <v>4242</v>
      </c>
      <c r="E137" s="262">
        <v>2022</v>
      </c>
      <c r="F137" s="263">
        <v>12</v>
      </c>
      <c r="G137" s="260" t="s">
        <v>32</v>
      </c>
      <c r="H137" s="260" t="s">
        <v>4243</v>
      </c>
      <c r="I137" s="260">
        <v>342</v>
      </c>
      <c r="J137" s="260"/>
      <c r="K137" s="262">
        <v>14.5</v>
      </c>
    </row>
    <row r="138" spans="1:11" ht="13">
      <c r="A138" s="270" t="s">
        <v>4179</v>
      </c>
      <c r="B138" s="260" t="s">
        <v>4244</v>
      </c>
      <c r="C138" s="260" t="s">
        <v>4223</v>
      </c>
      <c r="D138" s="261" t="s">
        <v>4242</v>
      </c>
      <c r="E138" s="262">
        <v>2022</v>
      </c>
      <c r="F138" s="263">
        <v>4</v>
      </c>
      <c r="G138" s="260" t="s">
        <v>4225</v>
      </c>
      <c r="H138" s="260" t="s">
        <v>4010</v>
      </c>
      <c r="I138" s="260">
        <v>470</v>
      </c>
      <c r="J138" s="260"/>
      <c r="K138" s="262">
        <v>14.5</v>
      </c>
    </row>
    <row r="139" spans="1:11" ht="13">
      <c r="A139" s="270" t="s">
        <v>4179</v>
      </c>
      <c r="B139" s="260" t="s">
        <v>4245</v>
      </c>
      <c r="C139" s="260" t="s">
        <v>4223</v>
      </c>
      <c r="D139" s="261" t="s">
        <v>4242</v>
      </c>
      <c r="E139" s="262">
        <v>2022</v>
      </c>
      <c r="F139" s="263">
        <v>6</v>
      </c>
      <c r="G139" s="260" t="s">
        <v>3979</v>
      </c>
      <c r="H139" s="260" t="s">
        <v>4246</v>
      </c>
      <c r="I139" s="260">
        <v>360</v>
      </c>
      <c r="J139" s="260"/>
      <c r="K139" s="262">
        <v>14.5</v>
      </c>
    </row>
    <row r="140" spans="1:11" ht="13">
      <c r="A140" s="264"/>
      <c r="B140" s="264"/>
      <c r="C140" s="264"/>
      <c r="D140" s="265"/>
      <c r="E140" s="266"/>
      <c r="F140" s="267"/>
      <c r="G140" s="264"/>
      <c r="H140" s="264"/>
      <c r="I140" s="264"/>
      <c r="J140" s="264"/>
      <c r="K140" s="266"/>
    </row>
    <row r="141" spans="1:11" ht="13">
      <c r="A141" s="271" t="s">
        <v>4247</v>
      </c>
      <c r="B141" s="260" t="s">
        <v>2829</v>
      </c>
      <c r="C141" s="260" t="s">
        <v>4248</v>
      </c>
      <c r="D141" s="261" t="s">
        <v>4249</v>
      </c>
      <c r="E141" s="262">
        <v>2022</v>
      </c>
      <c r="F141" s="263">
        <v>12</v>
      </c>
      <c r="G141" s="260" t="s">
        <v>32</v>
      </c>
      <c r="H141" s="260" t="s">
        <v>4250</v>
      </c>
      <c r="I141" s="260">
        <v>210</v>
      </c>
      <c r="J141" s="260"/>
      <c r="K141" s="262">
        <v>12</v>
      </c>
    </row>
    <row r="142" spans="1:11" ht="13">
      <c r="A142" s="271" t="s">
        <v>4247</v>
      </c>
      <c r="B142" s="260" t="s">
        <v>2839</v>
      </c>
      <c r="C142" s="260" t="s">
        <v>4248</v>
      </c>
      <c r="D142" s="261" t="s">
        <v>2840</v>
      </c>
      <c r="E142" s="262">
        <v>2019</v>
      </c>
      <c r="F142" s="263">
        <v>12</v>
      </c>
      <c r="G142" s="260" t="s">
        <v>32</v>
      </c>
      <c r="H142" s="260" t="s">
        <v>4251</v>
      </c>
      <c r="I142" s="260">
        <v>192</v>
      </c>
      <c r="J142" s="260"/>
      <c r="K142" s="262">
        <v>14</v>
      </c>
    </row>
    <row r="143" spans="1:11" ht="13">
      <c r="A143" s="271" t="s">
        <v>4247</v>
      </c>
      <c r="B143" s="260" t="s">
        <v>2834</v>
      </c>
      <c r="C143" s="260" t="s">
        <v>4248</v>
      </c>
      <c r="D143" s="261" t="s">
        <v>4252</v>
      </c>
      <c r="E143" s="262">
        <v>2022</v>
      </c>
      <c r="F143" s="263">
        <v>12</v>
      </c>
      <c r="G143" s="260" t="s">
        <v>32</v>
      </c>
      <c r="H143" s="260" t="s">
        <v>4253</v>
      </c>
      <c r="I143" s="260">
        <v>192</v>
      </c>
      <c r="J143" s="260"/>
      <c r="K143" s="262">
        <v>13.5</v>
      </c>
    </row>
    <row r="144" spans="1:11" ht="13">
      <c r="A144" s="271" t="s">
        <v>4247</v>
      </c>
      <c r="B144" s="260" t="s">
        <v>2836</v>
      </c>
      <c r="C144" s="260" t="s">
        <v>4248</v>
      </c>
      <c r="D144" s="261" t="s">
        <v>4254</v>
      </c>
      <c r="E144" s="262">
        <v>2022</v>
      </c>
      <c r="F144" s="263">
        <v>12</v>
      </c>
      <c r="G144" s="260" t="s">
        <v>32</v>
      </c>
      <c r="H144" s="260" t="s">
        <v>4154</v>
      </c>
      <c r="I144" s="260">
        <v>192</v>
      </c>
      <c r="J144" s="260"/>
      <c r="K144" s="262">
        <v>13.4</v>
      </c>
    </row>
    <row r="145" spans="1:11" ht="13">
      <c r="A145" s="264"/>
      <c r="B145" s="264"/>
      <c r="C145" s="264"/>
      <c r="D145" s="265"/>
      <c r="E145" s="266"/>
      <c r="F145" s="267"/>
      <c r="G145" s="264"/>
      <c r="H145" s="264"/>
      <c r="I145" s="264"/>
      <c r="J145" s="264"/>
      <c r="K145" s="266"/>
    </row>
    <row r="146" spans="1:11" ht="13">
      <c r="A146" s="272" t="s">
        <v>4255</v>
      </c>
      <c r="B146" s="260" t="s">
        <v>1558</v>
      </c>
      <c r="C146" s="260" t="s">
        <v>4256</v>
      </c>
      <c r="D146" s="261" t="s">
        <v>4257</v>
      </c>
      <c r="E146" s="262">
        <v>2022</v>
      </c>
      <c r="F146" s="263">
        <v>6</v>
      </c>
      <c r="G146" s="260" t="s">
        <v>32</v>
      </c>
      <c r="H146" s="260" t="s">
        <v>4258</v>
      </c>
      <c r="I146" s="260">
        <v>81</v>
      </c>
      <c r="J146" s="260"/>
      <c r="K146" s="262">
        <v>14.2</v>
      </c>
    </row>
    <row r="147" spans="1:11" ht="13">
      <c r="A147" s="272" t="s">
        <v>4255</v>
      </c>
      <c r="B147" s="260" t="s">
        <v>854</v>
      </c>
      <c r="C147" s="260" t="s">
        <v>4259</v>
      </c>
      <c r="D147" s="261" t="s">
        <v>4260</v>
      </c>
      <c r="E147" s="262">
        <v>2023</v>
      </c>
      <c r="F147" s="263">
        <v>12</v>
      </c>
      <c r="G147" s="260" t="s">
        <v>32</v>
      </c>
      <c r="H147" s="260" t="s">
        <v>4168</v>
      </c>
      <c r="I147" s="260">
        <v>234</v>
      </c>
      <c r="J147" s="260"/>
      <c r="K147" s="262">
        <v>12</v>
      </c>
    </row>
    <row r="148" spans="1:11" ht="13">
      <c r="A148" s="272" t="s">
        <v>4255</v>
      </c>
      <c r="B148" s="260" t="s">
        <v>857</v>
      </c>
      <c r="C148" s="260" t="s">
        <v>4259</v>
      </c>
      <c r="D148" s="261" t="s">
        <v>4260</v>
      </c>
      <c r="E148" s="262">
        <v>2023</v>
      </c>
      <c r="F148" s="263">
        <v>6</v>
      </c>
      <c r="G148" s="260" t="s">
        <v>3979</v>
      </c>
      <c r="H148" s="260" t="s">
        <v>4261</v>
      </c>
      <c r="I148" s="260">
        <v>252</v>
      </c>
      <c r="J148" s="260"/>
      <c r="K148" s="262">
        <v>12</v>
      </c>
    </row>
    <row r="149" spans="1:11" ht="13">
      <c r="A149" s="272" t="s">
        <v>4255</v>
      </c>
      <c r="B149" s="260" t="s">
        <v>832</v>
      </c>
      <c r="C149" s="260" t="s">
        <v>4259</v>
      </c>
      <c r="D149" s="261" t="s">
        <v>952</v>
      </c>
      <c r="E149" s="262">
        <v>2023</v>
      </c>
      <c r="F149" s="263">
        <v>12</v>
      </c>
      <c r="G149" s="260" t="s">
        <v>32</v>
      </c>
      <c r="H149" s="260" t="s">
        <v>4238</v>
      </c>
      <c r="I149" s="260">
        <v>234</v>
      </c>
      <c r="J149" s="260"/>
      <c r="K149" s="262">
        <v>12</v>
      </c>
    </row>
    <row r="150" spans="1:11" ht="13">
      <c r="A150" s="272" t="s">
        <v>4255</v>
      </c>
      <c r="B150" s="260" t="s">
        <v>833</v>
      </c>
      <c r="C150" s="260" t="s">
        <v>4259</v>
      </c>
      <c r="D150" s="261" t="s">
        <v>952</v>
      </c>
      <c r="E150" s="262">
        <v>2023</v>
      </c>
      <c r="F150" s="263">
        <v>6</v>
      </c>
      <c r="G150" s="260" t="s">
        <v>3979</v>
      </c>
      <c r="H150" s="260" t="s">
        <v>4262</v>
      </c>
      <c r="I150" s="260">
        <v>252</v>
      </c>
      <c r="J150" s="260"/>
      <c r="K150" s="262">
        <v>12</v>
      </c>
    </row>
    <row r="151" spans="1:11" ht="13">
      <c r="A151" s="272" t="s">
        <v>4255</v>
      </c>
      <c r="B151" s="260" t="s">
        <v>829</v>
      </c>
      <c r="C151" s="260" t="s">
        <v>4259</v>
      </c>
      <c r="D151" s="261" t="s">
        <v>4263</v>
      </c>
      <c r="E151" s="262">
        <v>2023</v>
      </c>
      <c r="F151" s="263">
        <v>12</v>
      </c>
      <c r="G151" s="260" t="s">
        <v>32</v>
      </c>
      <c r="H151" s="260" t="s">
        <v>4264</v>
      </c>
      <c r="I151" s="260">
        <v>228</v>
      </c>
      <c r="J151" s="260"/>
      <c r="K151" s="262">
        <v>12</v>
      </c>
    </row>
    <row r="152" spans="1:11" ht="13">
      <c r="A152" s="272" t="s">
        <v>4255</v>
      </c>
      <c r="B152" s="260" t="s">
        <v>859</v>
      </c>
      <c r="C152" s="260" t="s">
        <v>4259</v>
      </c>
      <c r="D152" s="261" t="s">
        <v>4265</v>
      </c>
      <c r="E152" s="262">
        <v>2022</v>
      </c>
      <c r="F152" s="263">
        <v>12</v>
      </c>
      <c r="G152" s="260" t="s">
        <v>32</v>
      </c>
      <c r="H152" s="260" t="s">
        <v>4189</v>
      </c>
      <c r="I152" s="260">
        <v>186</v>
      </c>
      <c r="J152" s="260"/>
      <c r="K152" s="262">
        <v>12.5</v>
      </c>
    </row>
    <row r="153" spans="1:11" ht="13">
      <c r="A153" s="272" t="s">
        <v>4255</v>
      </c>
      <c r="B153" s="260" t="s">
        <v>4266</v>
      </c>
      <c r="C153" s="260" t="s">
        <v>4259</v>
      </c>
      <c r="D153" s="261" t="s">
        <v>4267</v>
      </c>
      <c r="E153" s="262">
        <v>2022</v>
      </c>
      <c r="F153" s="263">
        <v>12</v>
      </c>
      <c r="G153" s="260" t="s">
        <v>32</v>
      </c>
      <c r="H153" s="260" t="s">
        <v>4163</v>
      </c>
      <c r="I153" s="260">
        <v>204</v>
      </c>
      <c r="J153" s="260"/>
      <c r="K153" s="262">
        <v>12</v>
      </c>
    </row>
    <row r="154" spans="1:11" ht="13">
      <c r="A154" s="272" t="s">
        <v>4255</v>
      </c>
      <c r="B154" s="260" t="s">
        <v>4268</v>
      </c>
      <c r="C154" s="260" t="s">
        <v>4259</v>
      </c>
      <c r="D154" s="261" t="s">
        <v>4267</v>
      </c>
      <c r="E154" s="262">
        <v>2022</v>
      </c>
      <c r="F154" s="263">
        <v>6</v>
      </c>
      <c r="G154" s="260" t="s">
        <v>3979</v>
      </c>
      <c r="H154" s="260" t="s">
        <v>4076</v>
      </c>
      <c r="I154" s="260">
        <v>243</v>
      </c>
      <c r="J154" s="260"/>
      <c r="K154" s="262">
        <v>12</v>
      </c>
    </row>
    <row r="155" spans="1:11" ht="13">
      <c r="A155" s="272" t="s">
        <v>4255</v>
      </c>
      <c r="B155" s="260" t="s">
        <v>862</v>
      </c>
      <c r="C155" s="260" t="s">
        <v>4259</v>
      </c>
      <c r="D155" s="261" t="s">
        <v>4267</v>
      </c>
      <c r="E155" s="262">
        <v>2023</v>
      </c>
      <c r="F155" s="263">
        <v>12</v>
      </c>
      <c r="G155" s="260" t="s">
        <v>32</v>
      </c>
      <c r="H155" s="260" t="s">
        <v>4269</v>
      </c>
      <c r="I155" s="260">
        <v>204</v>
      </c>
      <c r="J155" s="260"/>
      <c r="K155" s="262">
        <v>12</v>
      </c>
    </row>
    <row r="156" spans="1:11" ht="13">
      <c r="A156" s="272" t="s">
        <v>4255</v>
      </c>
      <c r="B156" s="260" t="s">
        <v>865</v>
      </c>
      <c r="C156" s="260" t="s">
        <v>4259</v>
      </c>
      <c r="D156" s="261" t="s">
        <v>4267</v>
      </c>
      <c r="E156" s="262">
        <v>2023</v>
      </c>
      <c r="F156" s="263">
        <v>6</v>
      </c>
      <c r="G156" s="260" t="s">
        <v>3979</v>
      </c>
      <c r="H156" s="260" t="s">
        <v>4238</v>
      </c>
      <c r="I156" s="260">
        <v>219</v>
      </c>
      <c r="J156" s="260"/>
      <c r="K156" s="262">
        <v>12</v>
      </c>
    </row>
    <row r="157" spans="1:11" ht="13">
      <c r="A157" s="272" t="s">
        <v>4255</v>
      </c>
      <c r="B157" s="260" t="s">
        <v>874</v>
      </c>
      <c r="C157" s="260" t="s">
        <v>4259</v>
      </c>
      <c r="D157" s="261" t="s">
        <v>4270</v>
      </c>
      <c r="E157" s="262">
        <v>2022</v>
      </c>
      <c r="F157" s="263">
        <v>12</v>
      </c>
      <c r="G157" s="260" t="s">
        <v>32</v>
      </c>
      <c r="H157" s="260" t="s">
        <v>4006</v>
      </c>
      <c r="I157" s="260">
        <v>270</v>
      </c>
      <c r="J157" s="260"/>
      <c r="K157" s="262">
        <v>12.5</v>
      </c>
    </row>
    <row r="158" spans="1:11" ht="13">
      <c r="A158" s="272" t="s">
        <v>4255</v>
      </c>
      <c r="B158" s="260" t="s">
        <v>872</v>
      </c>
      <c r="C158" s="260" t="s">
        <v>4259</v>
      </c>
      <c r="D158" s="261" t="s">
        <v>4271</v>
      </c>
      <c r="E158" s="262">
        <v>2023</v>
      </c>
      <c r="F158" s="263">
        <v>12</v>
      </c>
      <c r="G158" s="260" t="s">
        <v>32</v>
      </c>
      <c r="H158" s="260" t="s">
        <v>4272</v>
      </c>
      <c r="I158" s="260">
        <v>300</v>
      </c>
      <c r="J158" s="260"/>
      <c r="K158" s="262">
        <v>12.5</v>
      </c>
    </row>
    <row r="159" spans="1:11" ht="13">
      <c r="A159" s="272" t="s">
        <v>4255</v>
      </c>
      <c r="B159" s="260" t="s">
        <v>842</v>
      </c>
      <c r="C159" s="260" t="s">
        <v>4259</v>
      </c>
      <c r="D159" s="261" t="s">
        <v>4273</v>
      </c>
      <c r="E159" s="262">
        <v>2023</v>
      </c>
      <c r="F159" s="263">
        <v>12</v>
      </c>
      <c r="G159" s="260" t="s">
        <v>32</v>
      </c>
      <c r="H159" s="260" t="s">
        <v>4076</v>
      </c>
      <c r="I159" s="260">
        <v>300</v>
      </c>
      <c r="J159" s="260"/>
      <c r="K159" s="262">
        <v>12.5</v>
      </c>
    </row>
    <row r="160" spans="1:11" ht="13">
      <c r="A160" s="272" t="s">
        <v>4255</v>
      </c>
      <c r="B160" s="260" t="s">
        <v>844</v>
      </c>
      <c r="C160" s="260" t="s">
        <v>4259</v>
      </c>
      <c r="D160" s="261" t="s">
        <v>4274</v>
      </c>
      <c r="E160" s="262">
        <v>2020</v>
      </c>
      <c r="F160" s="263">
        <v>12</v>
      </c>
      <c r="G160" s="260" t="s">
        <v>32</v>
      </c>
      <c r="H160" s="260" t="s">
        <v>4275</v>
      </c>
      <c r="I160" s="260">
        <v>306</v>
      </c>
      <c r="J160" s="260"/>
      <c r="K160" s="262">
        <v>12.5</v>
      </c>
    </row>
    <row r="161" spans="1:11" ht="13">
      <c r="A161" s="272" t="s">
        <v>4255</v>
      </c>
      <c r="B161" s="260" t="s">
        <v>886</v>
      </c>
      <c r="C161" s="260" t="s">
        <v>4259</v>
      </c>
      <c r="D161" s="261" t="s">
        <v>4276</v>
      </c>
      <c r="E161" s="262">
        <v>2019</v>
      </c>
      <c r="F161" s="263">
        <v>12</v>
      </c>
      <c r="G161" s="260" t="s">
        <v>32</v>
      </c>
      <c r="H161" s="260" t="s">
        <v>4261</v>
      </c>
      <c r="I161" s="260">
        <v>654</v>
      </c>
      <c r="J161" s="260"/>
      <c r="K161" s="262">
        <v>13</v>
      </c>
    </row>
    <row r="162" spans="1:11" ht="13">
      <c r="A162" s="272" t="s">
        <v>4255</v>
      </c>
      <c r="B162" s="260" t="s">
        <v>883</v>
      </c>
      <c r="C162" s="260" t="s">
        <v>4259</v>
      </c>
      <c r="D162" s="261" t="s">
        <v>4277</v>
      </c>
      <c r="E162" s="262">
        <v>2023</v>
      </c>
      <c r="F162" s="263">
        <v>12</v>
      </c>
      <c r="G162" s="260" t="s">
        <v>32</v>
      </c>
      <c r="H162" s="260" t="s">
        <v>4076</v>
      </c>
      <c r="I162" s="260">
        <v>594</v>
      </c>
      <c r="J162" s="260"/>
      <c r="K162" s="262">
        <v>12</v>
      </c>
    </row>
    <row r="163" spans="1:11" ht="13">
      <c r="A163" s="272" t="s">
        <v>4255</v>
      </c>
      <c r="B163" s="260" t="s">
        <v>868</v>
      </c>
      <c r="C163" s="260" t="s">
        <v>4259</v>
      </c>
      <c r="D163" s="261" t="s">
        <v>4278</v>
      </c>
      <c r="E163" s="262">
        <v>2023</v>
      </c>
      <c r="F163" s="263">
        <v>12</v>
      </c>
      <c r="G163" s="260" t="s">
        <v>32</v>
      </c>
      <c r="H163" s="260" t="s">
        <v>4279</v>
      </c>
      <c r="I163" s="260">
        <v>264</v>
      </c>
      <c r="J163" s="260"/>
      <c r="K163" s="262">
        <v>12.5</v>
      </c>
    </row>
    <row r="164" spans="1:11" ht="13">
      <c r="A164" s="272" t="s">
        <v>4255</v>
      </c>
      <c r="B164" s="260" t="s">
        <v>870</v>
      </c>
      <c r="C164" s="260" t="s">
        <v>4259</v>
      </c>
      <c r="D164" s="261" t="s">
        <v>4278</v>
      </c>
      <c r="E164" s="262">
        <v>2023</v>
      </c>
      <c r="F164" s="263">
        <v>6</v>
      </c>
      <c r="G164" s="260" t="s">
        <v>3979</v>
      </c>
      <c r="H164" s="260" t="s">
        <v>4010</v>
      </c>
      <c r="I164" s="260">
        <v>282</v>
      </c>
      <c r="J164" s="260"/>
      <c r="K164" s="262">
        <v>12.5</v>
      </c>
    </row>
    <row r="165" spans="1:11" ht="13">
      <c r="A165" s="272" t="s">
        <v>4255</v>
      </c>
      <c r="B165" s="260" t="s">
        <v>838</v>
      </c>
      <c r="C165" s="260" t="s">
        <v>4259</v>
      </c>
      <c r="D165" s="261" t="s">
        <v>4280</v>
      </c>
      <c r="E165" s="262">
        <v>2023</v>
      </c>
      <c r="F165" s="263">
        <v>12</v>
      </c>
      <c r="G165" s="260" t="s">
        <v>32</v>
      </c>
      <c r="H165" s="260" t="s">
        <v>4253</v>
      </c>
      <c r="I165" s="260">
        <v>264</v>
      </c>
      <c r="J165" s="260"/>
      <c r="K165" s="262">
        <v>12.5</v>
      </c>
    </row>
    <row r="166" spans="1:11" ht="13">
      <c r="A166" s="272" t="s">
        <v>4255</v>
      </c>
      <c r="B166" s="260" t="s">
        <v>840</v>
      </c>
      <c r="C166" s="260" t="s">
        <v>4259</v>
      </c>
      <c r="D166" s="261" t="s">
        <v>4280</v>
      </c>
      <c r="E166" s="262">
        <v>2023</v>
      </c>
      <c r="F166" s="263">
        <v>6</v>
      </c>
      <c r="G166" s="260" t="s">
        <v>3979</v>
      </c>
      <c r="H166" s="260" t="s">
        <v>4233</v>
      </c>
      <c r="I166" s="260">
        <v>282</v>
      </c>
      <c r="J166" s="260"/>
      <c r="K166" s="262">
        <v>12.5</v>
      </c>
    </row>
    <row r="167" spans="1:11" ht="13">
      <c r="A167" s="272" t="s">
        <v>4255</v>
      </c>
      <c r="B167" s="260" t="s">
        <v>881</v>
      </c>
      <c r="C167" s="260" t="s">
        <v>4259</v>
      </c>
      <c r="D167" s="261" t="s">
        <v>4281</v>
      </c>
      <c r="E167" s="262">
        <v>2022</v>
      </c>
      <c r="F167" s="263">
        <v>12</v>
      </c>
      <c r="G167" s="260" t="s">
        <v>32</v>
      </c>
      <c r="H167" s="260" t="s">
        <v>4282</v>
      </c>
      <c r="I167" s="260">
        <v>360</v>
      </c>
      <c r="J167" s="260"/>
      <c r="K167" s="262">
        <v>13</v>
      </c>
    </row>
    <row r="168" spans="1:11" ht="13">
      <c r="A168" s="272" t="s">
        <v>4255</v>
      </c>
      <c r="B168" s="260" t="s">
        <v>1391</v>
      </c>
      <c r="C168" s="260" t="s">
        <v>4283</v>
      </c>
      <c r="D168" s="261" t="s">
        <v>1392</v>
      </c>
      <c r="E168" s="262">
        <v>2019</v>
      </c>
      <c r="F168" s="263">
        <v>12</v>
      </c>
      <c r="G168" s="260" t="s">
        <v>564</v>
      </c>
      <c r="H168" s="260" t="s">
        <v>4284</v>
      </c>
      <c r="I168" s="260">
        <v>360</v>
      </c>
      <c r="J168" s="260"/>
      <c r="K168" s="262">
        <v>13.75</v>
      </c>
    </row>
    <row r="169" spans="1:11" ht="13">
      <c r="A169" s="272" t="s">
        <v>4255</v>
      </c>
      <c r="B169" s="260" t="s">
        <v>1376</v>
      </c>
      <c r="C169" s="260" t="s">
        <v>4283</v>
      </c>
      <c r="D169" s="261" t="s">
        <v>1377</v>
      </c>
      <c r="E169" s="262">
        <v>2017</v>
      </c>
      <c r="F169" s="263">
        <v>12</v>
      </c>
      <c r="G169" s="260" t="s">
        <v>564</v>
      </c>
      <c r="H169" s="260" t="s">
        <v>4285</v>
      </c>
      <c r="I169" s="260">
        <v>528</v>
      </c>
      <c r="J169" s="260"/>
      <c r="K169" s="262">
        <v>13.75</v>
      </c>
    </row>
    <row r="170" spans="1:11" ht="13">
      <c r="A170" s="272" t="s">
        <v>4255</v>
      </c>
      <c r="B170" s="260" t="s">
        <v>1370</v>
      </c>
      <c r="C170" s="260" t="s">
        <v>4283</v>
      </c>
      <c r="D170" s="261" t="s">
        <v>1371</v>
      </c>
      <c r="E170" s="262">
        <v>2020</v>
      </c>
      <c r="F170" s="263">
        <v>12</v>
      </c>
      <c r="G170" s="260" t="s">
        <v>564</v>
      </c>
      <c r="H170" s="260" t="s">
        <v>4286</v>
      </c>
      <c r="I170" s="260">
        <v>360</v>
      </c>
      <c r="J170" s="260"/>
      <c r="K170" s="262">
        <v>15.25</v>
      </c>
    </row>
    <row r="171" spans="1:11" ht="13">
      <c r="A171" s="272" t="s">
        <v>4255</v>
      </c>
      <c r="B171" s="260" t="s">
        <v>4287</v>
      </c>
      <c r="C171" s="260" t="s">
        <v>4288</v>
      </c>
      <c r="D171" s="261" t="s">
        <v>4289</v>
      </c>
      <c r="E171" s="262">
        <v>2023</v>
      </c>
      <c r="F171" s="263">
        <v>12</v>
      </c>
      <c r="G171" s="260" t="s">
        <v>32</v>
      </c>
      <c r="H171" s="260" t="s">
        <v>4290</v>
      </c>
      <c r="I171" s="260">
        <v>204</v>
      </c>
      <c r="J171" s="260"/>
      <c r="K171" s="262">
        <v>13</v>
      </c>
    </row>
    <row r="172" spans="1:11" ht="13">
      <c r="A172" s="272" t="s">
        <v>4255</v>
      </c>
      <c r="B172" s="260" t="s">
        <v>483</v>
      </c>
      <c r="C172" s="260" t="s">
        <v>4291</v>
      </c>
      <c r="D172" s="261" t="s">
        <v>4292</v>
      </c>
      <c r="E172" s="262">
        <v>2021</v>
      </c>
      <c r="F172" s="263">
        <v>12</v>
      </c>
      <c r="G172" s="260" t="s">
        <v>32</v>
      </c>
      <c r="H172" s="260" t="s">
        <v>4293</v>
      </c>
      <c r="I172" s="260">
        <v>144</v>
      </c>
      <c r="J172" s="260"/>
      <c r="K172" s="262">
        <v>12.5</v>
      </c>
    </row>
    <row r="173" spans="1:11" ht="13">
      <c r="A173" s="272" t="s">
        <v>4255</v>
      </c>
      <c r="B173" s="260" t="s">
        <v>480</v>
      </c>
      <c r="C173" s="260" t="s">
        <v>4291</v>
      </c>
      <c r="D173" s="261" t="s">
        <v>4294</v>
      </c>
      <c r="E173" s="262">
        <v>2021</v>
      </c>
      <c r="F173" s="263">
        <v>12</v>
      </c>
      <c r="G173" s="260" t="s">
        <v>32</v>
      </c>
      <c r="H173" s="260" t="s">
        <v>4295</v>
      </c>
      <c r="I173" s="260">
        <v>144</v>
      </c>
      <c r="J173" s="260"/>
      <c r="K173" s="262">
        <v>12.5</v>
      </c>
    </row>
    <row r="174" spans="1:11" ht="13">
      <c r="A174" s="272" t="s">
        <v>4255</v>
      </c>
      <c r="B174" s="260" t="s">
        <v>486</v>
      </c>
      <c r="C174" s="260" t="s">
        <v>4291</v>
      </c>
      <c r="D174" s="261" t="s">
        <v>4296</v>
      </c>
      <c r="E174" s="262">
        <v>2021</v>
      </c>
      <c r="F174" s="263">
        <v>12</v>
      </c>
      <c r="G174" s="260" t="s">
        <v>32</v>
      </c>
      <c r="H174" s="260" t="s">
        <v>4297</v>
      </c>
      <c r="I174" s="260">
        <v>144</v>
      </c>
      <c r="J174" s="260"/>
      <c r="K174" s="262">
        <v>12.5</v>
      </c>
    </row>
    <row r="175" spans="1:11" ht="13">
      <c r="A175" s="272" t="s">
        <v>4255</v>
      </c>
      <c r="B175" s="260" t="s">
        <v>468</v>
      </c>
      <c r="C175" s="260" t="s">
        <v>4291</v>
      </c>
      <c r="D175" s="261" t="s">
        <v>4298</v>
      </c>
      <c r="E175" s="262">
        <v>2022</v>
      </c>
      <c r="F175" s="263">
        <v>12</v>
      </c>
      <c r="G175" s="260" t="s">
        <v>32</v>
      </c>
      <c r="H175" s="260" t="s">
        <v>4299</v>
      </c>
      <c r="I175" s="260">
        <v>180</v>
      </c>
      <c r="J175" s="260"/>
      <c r="K175" s="262">
        <v>12.5</v>
      </c>
    </row>
    <row r="176" spans="1:11" ht="13">
      <c r="A176" s="272" t="s">
        <v>4255</v>
      </c>
      <c r="B176" s="260" t="s">
        <v>1863</v>
      </c>
      <c r="C176" s="260" t="s">
        <v>4300</v>
      </c>
      <c r="D176" s="261" t="s">
        <v>4301</v>
      </c>
      <c r="E176" s="262">
        <v>2022</v>
      </c>
      <c r="F176" s="263">
        <v>12</v>
      </c>
      <c r="G176" s="260" t="s">
        <v>32</v>
      </c>
      <c r="H176" s="260" t="s">
        <v>4302</v>
      </c>
      <c r="I176" s="260">
        <v>228</v>
      </c>
      <c r="J176" s="260"/>
      <c r="K176" s="262">
        <v>12</v>
      </c>
    </row>
    <row r="177" spans="1:11" ht="13">
      <c r="A177" s="272" t="s">
        <v>4255</v>
      </c>
      <c r="B177" s="260" t="s">
        <v>1865</v>
      </c>
      <c r="C177" s="260" t="s">
        <v>4300</v>
      </c>
      <c r="D177" s="261" t="s">
        <v>4303</v>
      </c>
      <c r="E177" s="262">
        <v>2022</v>
      </c>
      <c r="F177" s="263">
        <v>12</v>
      </c>
      <c r="G177" s="260" t="s">
        <v>32</v>
      </c>
      <c r="H177" s="260" t="s">
        <v>4304</v>
      </c>
      <c r="I177" s="260">
        <v>258</v>
      </c>
      <c r="J177" s="260"/>
      <c r="K177" s="262">
        <v>12</v>
      </c>
    </row>
    <row r="178" spans="1:11" ht="13">
      <c r="A178" s="272" t="s">
        <v>4255</v>
      </c>
      <c r="B178" s="260" t="s">
        <v>1867</v>
      </c>
      <c r="C178" s="260" t="s">
        <v>4300</v>
      </c>
      <c r="D178" s="261" t="s">
        <v>4305</v>
      </c>
      <c r="E178" s="262">
        <v>2023</v>
      </c>
      <c r="F178" s="263">
        <v>12</v>
      </c>
      <c r="G178" s="260" t="s">
        <v>32</v>
      </c>
      <c r="H178" s="260" t="s">
        <v>4306</v>
      </c>
      <c r="I178" s="260">
        <v>192</v>
      </c>
      <c r="J178" s="260"/>
      <c r="K178" s="262">
        <v>9.5</v>
      </c>
    </row>
    <row r="179" spans="1:11" ht="13">
      <c r="A179" s="272" t="s">
        <v>4255</v>
      </c>
      <c r="B179" s="260" t="s">
        <v>4307</v>
      </c>
      <c r="C179" s="260" t="s">
        <v>4308</v>
      </c>
      <c r="D179" s="261" t="s">
        <v>4309</v>
      </c>
      <c r="E179" s="262">
        <v>2022</v>
      </c>
      <c r="F179" s="263">
        <v>12</v>
      </c>
      <c r="G179" s="260" t="s">
        <v>32</v>
      </c>
      <c r="H179" s="260" t="s">
        <v>4310</v>
      </c>
      <c r="I179" s="260">
        <v>96</v>
      </c>
      <c r="J179" s="260"/>
      <c r="K179" s="262">
        <v>11.5</v>
      </c>
    </row>
    <row r="180" spans="1:11" ht="13">
      <c r="A180" s="272" t="s">
        <v>4255</v>
      </c>
      <c r="B180" s="260" t="s">
        <v>714</v>
      </c>
      <c r="C180" s="260" t="s">
        <v>4311</v>
      </c>
      <c r="D180" s="261" t="s">
        <v>4312</v>
      </c>
      <c r="E180" s="262">
        <v>2021</v>
      </c>
      <c r="F180" s="263">
        <v>12</v>
      </c>
      <c r="G180" s="260" t="s">
        <v>32</v>
      </c>
      <c r="H180" s="260" t="s">
        <v>4313</v>
      </c>
      <c r="I180" s="260">
        <v>276</v>
      </c>
      <c r="J180" s="260"/>
      <c r="K180" s="262">
        <v>11.5</v>
      </c>
    </row>
    <row r="181" spans="1:11" ht="13">
      <c r="A181" s="272" t="s">
        <v>4255</v>
      </c>
      <c r="B181" s="260" t="s">
        <v>716</v>
      </c>
      <c r="C181" s="260" t="s">
        <v>4311</v>
      </c>
      <c r="D181" s="261" t="s">
        <v>4314</v>
      </c>
      <c r="E181" s="262">
        <v>2021</v>
      </c>
      <c r="F181" s="263">
        <v>12</v>
      </c>
      <c r="G181" s="260" t="s">
        <v>32</v>
      </c>
      <c r="H181" s="260" t="s">
        <v>4315</v>
      </c>
      <c r="I181" s="260">
        <v>402</v>
      </c>
      <c r="J181" s="260"/>
      <c r="K181" s="262">
        <v>11</v>
      </c>
    </row>
    <row r="182" spans="1:11" ht="13">
      <c r="A182" s="272" t="s">
        <v>4255</v>
      </c>
      <c r="B182" s="260" t="s">
        <v>722</v>
      </c>
      <c r="C182" s="260" t="s">
        <v>4311</v>
      </c>
      <c r="D182" s="261" t="s">
        <v>4316</v>
      </c>
      <c r="E182" s="262">
        <v>2021</v>
      </c>
      <c r="F182" s="263">
        <v>12</v>
      </c>
      <c r="G182" s="260" t="s">
        <v>32</v>
      </c>
      <c r="H182" s="260" t="s">
        <v>3966</v>
      </c>
      <c r="I182" s="260">
        <v>384</v>
      </c>
      <c r="J182" s="260"/>
      <c r="K182" s="262">
        <v>12</v>
      </c>
    </row>
    <row r="183" spans="1:11" ht="13">
      <c r="A183" s="272" t="s">
        <v>4255</v>
      </c>
      <c r="B183" s="260" t="s">
        <v>712</v>
      </c>
      <c r="C183" s="260" t="s">
        <v>4311</v>
      </c>
      <c r="D183" s="261" t="s">
        <v>4317</v>
      </c>
      <c r="E183" s="262">
        <v>2023</v>
      </c>
      <c r="F183" s="263">
        <v>12</v>
      </c>
      <c r="G183" s="260" t="s">
        <v>32</v>
      </c>
      <c r="H183" s="260" t="s">
        <v>4318</v>
      </c>
      <c r="I183" s="260">
        <v>276</v>
      </c>
      <c r="J183" s="260"/>
      <c r="K183" s="262">
        <v>12</v>
      </c>
    </row>
    <row r="184" spans="1:11" ht="13">
      <c r="A184" s="272" t="s">
        <v>4255</v>
      </c>
      <c r="B184" s="260" t="s">
        <v>719</v>
      </c>
      <c r="C184" s="260" t="s">
        <v>4311</v>
      </c>
      <c r="D184" s="261" t="s">
        <v>4319</v>
      </c>
      <c r="E184" s="262">
        <v>2020</v>
      </c>
      <c r="F184" s="263">
        <v>12</v>
      </c>
      <c r="G184" s="260" t="s">
        <v>32</v>
      </c>
      <c r="H184" s="260" t="s">
        <v>4320</v>
      </c>
      <c r="I184" s="260">
        <v>348</v>
      </c>
      <c r="J184" s="260"/>
      <c r="K184" s="262">
        <v>12.5</v>
      </c>
    </row>
    <row r="185" spans="1:11" ht="13">
      <c r="A185" s="272" t="s">
        <v>4255</v>
      </c>
      <c r="B185" s="260" t="s">
        <v>725</v>
      </c>
      <c r="C185" s="260" t="s">
        <v>4311</v>
      </c>
      <c r="D185" s="261" t="s">
        <v>4321</v>
      </c>
      <c r="E185" s="262">
        <v>2020</v>
      </c>
      <c r="F185" s="263">
        <v>12</v>
      </c>
      <c r="G185" s="260" t="s">
        <v>32</v>
      </c>
      <c r="H185" s="260" t="s">
        <v>4322</v>
      </c>
      <c r="I185" s="260">
        <v>348</v>
      </c>
      <c r="J185" s="260"/>
      <c r="K185" s="262">
        <v>12.5</v>
      </c>
    </row>
    <row r="186" spans="1:11" ht="13">
      <c r="A186" s="272" t="s">
        <v>4255</v>
      </c>
      <c r="B186" s="260" t="s">
        <v>738</v>
      </c>
      <c r="C186" s="260" t="s">
        <v>4311</v>
      </c>
      <c r="D186" s="261" t="s">
        <v>4323</v>
      </c>
      <c r="E186" s="262">
        <v>2021</v>
      </c>
      <c r="F186" s="263">
        <v>12</v>
      </c>
      <c r="G186" s="260" t="s">
        <v>32</v>
      </c>
      <c r="H186" s="260" t="s">
        <v>4324</v>
      </c>
      <c r="I186" s="260">
        <v>528</v>
      </c>
      <c r="J186" s="260"/>
      <c r="K186" s="262">
        <v>12</v>
      </c>
    </row>
    <row r="187" spans="1:11" ht="13">
      <c r="A187" s="272" t="s">
        <v>4255</v>
      </c>
      <c r="B187" s="260" t="s">
        <v>700</v>
      </c>
      <c r="C187" s="260" t="s">
        <v>4311</v>
      </c>
      <c r="D187" s="261" t="s">
        <v>4325</v>
      </c>
      <c r="E187" s="262">
        <v>2021</v>
      </c>
      <c r="F187" s="263">
        <v>12</v>
      </c>
      <c r="G187" s="260" t="s">
        <v>32</v>
      </c>
      <c r="H187" s="260" t="s">
        <v>4313</v>
      </c>
      <c r="I187" s="260">
        <v>828</v>
      </c>
      <c r="J187" s="260"/>
      <c r="K187" s="262">
        <v>13.5</v>
      </c>
    </row>
    <row r="188" spans="1:11" ht="13">
      <c r="A188" s="272" t="s">
        <v>4255</v>
      </c>
      <c r="B188" s="260" t="s">
        <v>727</v>
      </c>
      <c r="C188" s="260" t="s">
        <v>4311</v>
      </c>
      <c r="D188" s="261" t="s">
        <v>728</v>
      </c>
      <c r="E188" s="262">
        <v>2017</v>
      </c>
      <c r="F188" s="263">
        <v>12</v>
      </c>
      <c r="G188" s="260" t="s">
        <v>32</v>
      </c>
      <c r="H188" s="260" t="s">
        <v>4326</v>
      </c>
      <c r="I188" s="260">
        <v>240</v>
      </c>
      <c r="J188" s="260"/>
      <c r="K188" s="262">
        <v>0</v>
      </c>
    </row>
    <row r="189" spans="1:11" ht="13">
      <c r="A189" s="272" t="s">
        <v>4255</v>
      </c>
      <c r="B189" s="260" t="s">
        <v>692</v>
      </c>
      <c r="C189" s="260" t="s">
        <v>4311</v>
      </c>
      <c r="D189" s="261" t="s">
        <v>4327</v>
      </c>
      <c r="E189" s="262">
        <v>2022</v>
      </c>
      <c r="F189" s="263">
        <v>12</v>
      </c>
      <c r="G189" s="260" t="s">
        <v>32</v>
      </c>
      <c r="H189" s="260" t="s">
        <v>4328</v>
      </c>
      <c r="I189" s="260">
        <v>420</v>
      </c>
      <c r="J189" s="260"/>
      <c r="K189" s="262">
        <v>12</v>
      </c>
    </row>
    <row r="190" spans="1:11" ht="13">
      <c r="A190" s="272" t="s">
        <v>4255</v>
      </c>
      <c r="B190" s="260" t="s">
        <v>694</v>
      </c>
      <c r="C190" s="260" t="s">
        <v>4311</v>
      </c>
      <c r="D190" s="261" t="s">
        <v>4329</v>
      </c>
      <c r="E190" s="262">
        <v>2022</v>
      </c>
      <c r="F190" s="263">
        <v>12</v>
      </c>
      <c r="G190" s="260" t="s">
        <v>32</v>
      </c>
      <c r="H190" s="260" t="s">
        <v>4330</v>
      </c>
      <c r="I190" s="260">
        <v>528</v>
      </c>
      <c r="J190" s="260"/>
      <c r="K190" s="262">
        <v>12.5</v>
      </c>
    </row>
    <row r="191" spans="1:11" ht="13">
      <c r="A191" s="272" t="s">
        <v>4255</v>
      </c>
      <c r="B191" s="260" t="s">
        <v>686</v>
      </c>
      <c r="C191" s="260" t="s">
        <v>4311</v>
      </c>
      <c r="D191" s="261" t="s">
        <v>4331</v>
      </c>
      <c r="E191" s="262">
        <v>2019</v>
      </c>
      <c r="F191" s="263">
        <v>12</v>
      </c>
      <c r="G191" s="260" t="s">
        <v>32</v>
      </c>
      <c r="H191" s="260" t="s">
        <v>4332</v>
      </c>
      <c r="I191" s="260">
        <v>312</v>
      </c>
      <c r="J191" s="260"/>
      <c r="K191" s="262">
        <v>12.5</v>
      </c>
    </row>
    <row r="192" spans="1:11" ht="13">
      <c r="A192" s="272" t="s">
        <v>4255</v>
      </c>
      <c r="B192" s="260" t="s">
        <v>1931</v>
      </c>
      <c r="C192" s="260" t="s">
        <v>4333</v>
      </c>
      <c r="D192" s="261" t="s">
        <v>1932</v>
      </c>
      <c r="E192" s="262">
        <v>2023</v>
      </c>
      <c r="F192" s="263">
        <v>12</v>
      </c>
      <c r="G192" s="260" t="s">
        <v>32</v>
      </c>
      <c r="H192" s="260" t="s">
        <v>4334</v>
      </c>
      <c r="I192" s="260">
        <v>210</v>
      </c>
      <c r="J192" s="260"/>
      <c r="K192" s="262">
        <v>12.5</v>
      </c>
    </row>
    <row r="193" spans="1:11" ht="13">
      <c r="A193" s="272" t="s">
        <v>4255</v>
      </c>
      <c r="B193" s="260" t="s">
        <v>1929</v>
      </c>
      <c r="C193" s="260" t="s">
        <v>4333</v>
      </c>
      <c r="D193" s="261" t="s">
        <v>4335</v>
      </c>
      <c r="E193" s="262">
        <v>2023</v>
      </c>
      <c r="F193" s="263">
        <v>12</v>
      </c>
      <c r="G193" s="260" t="s">
        <v>32</v>
      </c>
      <c r="H193" s="260" t="s">
        <v>4336</v>
      </c>
      <c r="I193" s="260">
        <v>174</v>
      </c>
      <c r="J193" s="260"/>
      <c r="K193" s="262">
        <v>12.5</v>
      </c>
    </row>
    <row r="194" spans="1:11" ht="13">
      <c r="A194" s="272" t="s">
        <v>4255</v>
      </c>
      <c r="B194" s="260" t="s">
        <v>1933</v>
      </c>
      <c r="C194" s="260" t="s">
        <v>4333</v>
      </c>
      <c r="D194" s="261" t="s">
        <v>4337</v>
      </c>
      <c r="E194" s="262">
        <v>2022</v>
      </c>
      <c r="F194" s="263">
        <v>12</v>
      </c>
      <c r="G194" s="260" t="s">
        <v>32</v>
      </c>
      <c r="H194" s="260" t="s">
        <v>4338</v>
      </c>
      <c r="I194" s="260">
        <v>228</v>
      </c>
      <c r="J194" s="260"/>
      <c r="K194" s="262">
        <v>12.5</v>
      </c>
    </row>
    <row r="195" spans="1:11" ht="13">
      <c r="A195" s="272" t="s">
        <v>4255</v>
      </c>
      <c r="B195" s="260" t="s">
        <v>1927</v>
      </c>
      <c r="C195" s="260" t="s">
        <v>4333</v>
      </c>
      <c r="D195" s="261" t="s">
        <v>4339</v>
      </c>
      <c r="E195" s="262">
        <v>2023</v>
      </c>
      <c r="F195" s="263">
        <v>12</v>
      </c>
      <c r="G195" s="260" t="s">
        <v>32</v>
      </c>
      <c r="H195" s="260" t="s">
        <v>4340</v>
      </c>
      <c r="I195" s="260">
        <v>228</v>
      </c>
      <c r="J195" s="260"/>
      <c r="K195" s="262">
        <v>12</v>
      </c>
    </row>
    <row r="196" spans="1:11" ht="13">
      <c r="A196" s="272" t="s">
        <v>4255</v>
      </c>
      <c r="B196" s="260" t="s">
        <v>1935</v>
      </c>
      <c r="C196" s="260" t="s">
        <v>4333</v>
      </c>
      <c r="D196" s="261" t="s">
        <v>1936</v>
      </c>
      <c r="E196" s="262">
        <v>2023</v>
      </c>
      <c r="F196" s="263">
        <v>12</v>
      </c>
      <c r="G196" s="260" t="s">
        <v>32</v>
      </c>
      <c r="H196" s="260" t="s">
        <v>4341</v>
      </c>
      <c r="I196" s="260">
        <v>210</v>
      </c>
      <c r="J196" s="260"/>
      <c r="K196" s="262">
        <v>12.5</v>
      </c>
    </row>
    <row r="197" spans="1:11" ht="13">
      <c r="A197" s="272" t="s">
        <v>4255</v>
      </c>
      <c r="B197" s="260" t="s">
        <v>1937</v>
      </c>
      <c r="C197" s="260" t="s">
        <v>4333</v>
      </c>
      <c r="D197" s="261" t="s">
        <v>4342</v>
      </c>
      <c r="E197" s="262">
        <v>2023</v>
      </c>
      <c r="F197" s="263">
        <v>6</v>
      </c>
      <c r="G197" s="260" t="s">
        <v>3979</v>
      </c>
      <c r="H197" s="260" t="s">
        <v>4208</v>
      </c>
      <c r="I197" s="260">
        <v>207</v>
      </c>
      <c r="J197" s="260"/>
      <c r="K197" s="262">
        <v>12.5</v>
      </c>
    </row>
    <row r="198" spans="1:11" ht="13">
      <c r="A198" s="272" t="s">
        <v>4255</v>
      </c>
      <c r="B198" s="260" t="s">
        <v>1683</v>
      </c>
      <c r="C198" s="260" t="s">
        <v>4343</v>
      </c>
      <c r="D198" s="261" t="s">
        <v>4344</v>
      </c>
      <c r="E198" s="262">
        <v>2023</v>
      </c>
      <c r="F198" s="263">
        <v>12</v>
      </c>
      <c r="G198" s="260" t="s">
        <v>32</v>
      </c>
      <c r="H198" s="260" t="s">
        <v>4221</v>
      </c>
      <c r="I198" s="260">
        <v>240</v>
      </c>
      <c r="J198" s="260"/>
      <c r="K198" s="262">
        <v>13.5</v>
      </c>
    </row>
    <row r="199" spans="1:11" ht="13">
      <c r="A199" s="272" t="s">
        <v>4255</v>
      </c>
      <c r="B199" s="260" t="s">
        <v>1681</v>
      </c>
      <c r="C199" s="260" t="s">
        <v>4343</v>
      </c>
      <c r="D199" s="261" t="s">
        <v>4345</v>
      </c>
      <c r="E199" s="262">
        <v>2022</v>
      </c>
      <c r="F199" s="263">
        <v>12</v>
      </c>
      <c r="G199" s="260" t="s">
        <v>32</v>
      </c>
      <c r="H199" s="260" t="s">
        <v>4346</v>
      </c>
      <c r="I199" s="260">
        <v>192</v>
      </c>
      <c r="J199" s="260"/>
      <c r="K199" s="262">
        <v>13.5</v>
      </c>
    </row>
    <row r="200" spans="1:11" ht="13">
      <c r="A200" s="272" t="s">
        <v>4255</v>
      </c>
      <c r="B200" s="260" t="s">
        <v>4347</v>
      </c>
      <c r="C200" s="260" t="s">
        <v>4348</v>
      </c>
      <c r="D200" s="261" t="s">
        <v>4349</v>
      </c>
      <c r="E200" s="262">
        <v>2024</v>
      </c>
      <c r="F200" s="263">
        <v>12</v>
      </c>
      <c r="G200" s="260" t="s">
        <v>32</v>
      </c>
      <c r="H200" s="260" t="s">
        <v>4350</v>
      </c>
      <c r="I200" s="260">
        <v>156</v>
      </c>
      <c r="J200" s="260"/>
      <c r="K200" s="262">
        <v>12</v>
      </c>
    </row>
    <row r="201" spans="1:11" ht="13">
      <c r="A201" s="272" t="s">
        <v>4255</v>
      </c>
      <c r="B201" s="260" t="s">
        <v>1743</v>
      </c>
      <c r="C201" s="260" t="s">
        <v>4351</v>
      </c>
      <c r="D201" s="261" t="s">
        <v>4352</v>
      </c>
      <c r="E201" s="262">
        <v>2022</v>
      </c>
      <c r="F201" s="263">
        <v>12</v>
      </c>
      <c r="G201" s="260" t="s">
        <v>32</v>
      </c>
      <c r="H201" s="260" t="s">
        <v>4353</v>
      </c>
      <c r="I201" s="260">
        <v>108</v>
      </c>
      <c r="J201" s="260"/>
      <c r="K201" s="262">
        <v>12.5</v>
      </c>
    </row>
    <row r="202" spans="1:11" ht="13">
      <c r="A202" s="272" t="s">
        <v>4255</v>
      </c>
      <c r="B202" s="260" t="s">
        <v>1751</v>
      </c>
      <c r="C202" s="260" t="s">
        <v>4351</v>
      </c>
      <c r="D202" s="261" t="s">
        <v>1752</v>
      </c>
      <c r="E202" s="262">
        <v>2021</v>
      </c>
      <c r="F202" s="263">
        <v>12</v>
      </c>
      <c r="G202" s="260" t="s">
        <v>32</v>
      </c>
      <c r="H202" s="260" t="s">
        <v>4354</v>
      </c>
      <c r="I202" s="260">
        <v>156</v>
      </c>
      <c r="J202" s="260"/>
      <c r="K202" s="262">
        <v>12.5</v>
      </c>
    </row>
    <row r="203" spans="1:11" ht="13">
      <c r="A203" s="272" t="s">
        <v>4255</v>
      </c>
      <c r="B203" s="260" t="s">
        <v>1748</v>
      </c>
      <c r="C203" s="260" t="s">
        <v>4351</v>
      </c>
      <c r="D203" s="261" t="s">
        <v>4355</v>
      </c>
      <c r="E203" s="262">
        <v>2021</v>
      </c>
      <c r="F203" s="263">
        <v>12</v>
      </c>
      <c r="G203" s="260" t="s">
        <v>32</v>
      </c>
      <c r="H203" s="260" t="s">
        <v>4356</v>
      </c>
      <c r="I203" s="260">
        <v>120</v>
      </c>
      <c r="J203" s="260"/>
      <c r="K203" s="262">
        <v>12.5</v>
      </c>
    </row>
    <row r="204" spans="1:11" ht="13">
      <c r="A204" s="272" t="s">
        <v>4255</v>
      </c>
      <c r="B204" s="260" t="s">
        <v>1740</v>
      </c>
      <c r="C204" s="260" t="s">
        <v>4351</v>
      </c>
      <c r="D204" s="261" t="s">
        <v>4357</v>
      </c>
      <c r="E204" s="262">
        <v>2023</v>
      </c>
      <c r="F204" s="263">
        <v>12</v>
      </c>
      <c r="G204" s="260" t="s">
        <v>32</v>
      </c>
      <c r="H204" s="260" t="s">
        <v>4358</v>
      </c>
      <c r="I204" s="260">
        <v>138</v>
      </c>
      <c r="J204" s="260"/>
      <c r="K204" s="262">
        <v>12.5</v>
      </c>
    </row>
    <row r="205" spans="1:11" ht="13">
      <c r="A205" s="272" t="s">
        <v>4255</v>
      </c>
      <c r="B205" s="260" t="s">
        <v>1737</v>
      </c>
      <c r="C205" s="260" t="s">
        <v>4351</v>
      </c>
      <c r="D205" s="261" t="s">
        <v>4359</v>
      </c>
      <c r="E205" s="262">
        <v>2024</v>
      </c>
      <c r="F205" s="263">
        <v>12</v>
      </c>
      <c r="G205" s="260" t="s">
        <v>32</v>
      </c>
      <c r="H205" s="260" t="s">
        <v>4360</v>
      </c>
      <c r="I205" s="260">
        <v>138</v>
      </c>
      <c r="J205" s="260"/>
      <c r="K205" s="262">
        <v>13</v>
      </c>
    </row>
    <row r="206" spans="1:11" ht="13">
      <c r="A206" s="272" t="s">
        <v>4255</v>
      </c>
      <c r="B206" s="260" t="s">
        <v>4361</v>
      </c>
      <c r="C206" s="260" t="s">
        <v>4362</v>
      </c>
      <c r="D206" s="261" t="s">
        <v>4363</v>
      </c>
      <c r="E206" s="262" t="s">
        <v>5</v>
      </c>
      <c r="F206" s="263">
        <v>6</v>
      </c>
      <c r="G206" s="260" t="s">
        <v>32</v>
      </c>
      <c r="H206" s="260" t="s">
        <v>4364</v>
      </c>
      <c r="I206" s="260">
        <v>186</v>
      </c>
      <c r="J206" s="260"/>
      <c r="K206" s="262">
        <v>17.600000000000001</v>
      </c>
    </row>
    <row r="207" spans="1:11" ht="13">
      <c r="A207" s="272" t="s">
        <v>4255</v>
      </c>
      <c r="B207" s="260" t="s">
        <v>251</v>
      </c>
      <c r="C207" s="260" t="s">
        <v>4365</v>
      </c>
      <c r="D207" s="261" t="s">
        <v>4366</v>
      </c>
      <c r="E207" s="262">
        <v>2020</v>
      </c>
      <c r="F207" s="263">
        <v>12</v>
      </c>
      <c r="G207" s="260" t="s">
        <v>32</v>
      </c>
      <c r="H207" s="260" t="s">
        <v>4367</v>
      </c>
      <c r="I207" s="260">
        <v>132</v>
      </c>
      <c r="J207" s="260"/>
      <c r="K207" s="262">
        <v>14.5</v>
      </c>
    </row>
    <row r="208" spans="1:11" ht="13">
      <c r="A208" s="272" t="s">
        <v>4255</v>
      </c>
      <c r="B208" s="260" t="s">
        <v>249</v>
      </c>
      <c r="C208" s="260" t="s">
        <v>4365</v>
      </c>
      <c r="D208" s="261" t="s">
        <v>4368</v>
      </c>
      <c r="E208" s="262">
        <v>2020</v>
      </c>
      <c r="F208" s="263">
        <v>12</v>
      </c>
      <c r="G208" s="260" t="s">
        <v>32</v>
      </c>
      <c r="H208" s="260" t="s">
        <v>4369</v>
      </c>
      <c r="I208" s="260">
        <v>132</v>
      </c>
      <c r="J208" s="260"/>
      <c r="K208" s="262">
        <v>12.5</v>
      </c>
    </row>
    <row r="209" spans="1:11" ht="13">
      <c r="A209" s="272" t="s">
        <v>4255</v>
      </c>
      <c r="B209" s="260" t="s">
        <v>243</v>
      </c>
      <c r="C209" s="260" t="s">
        <v>4365</v>
      </c>
      <c r="D209" s="261" t="s">
        <v>4370</v>
      </c>
      <c r="E209" s="262">
        <v>2021</v>
      </c>
      <c r="F209" s="263">
        <v>12</v>
      </c>
      <c r="G209" s="260" t="s">
        <v>32</v>
      </c>
      <c r="H209" s="260" t="s">
        <v>4371</v>
      </c>
      <c r="I209" s="260">
        <v>102</v>
      </c>
      <c r="J209" s="260"/>
      <c r="K209" s="262">
        <v>12</v>
      </c>
    </row>
    <row r="210" spans="1:11" ht="13">
      <c r="A210" s="272" t="s">
        <v>4255</v>
      </c>
      <c r="B210" s="260" t="s">
        <v>240</v>
      </c>
      <c r="C210" s="260" t="s">
        <v>4365</v>
      </c>
      <c r="D210" s="261" t="s">
        <v>4372</v>
      </c>
      <c r="E210" s="262">
        <v>2021</v>
      </c>
      <c r="F210" s="263">
        <v>12</v>
      </c>
      <c r="G210" s="260" t="s">
        <v>32</v>
      </c>
      <c r="H210" s="260" t="s">
        <v>4373</v>
      </c>
      <c r="I210" s="260">
        <v>102</v>
      </c>
      <c r="J210" s="260"/>
      <c r="K210" s="262">
        <v>12</v>
      </c>
    </row>
    <row r="211" spans="1:11" ht="13">
      <c r="A211" s="272" t="s">
        <v>4255</v>
      </c>
      <c r="B211" s="260" t="s">
        <v>254</v>
      </c>
      <c r="C211" s="260" t="s">
        <v>4365</v>
      </c>
      <c r="D211" s="261" t="s">
        <v>4374</v>
      </c>
      <c r="E211" s="262">
        <v>2021</v>
      </c>
      <c r="F211" s="263">
        <v>12</v>
      </c>
      <c r="G211" s="260" t="s">
        <v>32</v>
      </c>
      <c r="H211" s="260" t="s">
        <v>4324</v>
      </c>
      <c r="I211" s="260">
        <v>120</v>
      </c>
      <c r="J211" s="260"/>
      <c r="K211" s="262">
        <v>12.5</v>
      </c>
    </row>
    <row r="212" spans="1:11" ht="13">
      <c r="A212" s="272" t="s">
        <v>4255</v>
      </c>
      <c r="B212" s="260" t="s">
        <v>259</v>
      </c>
      <c r="C212" s="260" t="s">
        <v>4365</v>
      </c>
      <c r="D212" s="261" t="s">
        <v>4375</v>
      </c>
      <c r="E212" s="262">
        <v>2020</v>
      </c>
      <c r="F212" s="263">
        <v>12</v>
      </c>
      <c r="G212" s="260" t="s">
        <v>32</v>
      </c>
      <c r="H212" s="260" t="s">
        <v>4376</v>
      </c>
      <c r="I212" s="260">
        <v>198</v>
      </c>
      <c r="J212" s="260"/>
      <c r="K212" s="262">
        <v>14</v>
      </c>
    </row>
    <row r="213" spans="1:11" ht="13">
      <c r="A213" s="272" t="s">
        <v>4255</v>
      </c>
      <c r="B213" s="260" t="s">
        <v>264</v>
      </c>
      <c r="C213" s="260" t="s">
        <v>4365</v>
      </c>
      <c r="D213" s="261" t="s">
        <v>4377</v>
      </c>
      <c r="E213" s="262">
        <v>2020</v>
      </c>
      <c r="F213" s="263">
        <v>12</v>
      </c>
      <c r="G213" s="260" t="s">
        <v>32</v>
      </c>
      <c r="H213" s="260" t="s">
        <v>4134</v>
      </c>
      <c r="I213" s="260">
        <v>120</v>
      </c>
      <c r="J213" s="260"/>
      <c r="K213" s="262">
        <v>12.5</v>
      </c>
    </row>
    <row r="214" spans="1:11" ht="13">
      <c r="A214" s="272" t="s">
        <v>4255</v>
      </c>
      <c r="B214" s="260" t="s">
        <v>261</v>
      </c>
      <c r="C214" s="260" t="s">
        <v>4365</v>
      </c>
      <c r="D214" s="261" t="s">
        <v>4378</v>
      </c>
      <c r="E214" s="262">
        <v>2021</v>
      </c>
      <c r="F214" s="263">
        <v>12</v>
      </c>
      <c r="G214" s="260" t="s">
        <v>32</v>
      </c>
      <c r="H214" s="260" t="s">
        <v>4379</v>
      </c>
      <c r="I214" s="260">
        <v>132</v>
      </c>
      <c r="J214" s="260"/>
      <c r="K214" s="262">
        <v>12</v>
      </c>
    </row>
    <row r="215" spans="1:11" ht="13">
      <c r="A215" s="272" t="s">
        <v>4255</v>
      </c>
      <c r="B215" s="260" t="s">
        <v>566</v>
      </c>
      <c r="C215" s="260" t="s">
        <v>4380</v>
      </c>
      <c r="D215" s="261" t="s">
        <v>4381</v>
      </c>
      <c r="E215" s="262">
        <v>2020</v>
      </c>
      <c r="F215" s="263">
        <v>12</v>
      </c>
      <c r="G215" s="260" t="s">
        <v>32</v>
      </c>
      <c r="H215" s="260" t="s">
        <v>4382</v>
      </c>
      <c r="I215" s="260">
        <v>270</v>
      </c>
      <c r="J215" s="260"/>
      <c r="K215" s="262">
        <v>13</v>
      </c>
    </row>
    <row r="216" spans="1:11" ht="13">
      <c r="A216" s="272" t="s">
        <v>4255</v>
      </c>
      <c r="B216" s="260" t="s">
        <v>570</v>
      </c>
      <c r="C216" s="260" t="s">
        <v>4380</v>
      </c>
      <c r="D216" s="261" t="s">
        <v>4383</v>
      </c>
      <c r="E216" s="262">
        <v>2022</v>
      </c>
      <c r="F216" s="263">
        <v>12</v>
      </c>
      <c r="G216" s="260" t="s">
        <v>32</v>
      </c>
      <c r="H216" s="260" t="s">
        <v>4384</v>
      </c>
      <c r="I216" s="260">
        <v>246</v>
      </c>
      <c r="J216" s="260"/>
      <c r="K216" s="262">
        <v>15.2</v>
      </c>
    </row>
    <row r="217" spans="1:11" ht="13">
      <c r="A217" s="272" t="s">
        <v>4255</v>
      </c>
      <c r="B217" s="260" t="s">
        <v>177</v>
      </c>
      <c r="C217" s="260" t="s">
        <v>4385</v>
      </c>
      <c r="D217" s="261" t="s">
        <v>4386</v>
      </c>
      <c r="E217" s="262">
        <v>2023</v>
      </c>
      <c r="F217" s="263">
        <v>12</v>
      </c>
      <c r="G217" s="260" t="s">
        <v>32</v>
      </c>
      <c r="H217" s="260" t="s">
        <v>4387</v>
      </c>
      <c r="I217" s="260">
        <v>156</v>
      </c>
      <c r="J217" s="260"/>
      <c r="K217" s="262">
        <v>14</v>
      </c>
    </row>
    <row r="218" spans="1:11" ht="13">
      <c r="A218" s="272" t="s">
        <v>4255</v>
      </c>
      <c r="B218" s="260" t="s">
        <v>157</v>
      </c>
      <c r="C218" s="260" t="s">
        <v>4385</v>
      </c>
      <c r="D218" s="261" t="s">
        <v>4388</v>
      </c>
      <c r="E218" s="262">
        <v>2023</v>
      </c>
      <c r="F218" s="263">
        <v>12</v>
      </c>
      <c r="G218" s="260" t="s">
        <v>32</v>
      </c>
      <c r="H218" s="260" t="s">
        <v>4389</v>
      </c>
      <c r="I218" s="260">
        <v>222</v>
      </c>
      <c r="J218" s="260"/>
      <c r="K218" s="262">
        <v>10.5</v>
      </c>
    </row>
    <row r="219" spans="1:11" ht="13">
      <c r="A219" s="272" t="s">
        <v>4255</v>
      </c>
      <c r="B219" s="260" t="s">
        <v>4390</v>
      </c>
      <c r="C219" s="260" t="s">
        <v>4385</v>
      </c>
      <c r="D219" s="261" t="s">
        <v>4391</v>
      </c>
      <c r="E219" s="262">
        <v>2024</v>
      </c>
      <c r="F219" s="263">
        <v>12</v>
      </c>
      <c r="G219" s="260" t="s">
        <v>32</v>
      </c>
      <c r="H219" s="260" t="s">
        <v>4010</v>
      </c>
      <c r="I219" s="260">
        <v>162</v>
      </c>
      <c r="J219" s="260"/>
      <c r="K219" s="262">
        <v>12.9</v>
      </c>
    </row>
    <row r="220" spans="1:11" ht="13">
      <c r="A220" s="272" t="s">
        <v>4255</v>
      </c>
      <c r="B220" s="260" t="s">
        <v>4392</v>
      </c>
      <c r="C220" s="260" t="s">
        <v>4393</v>
      </c>
      <c r="D220" s="261" t="s">
        <v>4394</v>
      </c>
      <c r="E220" s="262">
        <v>2024</v>
      </c>
      <c r="F220" s="263">
        <v>12</v>
      </c>
      <c r="G220" s="260" t="s">
        <v>32</v>
      </c>
      <c r="H220" s="260" t="s">
        <v>4395</v>
      </c>
      <c r="I220" s="260">
        <v>96</v>
      </c>
      <c r="J220" s="260"/>
      <c r="K220" s="262">
        <v>13</v>
      </c>
    </row>
    <row r="221" spans="1:11" ht="13">
      <c r="A221" s="272" t="s">
        <v>4255</v>
      </c>
      <c r="B221" s="260" t="s">
        <v>220</v>
      </c>
      <c r="C221" s="260" t="s">
        <v>4393</v>
      </c>
      <c r="D221" s="261" t="s">
        <v>4396</v>
      </c>
      <c r="E221" s="262">
        <v>2022</v>
      </c>
      <c r="F221" s="263">
        <v>12</v>
      </c>
      <c r="G221" s="260" t="s">
        <v>32</v>
      </c>
      <c r="H221" s="260" t="s">
        <v>4397</v>
      </c>
      <c r="I221" s="260">
        <v>120</v>
      </c>
      <c r="J221" s="260"/>
      <c r="K221" s="262">
        <v>13</v>
      </c>
    </row>
    <row r="222" spans="1:11" ht="13">
      <c r="A222" s="272" t="s">
        <v>4255</v>
      </c>
      <c r="B222" s="260" t="s">
        <v>2122</v>
      </c>
      <c r="C222" s="260" t="s">
        <v>4398</v>
      </c>
      <c r="D222" s="261" t="s">
        <v>4399</v>
      </c>
      <c r="E222" s="262">
        <v>2022</v>
      </c>
      <c r="F222" s="263">
        <v>12</v>
      </c>
      <c r="G222" s="260" t="s">
        <v>32</v>
      </c>
      <c r="H222" s="260" t="s">
        <v>4400</v>
      </c>
      <c r="I222" s="260">
        <v>258</v>
      </c>
      <c r="J222" s="260"/>
      <c r="K222" s="262">
        <v>12.5</v>
      </c>
    </row>
    <row r="223" spans="1:11" ht="13">
      <c r="A223" s="272" t="s">
        <v>4255</v>
      </c>
      <c r="B223" s="260" t="s">
        <v>4401</v>
      </c>
      <c r="C223" s="260" t="s">
        <v>4398</v>
      </c>
      <c r="D223" s="261" t="s">
        <v>4402</v>
      </c>
      <c r="E223" s="262">
        <v>2022</v>
      </c>
      <c r="F223" s="263">
        <v>12</v>
      </c>
      <c r="G223" s="260" t="s">
        <v>32</v>
      </c>
      <c r="H223" s="260" t="s">
        <v>4403</v>
      </c>
      <c r="I223" s="260">
        <v>294</v>
      </c>
      <c r="J223" s="260"/>
      <c r="K223" s="262">
        <v>12.7</v>
      </c>
    </row>
    <row r="224" spans="1:11" ht="13">
      <c r="A224" s="272" t="s">
        <v>4255</v>
      </c>
      <c r="B224" s="260" t="s">
        <v>2125</v>
      </c>
      <c r="C224" s="260" t="s">
        <v>4398</v>
      </c>
      <c r="D224" s="261" t="s">
        <v>4404</v>
      </c>
      <c r="E224" s="262">
        <v>2022</v>
      </c>
      <c r="F224" s="263">
        <v>12</v>
      </c>
      <c r="G224" s="260" t="s">
        <v>32</v>
      </c>
      <c r="H224" s="260" t="s">
        <v>4130</v>
      </c>
      <c r="I224" s="260">
        <v>294</v>
      </c>
      <c r="J224" s="260"/>
      <c r="K224" s="262">
        <v>12.5</v>
      </c>
    </row>
    <row r="225" spans="1:11" ht="13">
      <c r="A225" s="272" t="s">
        <v>4255</v>
      </c>
      <c r="B225" s="260" t="s">
        <v>2120</v>
      </c>
      <c r="C225" s="260" t="s">
        <v>4398</v>
      </c>
      <c r="D225" s="261" t="s">
        <v>4405</v>
      </c>
      <c r="E225" s="262">
        <v>2023</v>
      </c>
      <c r="F225" s="263">
        <v>12</v>
      </c>
      <c r="G225" s="260" t="s">
        <v>32</v>
      </c>
      <c r="H225" s="260" t="s">
        <v>4406</v>
      </c>
      <c r="I225" s="260">
        <v>294</v>
      </c>
      <c r="J225" s="260"/>
      <c r="K225" s="262">
        <v>12</v>
      </c>
    </row>
    <row r="226" spans="1:11" ht="13">
      <c r="A226" s="272" t="s">
        <v>4255</v>
      </c>
      <c r="B226" s="260" t="s">
        <v>461</v>
      </c>
      <c r="C226" s="260" t="s">
        <v>4407</v>
      </c>
      <c r="D226" s="261" t="s">
        <v>4408</v>
      </c>
      <c r="E226" s="262">
        <v>2020</v>
      </c>
      <c r="F226" s="263">
        <v>12</v>
      </c>
      <c r="G226" s="260" t="s">
        <v>32</v>
      </c>
      <c r="H226" s="260" t="s">
        <v>4076</v>
      </c>
      <c r="I226" s="260">
        <v>174</v>
      </c>
      <c r="J226" s="260"/>
      <c r="K226" s="262">
        <v>11</v>
      </c>
    </row>
    <row r="227" spans="1:11" ht="13">
      <c r="A227" s="272" t="s">
        <v>4255</v>
      </c>
      <c r="B227" s="260" t="s">
        <v>4409</v>
      </c>
      <c r="C227" s="260" t="s">
        <v>4407</v>
      </c>
      <c r="D227" s="261" t="s">
        <v>4410</v>
      </c>
      <c r="E227" s="262">
        <v>2022</v>
      </c>
      <c r="F227" s="263">
        <v>12</v>
      </c>
      <c r="G227" s="260" t="s">
        <v>32</v>
      </c>
      <c r="H227" s="260" t="s">
        <v>4185</v>
      </c>
      <c r="I227" s="260">
        <v>156</v>
      </c>
      <c r="J227" s="260"/>
      <c r="K227" s="262">
        <v>11</v>
      </c>
    </row>
    <row r="228" spans="1:11" ht="13">
      <c r="A228" s="272" t="s">
        <v>4255</v>
      </c>
      <c r="B228" s="260" t="s">
        <v>452</v>
      </c>
      <c r="C228" s="260" t="s">
        <v>4407</v>
      </c>
      <c r="D228" s="261" t="s">
        <v>4411</v>
      </c>
      <c r="E228" s="262">
        <v>2022</v>
      </c>
      <c r="F228" s="263">
        <v>12</v>
      </c>
      <c r="G228" s="260" t="s">
        <v>32</v>
      </c>
      <c r="H228" s="260" t="s">
        <v>3966</v>
      </c>
      <c r="I228" s="260">
        <v>156</v>
      </c>
      <c r="J228" s="260"/>
      <c r="K228" s="262">
        <v>12.5</v>
      </c>
    </row>
    <row r="229" spans="1:11" ht="13">
      <c r="A229" s="272" t="s">
        <v>4255</v>
      </c>
      <c r="B229" s="260" t="s">
        <v>459</v>
      </c>
      <c r="C229" s="260" t="s">
        <v>4407</v>
      </c>
      <c r="D229" s="261" t="s">
        <v>4412</v>
      </c>
      <c r="E229" s="262">
        <v>2021</v>
      </c>
      <c r="F229" s="263">
        <v>12</v>
      </c>
      <c r="G229" s="260" t="s">
        <v>32</v>
      </c>
      <c r="H229" s="260" t="s">
        <v>4015</v>
      </c>
      <c r="I229" s="260">
        <v>168</v>
      </c>
      <c r="J229" s="260"/>
      <c r="K229" s="262">
        <v>13</v>
      </c>
    </row>
    <row r="230" spans="1:11" ht="13">
      <c r="A230" s="272" t="s">
        <v>4255</v>
      </c>
      <c r="B230" s="260" t="s">
        <v>4413</v>
      </c>
      <c r="C230" s="260" t="s">
        <v>4407</v>
      </c>
      <c r="D230" s="261" t="s">
        <v>4412</v>
      </c>
      <c r="E230" s="262">
        <v>2022</v>
      </c>
      <c r="F230" s="263">
        <v>12</v>
      </c>
      <c r="G230" s="260" t="s">
        <v>32</v>
      </c>
      <c r="H230" s="260" t="s">
        <v>4414</v>
      </c>
      <c r="I230" s="260">
        <v>168</v>
      </c>
      <c r="J230" s="260"/>
      <c r="K230" s="262">
        <v>13</v>
      </c>
    </row>
    <row r="231" spans="1:11" ht="13">
      <c r="A231" s="272" t="s">
        <v>4255</v>
      </c>
      <c r="B231" s="260" t="s">
        <v>4415</v>
      </c>
      <c r="C231" s="260" t="s">
        <v>4416</v>
      </c>
      <c r="D231" s="261" t="s">
        <v>4417</v>
      </c>
      <c r="E231" s="262">
        <v>2022</v>
      </c>
      <c r="F231" s="263">
        <v>12</v>
      </c>
      <c r="G231" s="260" t="s">
        <v>32</v>
      </c>
      <c r="H231" s="260" t="s">
        <v>4418</v>
      </c>
      <c r="I231" s="260">
        <v>318</v>
      </c>
      <c r="J231" s="260"/>
      <c r="K231" s="262">
        <v>12</v>
      </c>
    </row>
    <row r="232" spans="1:11" ht="13">
      <c r="A232" s="272" t="s">
        <v>4255</v>
      </c>
      <c r="B232" s="260" t="s">
        <v>4419</v>
      </c>
      <c r="C232" s="260" t="s">
        <v>4416</v>
      </c>
      <c r="D232" s="261" t="s">
        <v>4420</v>
      </c>
      <c r="E232" s="262">
        <v>2023</v>
      </c>
      <c r="F232" s="263">
        <v>12</v>
      </c>
      <c r="G232" s="260" t="s">
        <v>32</v>
      </c>
      <c r="H232" s="260" t="s">
        <v>4238</v>
      </c>
      <c r="I232" s="260">
        <v>288</v>
      </c>
      <c r="J232" s="260"/>
      <c r="K232" s="262">
        <v>13</v>
      </c>
    </row>
    <row r="233" spans="1:11" ht="13">
      <c r="A233" s="272" t="s">
        <v>4255</v>
      </c>
      <c r="B233" s="260" t="s">
        <v>4421</v>
      </c>
      <c r="C233" s="260" t="s">
        <v>4416</v>
      </c>
      <c r="D233" s="261" t="s">
        <v>4422</v>
      </c>
      <c r="E233" s="262">
        <v>2023</v>
      </c>
      <c r="F233" s="263">
        <v>12</v>
      </c>
      <c r="G233" s="260" t="s">
        <v>32</v>
      </c>
      <c r="H233" s="260" t="s">
        <v>4423</v>
      </c>
      <c r="I233" s="260">
        <v>210</v>
      </c>
      <c r="J233" s="260"/>
      <c r="K233" s="262">
        <v>12</v>
      </c>
    </row>
    <row r="234" spans="1:11" ht="13">
      <c r="A234" s="272" t="s">
        <v>4255</v>
      </c>
      <c r="B234" s="260" t="s">
        <v>4424</v>
      </c>
      <c r="C234" s="260" t="s">
        <v>4416</v>
      </c>
      <c r="D234" s="261" t="s">
        <v>4425</v>
      </c>
      <c r="E234" s="262">
        <v>2023</v>
      </c>
      <c r="F234" s="263">
        <v>12</v>
      </c>
      <c r="G234" s="260" t="s">
        <v>32</v>
      </c>
      <c r="H234" s="260" t="s">
        <v>4006</v>
      </c>
      <c r="I234" s="260">
        <v>396</v>
      </c>
      <c r="J234" s="260"/>
      <c r="K234" s="262">
        <v>13</v>
      </c>
    </row>
    <row r="235" spans="1:11" ht="13">
      <c r="A235" s="272" t="s">
        <v>4255</v>
      </c>
      <c r="B235" s="260" t="s">
        <v>4426</v>
      </c>
      <c r="C235" s="260" t="s">
        <v>4416</v>
      </c>
      <c r="D235" s="261" t="s">
        <v>4427</v>
      </c>
      <c r="E235" s="262">
        <v>2022</v>
      </c>
      <c r="F235" s="263">
        <v>12</v>
      </c>
      <c r="G235" s="260" t="s">
        <v>32</v>
      </c>
      <c r="H235" s="260" t="s">
        <v>4428</v>
      </c>
      <c r="I235" s="260">
        <v>396</v>
      </c>
      <c r="J235" s="260"/>
      <c r="K235" s="262">
        <v>13</v>
      </c>
    </row>
    <row r="236" spans="1:11" ht="13">
      <c r="A236" s="272" t="s">
        <v>4255</v>
      </c>
      <c r="B236" s="260" t="s">
        <v>4429</v>
      </c>
      <c r="C236" s="260" t="s">
        <v>4416</v>
      </c>
      <c r="D236" s="261" t="s">
        <v>4427</v>
      </c>
      <c r="E236" s="262">
        <v>2023</v>
      </c>
      <c r="F236" s="263">
        <v>12</v>
      </c>
      <c r="G236" s="260" t="s">
        <v>32</v>
      </c>
      <c r="H236" s="260" t="s">
        <v>4428</v>
      </c>
      <c r="I236" s="260">
        <v>396</v>
      </c>
      <c r="J236" s="260"/>
      <c r="K236" s="262">
        <v>13</v>
      </c>
    </row>
    <row r="237" spans="1:11" ht="13">
      <c r="A237" s="272" t="s">
        <v>4255</v>
      </c>
      <c r="B237" s="260" t="s">
        <v>4430</v>
      </c>
      <c r="C237" s="260" t="s">
        <v>4416</v>
      </c>
      <c r="D237" s="261" t="s">
        <v>4431</v>
      </c>
      <c r="E237" s="262">
        <v>2022</v>
      </c>
      <c r="F237" s="263">
        <v>12</v>
      </c>
      <c r="G237" s="260" t="s">
        <v>32</v>
      </c>
      <c r="H237" s="260" t="s">
        <v>4432</v>
      </c>
      <c r="I237" s="260">
        <v>318</v>
      </c>
      <c r="J237" s="260"/>
      <c r="K237" s="262">
        <v>12.5</v>
      </c>
    </row>
    <row r="238" spans="1:11" ht="13">
      <c r="A238" s="272" t="s">
        <v>4255</v>
      </c>
      <c r="B238" s="260" t="s">
        <v>4433</v>
      </c>
      <c r="C238" s="260" t="s">
        <v>4416</v>
      </c>
      <c r="D238" s="261" t="s">
        <v>4431</v>
      </c>
      <c r="E238" s="262">
        <v>2023</v>
      </c>
      <c r="F238" s="263">
        <v>12</v>
      </c>
      <c r="G238" s="260" t="s">
        <v>32</v>
      </c>
      <c r="H238" s="260" t="s">
        <v>4434</v>
      </c>
      <c r="I238" s="260">
        <v>318</v>
      </c>
      <c r="J238" s="260"/>
      <c r="K238" s="262">
        <v>12.5</v>
      </c>
    </row>
    <row r="239" spans="1:11" ht="13">
      <c r="A239" s="272" t="s">
        <v>4255</v>
      </c>
      <c r="B239" s="260" t="s">
        <v>4435</v>
      </c>
      <c r="C239" s="260" t="s">
        <v>4416</v>
      </c>
      <c r="D239" s="261" t="s">
        <v>4436</v>
      </c>
      <c r="E239" s="262">
        <v>2023</v>
      </c>
      <c r="F239" s="263">
        <v>12</v>
      </c>
      <c r="G239" s="260" t="s">
        <v>32</v>
      </c>
      <c r="H239" s="260" t="s">
        <v>4437</v>
      </c>
      <c r="I239" s="260">
        <v>210</v>
      </c>
      <c r="J239" s="260"/>
      <c r="K239" s="262">
        <v>12.5</v>
      </c>
    </row>
    <row r="240" spans="1:11" ht="13">
      <c r="A240" s="272" t="s">
        <v>4255</v>
      </c>
      <c r="B240" s="260" t="s">
        <v>4438</v>
      </c>
      <c r="C240" s="260" t="s">
        <v>4416</v>
      </c>
      <c r="D240" s="261" t="s">
        <v>4439</v>
      </c>
      <c r="E240" s="262">
        <v>2023</v>
      </c>
      <c r="F240" s="263">
        <v>12</v>
      </c>
      <c r="G240" s="260" t="s">
        <v>32</v>
      </c>
      <c r="H240" s="260" t="s">
        <v>4440</v>
      </c>
      <c r="I240" s="260">
        <v>318</v>
      </c>
      <c r="J240" s="260"/>
      <c r="K240" s="262">
        <v>12.5</v>
      </c>
    </row>
    <row r="241" spans="1:11" ht="13">
      <c r="A241" s="272" t="s">
        <v>4255</v>
      </c>
      <c r="B241" s="260" t="s">
        <v>4441</v>
      </c>
      <c r="C241" s="260" t="s">
        <v>4416</v>
      </c>
      <c r="D241" s="261" t="s">
        <v>4442</v>
      </c>
      <c r="E241" s="262">
        <v>2023</v>
      </c>
      <c r="F241" s="263">
        <v>12</v>
      </c>
      <c r="G241" s="260" t="s">
        <v>32</v>
      </c>
      <c r="H241" s="260" t="s">
        <v>4044</v>
      </c>
      <c r="I241" s="260">
        <v>318</v>
      </c>
      <c r="J241" s="260"/>
      <c r="K241" s="262">
        <v>12.5</v>
      </c>
    </row>
    <row r="242" spans="1:11" ht="13">
      <c r="A242" s="272" t="s">
        <v>4255</v>
      </c>
      <c r="B242" s="260" t="s">
        <v>4443</v>
      </c>
      <c r="C242" s="260" t="s">
        <v>4444</v>
      </c>
      <c r="D242" s="261" t="s">
        <v>4445</v>
      </c>
      <c r="E242" s="262">
        <v>2024</v>
      </c>
      <c r="F242" s="263">
        <v>12</v>
      </c>
      <c r="G242" s="260" t="s">
        <v>32</v>
      </c>
      <c r="H242" s="260" t="s">
        <v>4315</v>
      </c>
      <c r="I242" s="260">
        <v>210</v>
      </c>
      <c r="J242" s="260"/>
      <c r="K242" s="262">
        <v>0</v>
      </c>
    </row>
    <row r="243" spans="1:11" ht="13">
      <c r="A243" s="272" t="s">
        <v>4255</v>
      </c>
      <c r="B243" s="260" t="s">
        <v>4446</v>
      </c>
      <c r="C243" s="260" t="s">
        <v>4444</v>
      </c>
      <c r="D243" s="261" t="s">
        <v>4447</v>
      </c>
      <c r="E243" s="262">
        <v>2023</v>
      </c>
      <c r="F243" s="263">
        <v>12</v>
      </c>
      <c r="G243" s="260" t="s">
        <v>32</v>
      </c>
      <c r="H243" s="260" t="s">
        <v>4285</v>
      </c>
      <c r="I243" s="260">
        <v>228</v>
      </c>
      <c r="J243" s="260"/>
      <c r="K243" s="262">
        <v>12</v>
      </c>
    </row>
    <row r="244" spans="1:11" ht="13">
      <c r="A244" s="272" t="s">
        <v>4255</v>
      </c>
      <c r="B244" s="260" t="s">
        <v>4448</v>
      </c>
      <c r="C244" s="260" t="s">
        <v>4444</v>
      </c>
      <c r="D244" s="261" t="s">
        <v>4449</v>
      </c>
      <c r="E244" s="262">
        <v>2022</v>
      </c>
      <c r="F244" s="263">
        <v>12</v>
      </c>
      <c r="G244" s="260" t="s">
        <v>32</v>
      </c>
      <c r="H244" s="260" t="s">
        <v>4341</v>
      </c>
      <c r="I244" s="260">
        <v>228</v>
      </c>
      <c r="J244" s="260"/>
      <c r="K244" s="262">
        <v>12</v>
      </c>
    </row>
    <row r="245" spans="1:11" ht="13">
      <c r="A245" s="272" t="s">
        <v>4255</v>
      </c>
      <c r="B245" s="260" t="s">
        <v>4450</v>
      </c>
      <c r="C245" s="260" t="s">
        <v>4444</v>
      </c>
      <c r="D245" s="261" t="s">
        <v>4451</v>
      </c>
      <c r="E245" s="262">
        <v>2023</v>
      </c>
      <c r="F245" s="263">
        <v>12</v>
      </c>
      <c r="G245" s="260" t="s">
        <v>32</v>
      </c>
      <c r="H245" s="260" t="s">
        <v>4076</v>
      </c>
      <c r="I245" s="260">
        <v>228</v>
      </c>
      <c r="J245" s="260"/>
      <c r="K245" s="262">
        <v>12.5</v>
      </c>
    </row>
    <row r="246" spans="1:11" ht="13">
      <c r="A246" s="272" t="s">
        <v>4255</v>
      </c>
      <c r="B246" s="260" t="s">
        <v>4452</v>
      </c>
      <c r="C246" s="260" t="s">
        <v>4444</v>
      </c>
      <c r="D246" s="261" t="s">
        <v>4453</v>
      </c>
      <c r="E246" s="262">
        <v>2022</v>
      </c>
      <c r="F246" s="263">
        <v>12</v>
      </c>
      <c r="G246" s="260" t="s">
        <v>32</v>
      </c>
      <c r="H246" s="260" t="s">
        <v>4285</v>
      </c>
      <c r="I246" s="260">
        <v>228</v>
      </c>
      <c r="J246" s="260"/>
      <c r="K246" s="262">
        <v>11</v>
      </c>
    </row>
    <row r="247" spans="1:11" ht="13">
      <c r="A247" s="272" t="s">
        <v>4255</v>
      </c>
      <c r="B247" s="260" t="s">
        <v>4454</v>
      </c>
      <c r="C247" s="260" t="s">
        <v>4444</v>
      </c>
      <c r="D247" s="261" t="s">
        <v>4455</v>
      </c>
      <c r="E247" s="262" t="s">
        <v>5</v>
      </c>
      <c r="F247" s="263">
        <v>12</v>
      </c>
      <c r="G247" s="260" t="s">
        <v>32</v>
      </c>
      <c r="H247" s="260" t="s">
        <v>4210</v>
      </c>
      <c r="I247" s="260">
        <v>360</v>
      </c>
      <c r="J247" s="260"/>
      <c r="K247" s="262">
        <v>12.5</v>
      </c>
    </row>
    <row r="248" spans="1:11" ht="13">
      <c r="A248" s="272" t="s">
        <v>4255</v>
      </c>
      <c r="B248" s="260" t="s">
        <v>4456</v>
      </c>
      <c r="C248" s="260" t="s">
        <v>4444</v>
      </c>
      <c r="D248" s="261" t="s">
        <v>4457</v>
      </c>
      <c r="E248" s="262">
        <v>2023</v>
      </c>
      <c r="F248" s="263">
        <v>12</v>
      </c>
      <c r="G248" s="260" t="s">
        <v>32</v>
      </c>
      <c r="H248" s="260" t="s">
        <v>3983</v>
      </c>
      <c r="I248" s="260">
        <v>228</v>
      </c>
      <c r="J248" s="260"/>
      <c r="K248" s="262">
        <v>12.5</v>
      </c>
    </row>
    <row r="249" spans="1:11" ht="13">
      <c r="A249" s="272" t="s">
        <v>4255</v>
      </c>
      <c r="B249" s="260" t="s">
        <v>4458</v>
      </c>
      <c r="C249" s="260" t="s">
        <v>4444</v>
      </c>
      <c r="D249" s="261" t="s">
        <v>4459</v>
      </c>
      <c r="E249" s="262">
        <v>2023</v>
      </c>
      <c r="F249" s="263">
        <v>12</v>
      </c>
      <c r="G249" s="260" t="s">
        <v>32</v>
      </c>
      <c r="H249" s="260" t="s">
        <v>4076</v>
      </c>
      <c r="I249" s="260">
        <v>276</v>
      </c>
      <c r="J249" s="260"/>
      <c r="K249" s="262">
        <v>12</v>
      </c>
    </row>
    <row r="250" spans="1:11" ht="13">
      <c r="A250" s="272" t="s">
        <v>4255</v>
      </c>
      <c r="B250" s="260" t="s">
        <v>4460</v>
      </c>
      <c r="C250" s="260" t="s">
        <v>4444</v>
      </c>
      <c r="D250" s="261" t="s">
        <v>4461</v>
      </c>
      <c r="E250" s="262">
        <v>2022</v>
      </c>
      <c r="F250" s="263">
        <v>12</v>
      </c>
      <c r="G250" s="260" t="s">
        <v>32</v>
      </c>
      <c r="H250" s="260" t="s">
        <v>4238</v>
      </c>
      <c r="I250" s="260">
        <v>228</v>
      </c>
      <c r="J250" s="260"/>
      <c r="K250" s="262">
        <v>12</v>
      </c>
    </row>
    <row r="251" spans="1:11" ht="13">
      <c r="A251" s="272" t="s">
        <v>4255</v>
      </c>
      <c r="B251" s="260" t="s">
        <v>2028</v>
      </c>
      <c r="C251" s="260" t="s">
        <v>4444</v>
      </c>
      <c r="D251" s="261" t="s">
        <v>4462</v>
      </c>
      <c r="E251" s="262">
        <v>2022</v>
      </c>
      <c r="F251" s="263">
        <v>12</v>
      </c>
      <c r="G251" s="260" t="s">
        <v>32</v>
      </c>
      <c r="H251" s="260" t="s">
        <v>4238</v>
      </c>
      <c r="I251" s="260">
        <v>228</v>
      </c>
      <c r="J251" s="260"/>
      <c r="K251" s="262">
        <v>12</v>
      </c>
    </row>
    <row r="252" spans="1:11" ht="13">
      <c r="A252" s="272" t="s">
        <v>4255</v>
      </c>
      <c r="B252" s="260" t="s">
        <v>4463</v>
      </c>
      <c r="C252" s="260" t="s">
        <v>4444</v>
      </c>
      <c r="D252" s="261" t="s">
        <v>4464</v>
      </c>
      <c r="E252" s="262">
        <v>2022</v>
      </c>
      <c r="F252" s="263">
        <v>12</v>
      </c>
      <c r="G252" s="260" t="s">
        <v>32</v>
      </c>
      <c r="H252" s="260" t="s">
        <v>4261</v>
      </c>
      <c r="I252" s="260">
        <v>228</v>
      </c>
      <c r="J252" s="260"/>
      <c r="K252" s="262">
        <v>11</v>
      </c>
    </row>
    <row r="253" spans="1:11" ht="13">
      <c r="A253" s="272" t="s">
        <v>4255</v>
      </c>
      <c r="B253" s="260" t="s">
        <v>2089</v>
      </c>
      <c r="C253" s="260" t="s">
        <v>4465</v>
      </c>
      <c r="D253" s="261" t="s">
        <v>4466</v>
      </c>
      <c r="E253" s="262" t="s">
        <v>5</v>
      </c>
      <c r="F253" s="263">
        <v>12</v>
      </c>
      <c r="G253" s="260" t="s">
        <v>32</v>
      </c>
      <c r="H253" s="260" t="s">
        <v>4354</v>
      </c>
      <c r="I253" s="260">
        <v>228</v>
      </c>
      <c r="J253" s="260"/>
      <c r="K253" s="262">
        <v>12.5</v>
      </c>
    </row>
    <row r="254" spans="1:11" ht="13">
      <c r="A254" s="272" t="s">
        <v>4255</v>
      </c>
      <c r="B254" s="260" t="s">
        <v>2093</v>
      </c>
      <c r="C254" s="260" t="s">
        <v>4465</v>
      </c>
      <c r="D254" s="261" t="s">
        <v>4467</v>
      </c>
      <c r="E254" s="262">
        <v>2022</v>
      </c>
      <c r="F254" s="263">
        <v>12</v>
      </c>
      <c r="G254" s="260" t="s">
        <v>32</v>
      </c>
      <c r="H254" s="260" t="s">
        <v>4261</v>
      </c>
      <c r="I254" s="260">
        <v>228</v>
      </c>
      <c r="J254" s="260"/>
      <c r="K254" s="262">
        <v>12.5</v>
      </c>
    </row>
    <row r="255" spans="1:11" ht="13">
      <c r="A255" s="272" t="s">
        <v>4255</v>
      </c>
      <c r="B255" s="260" t="s">
        <v>2096</v>
      </c>
      <c r="C255" s="260" t="s">
        <v>4465</v>
      </c>
      <c r="D255" s="261" t="s">
        <v>4467</v>
      </c>
      <c r="E255" s="262">
        <v>2022</v>
      </c>
      <c r="F255" s="263">
        <v>3</v>
      </c>
      <c r="G255" s="260" t="s">
        <v>3979</v>
      </c>
      <c r="H255" s="260" t="s">
        <v>4251</v>
      </c>
      <c r="I255" s="260">
        <v>129</v>
      </c>
      <c r="J255" s="260"/>
      <c r="K255" s="262">
        <v>12.5</v>
      </c>
    </row>
    <row r="256" spans="1:11" ht="13">
      <c r="A256" s="272" t="s">
        <v>4255</v>
      </c>
      <c r="B256" s="260" t="s">
        <v>2075</v>
      </c>
      <c r="C256" s="260" t="s">
        <v>4465</v>
      </c>
      <c r="D256" s="261" t="s">
        <v>2076</v>
      </c>
      <c r="E256" s="262">
        <v>2022</v>
      </c>
      <c r="F256" s="263">
        <v>12</v>
      </c>
      <c r="G256" s="260" t="s">
        <v>32</v>
      </c>
      <c r="H256" s="260" t="s">
        <v>4369</v>
      </c>
      <c r="I256" s="260">
        <v>312</v>
      </c>
      <c r="J256" s="260"/>
      <c r="K256" s="262">
        <v>12.5</v>
      </c>
    </row>
    <row r="257" spans="1:11" ht="13">
      <c r="A257" s="272" t="s">
        <v>4255</v>
      </c>
      <c r="B257" s="260" t="s">
        <v>2078</v>
      </c>
      <c r="C257" s="260" t="s">
        <v>4465</v>
      </c>
      <c r="D257" s="261" t="s">
        <v>2076</v>
      </c>
      <c r="E257" s="262">
        <v>2022</v>
      </c>
      <c r="F257" s="263">
        <v>3</v>
      </c>
      <c r="G257" s="260" t="s">
        <v>3979</v>
      </c>
      <c r="H257" s="260" t="s">
        <v>4246</v>
      </c>
      <c r="I257" s="260">
        <v>148.5</v>
      </c>
      <c r="J257" s="260"/>
      <c r="K257" s="262">
        <v>12.5</v>
      </c>
    </row>
    <row r="258" spans="1:11" ht="13">
      <c r="A258" s="272" t="s">
        <v>4255</v>
      </c>
      <c r="B258" s="260" t="s">
        <v>4468</v>
      </c>
      <c r="C258" s="260" t="s">
        <v>4465</v>
      </c>
      <c r="D258" s="261" t="s">
        <v>4469</v>
      </c>
      <c r="E258" s="262">
        <v>2022</v>
      </c>
      <c r="F258" s="263">
        <v>12</v>
      </c>
      <c r="G258" s="260" t="s">
        <v>32</v>
      </c>
      <c r="H258" s="260" t="s">
        <v>4130</v>
      </c>
      <c r="I258" s="260">
        <v>252</v>
      </c>
      <c r="J258" s="260"/>
      <c r="K258" s="262">
        <v>12.5</v>
      </c>
    </row>
    <row r="259" spans="1:11" ht="13">
      <c r="A259" s="272" t="s">
        <v>4255</v>
      </c>
      <c r="B259" s="260" t="s">
        <v>4470</v>
      </c>
      <c r="C259" s="260" t="s">
        <v>4465</v>
      </c>
      <c r="D259" s="261" t="s">
        <v>4471</v>
      </c>
      <c r="E259" s="262">
        <v>2022</v>
      </c>
      <c r="F259" s="263">
        <v>12</v>
      </c>
      <c r="G259" s="260" t="s">
        <v>32</v>
      </c>
      <c r="H259" s="260" t="s">
        <v>4285</v>
      </c>
      <c r="I259" s="260">
        <v>240</v>
      </c>
      <c r="J259" s="260"/>
      <c r="K259" s="262">
        <v>12.5</v>
      </c>
    </row>
    <row r="260" spans="1:11" ht="13">
      <c r="A260" s="272" t="s">
        <v>4255</v>
      </c>
      <c r="B260" s="260" t="s">
        <v>2086</v>
      </c>
      <c r="C260" s="260" t="s">
        <v>4465</v>
      </c>
      <c r="D260" s="261" t="s">
        <v>4471</v>
      </c>
      <c r="E260" s="262">
        <v>2023</v>
      </c>
      <c r="F260" s="263">
        <v>12</v>
      </c>
      <c r="G260" s="260" t="s">
        <v>32</v>
      </c>
      <c r="H260" s="260" t="s">
        <v>4472</v>
      </c>
      <c r="I260" s="260">
        <v>240</v>
      </c>
      <c r="J260" s="260"/>
      <c r="K260" s="262">
        <v>12.5</v>
      </c>
    </row>
    <row r="261" spans="1:11" ht="13">
      <c r="A261" s="272" t="s">
        <v>4255</v>
      </c>
      <c r="B261" s="260" t="s">
        <v>2082</v>
      </c>
      <c r="C261" s="260" t="s">
        <v>4465</v>
      </c>
      <c r="D261" s="260" t="s">
        <v>2081</v>
      </c>
      <c r="E261" s="262">
        <v>2020</v>
      </c>
      <c r="F261" s="263">
        <v>3</v>
      </c>
      <c r="G261" s="260" t="s">
        <v>3979</v>
      </c>
      <c r="H261" s="260" t="s">
        <v>4403</v>
      </c>
      <c r="I261" s="260">
        <v>147</v>
      </c>
      <c r="J261" s="260"/>
      <c r="K261" s="262">
        <v>12.5</v>
      </c>
    </row>
    <row r="262" spans="1:11" ht="13">
      <c r="A262" s="272" t="s">
        <v>4255</v>
      </c>
      <c r="B262" s="260" t="s">
        <v>2104</v>
      </c>
      <c r="C262" s="260" t="s">
        <v>4465</v>
      </c>
      <c r="D262" s="260" t="s">
        <v>2105</v>
      </c>
      <c r="E262" s="262">
        <v>2023</v>
      </c>
      <c r="F262" s="263">
        <v>12</v>
      </c>
      <c r="G262" s="260" t="s">
        <v>32</v>
      </c>
      <c r="H262" s="260" t="s">
        <v>4354</v>
      </c>
      <c r="I262" s="260">
        <v>288</v>
      </c>
      <c r="J262" s="260"/>
      <c r="K262" s="262">
        <v>12.5</v>
      </c>
    </row>
    <row r="263" spans="1:11" ht="13">
      <c r="A263" s="272" t="s">
        <v>4255</v>
      </c>
      <c r="B263" s="260" t="s">
        <v>2213</v>
      </c>
      <c r="C263" s="260" t="s">
        <v>4473</v>
      </c>
      <c r="D263" s="260" t="s">
        <v>2214</v>
      </c>
      <c r="E263" s="262" t="s">
        <v>5</v>
      </c>
      <c r="F263" s="263">
        <v>12</v>
      </c>
      <c r="G263" s="260" t="s">
        <v>32</v>
      </c>
      <c r="H263" s="260" t="s">
        <v>4010</v>
      </c>
      <c r="I263" s="260">
        <v>396</v>
      </c>
      <c r="J263" s="260"/>
      <c r="K263" s="262">
        <v>13</v>
      </c>
    </row>
    <row r="264" spans="1:11" ht="13">
      <c r="A264" s="272" t="s">
        <v>4255</v>
      </c>
      <c r="B264" s="260" t="s">
        <v>4474</v>
      </c>
      <c r="C264" s="260" t="s">
        <v>4473</v>
      </c>
      <c r="D264" s="261" t="s">
        <v>4475</v>
      </c>
      <c r="E264" s="262">
        <v>2022</v>
      </c>
      <c r="F264" s="263">
        <v>12</v>
      </c>
      <c r="G264" s="260" t="s">
        <v>32</v>
      </c>
      <c r="H264" s="260" t="s">
        <v>4367</v>
      </c>
      <c r="I264" s="260">
        <v>282</v>
      </c>
      <c r="J264" s="260"/>
      <c r="K264" s="262">
        <v>13</v>
      </c>
    </row>
    <row r="265" spans="1:11" ht="13">
      <c r="A265" s="272" t="s">
        <v>4255</v>
      </c>
      <c r="B265" s="260" t="s">
        <v>4476</v>
      </c>
      <c r="C265" s="260" t="s">
        <v>4473</v>
      </c>
      <c r="D265" s="261" t="s">
        <v>4477</v>
      </c>
      <c r="E265" s="262">
        <v>2022</v>
      </c>
      <c r="F265" s="263">
        <v>12</v>
      </c>
      <c r="G265" s="260" t="s">
        <v>32</v>
      </c>
      <c r="H265" s="260" t="s">
        <v>4478</v>
      </c>
      <c r="I265" s="260">
        <v>306</v>
      </c>
      <c r="J265" s="260"/>
      <c r="K265" s="262">
        <v>13</v>
      </c>
    </row>
    <row r="266" spans="1:11" ht="13">
      <c r="A266" s="272" t="s">
        <v>4255</v>
      </c>
      <c r="B266" s="260" t="s">
        <v>4479</v>
      </c>
      <c r="C266" s="260" t="s">
        <v>4473</v>
      </c>
      <c r="D266" s="261" t="s">
        <v>4480</v>
      </c>
      <c r="E266" s="262">
        <v>2022</v>
      </c>
      <c r="F266" s="263">
        <v>12</v>
      </c>
      <c r="G266" s="260" t="s">
        <v>32</v>
      </c>
      <c r="H266" s="260" t="s">
        <v>4227</v>
      </c>
      <c r="I266" s="260">
        <v>372</v>
      </c>
      <c r="J266" s="260"/>
      <c r="K266" s="262">
        <v>13</v>
      </c>
    </row>
    <row r="267" spans="1:11" ht="13">
      <c r="A267" s="272" t="s">
        <v>4255</v>
      </c>
      <c r="B267" s="260" t="s">
        <v>2207</v>
      </c>
      <c r="C267" s="260" t="s">
        <v>4473</v>
      </c>
      <c r="D267" s="261" t="s">
        <v>4481</v>
      </c>
      <c r="E267" s="262">
        <v>2022</v>
      </c>
      <c r="F267" s="263">
        <v>12</v>
      </c>
      <c r="G267" s="260" t="s">
        <v>32</v>
      </c>
      <c r="H267" s="260" t="s">
        <v>4482</v>
      </c>
      <c r="I267" s="260">
        <v>312</v>
      </c>
      <c r="J267" s="260"/>
      <c r="K267" s="262">
        <v>13</v>
      </c>
    </row>
    <row r="268" spans="1:11" ht="13">
      <c r="A268" s="272" t="s">
        <v>4255</v>
      </c>
      <c r="B268" s="260" t="s">
        <v>4483</v>
      </c>
      <c r="C268" s="260" t="s">
        <v>4473</v>
      </c>
      <c r="D268" s="261" t="s">
        <v>4484</v>
      </c>
      <c r="E268" s="262">
        <v>2023</v>
      </c>
      <c r="F268" s="263">
        <v>12</v>
      </c>
      <c r="G268" s="260" t="s">
        <v>32</v>
      </c>
      <c r="H268" s="260" t="s">
        <v>4346</v>
      </c>
      <c r="I268" s="260">
        <v>390</v>
      </c>
      <c r="J268" s="260"/>
      <c r="K268" s="262">
        <v>13</v>
      </c>
    </row>
    <row r="269" spans="1:11" ht="13">
      <c r="A269" s="272" t="s">
        <v>4255</v>
      </c>
      <c r="B269" s="260" t="s">
        <v>4485</v>
      </c>
      <c r="C269" s="260" t="s">
        <v>4473</v>
      </c>
      <c r="D269" s="261" t="s">
        <v>4486</v>
      </c>
      <c r="E269" s="262">
        <v>2016</v>
      </c>
      <c r="F269" s="263">
        <v>12</v>
      </c>
      <c r="G269" s="260" t="s">
        <v>564</v>
      </c>
      <c r="H269" s="260" t="s">
        <v>4221</v>
      </c>
      <c r="I269" s="260">
        <v>744</v>
      </c>
      <c r="J269" s="260"/>
      <c r="K269" s="262">
        <v>0</v>
      </c>
    </row>
    <row r="270" spans="1:11" ht="13">
      <c r="A270" s="272" t="s">
        <v>4255</v>
      </c>
      <c r="B270" s="260" t="s">
        <v>4487</v>
      </c>
      <c r="C270" s="260" t="s">
        <v>4473</v>
      </c>
      <c r="D270" s="261" t="s">
        <v>4488</v>
      </c>
      <c r="E270" s="262" t="s">
        <v>5</v>
      </c>
      <c r="F270" s="263">
        <v>12</v>
      </c>
      <c r="G270" s="260" t="s">
        <v>32</v>
      </c>
      <c r="H270" s="260" t="s">
        <v>4324</v>
      </c>
      <c r="I270" s="260">
        <v>282</v>
      </c>
      <c r="J270" s="260"/>
      <c r="K270" s="262">
        <v>13</v>
      </c>
    </row>
    <row r="271" spans="1:11" ht="13">
      <c r="A271" s="272" t="s">
        <v>4255</v>
      </c>
      <c r="B271" s="260" t="s">
        <v>4489</v>
      </c>
      <c r="C271" s="260" t="s">
        <v>4473</v>
      </c>
      <c r="D271" s="261" t="s">
        <v>4490</v>
      </c>
      <c r="E271" s="262">
        <v>2023</v>
      </c>
      <c r="F271" s="263">
        <v>12</v>
      </c>
      <c r="G271" s="260" t="s">
        <v>32</v>
      </c>
      <c r="H271" s="260" t="s">
        <v>4491</v>
      </c>
      <c r="I271" s="260">
        <v>318</v>
      </c>
      <c r="J271" s="260"/>
      <c r="K271" s="262">
        <v>13</v>
      </c>
    </row>
    <row r="272" spans="1:11" ht="13">
      <c r="A272" s="272" t="s">
        <v>4255</v>
      </c>
      <c r="B272" s="260" t="s">
        <v>4492</v>
      </c>
      <c r="C272" s="260" t="s">
        <v>4473</v>
      </c>
      <c r="D272" s="261" t="s">
        <v>4493</v>
      </c>
      <c r="E272" s="262">
        <v>2023</v>
      </c>
      <c r="F272" s="263">
        <v>12</v>
      </c>
      <c r="G272" s="260" t="s">
        <v>32</v>
      </c>
      <c r="H272" s="260" t="s">
        <v>4494</v>
      </c>
      <c r="I272" s="260">
        <v>390</v>
      </c>
      <c r="J272" s="260"/>
      <c r="K272" s="262">
        <v>13</v>
      </c>
    </row>
    <row r="273" spans="1:11" ht="13">
      <c r="A273" s="272" t="s">
        <v>4255</v>
      </c>
      <c r="B273" s="260" t="s">
        <v>4495</v>
      </c>
      <c r="C273" s="260" t="s">
        <v>4473</v>
      </c>
      <c r="D273" s="261" t="s">
        <v>4496</v>
      </c>
      <c r="E273" s="262">
        <v>2023</v>
      </c>
      <c r="F273" s="263">
        <v>12</v>
      </c>
      <c r="G273" s="260" t="s">
        <v>32</v>
      </c>
      <c r="H273" s="260" t="s">
        <v>4341</v>
      </c>
      <c r="I273" s="260">
        <v>354</v>
      </c>
      <c r="J273" s="260"/>
      <c r="K273" s="262">
        <v>13</v>
      </c>
    </row>
    <row r="274" spans="1:11" ht="13">
      <c r="A274" s="272" t="s">
        <v>4255</v>
      </c>
      <c r="B274" s="260" t="s">
        <v>4497</v>
      </c>
      <c r="C274" s="260" t="s">
        <v>4473</v>
      </c>
      <c r="D274" s="261" t="s">
        <v>4498</v>
      </c>
      <c r="E274" s="262">
        <v>2023</v>
      </c>
      <c r="F274" s="263">
        <v>12</v>
      </c>
      <c r="G274" s="260" t="s">
        <v>32</v>
      </c>
      <c r="H274" s="260" t="s">
        <v>4437</v>
      </c>
      <c r="I274" s="260">
        <v>336</v>
      </c>
      <c r="J274" s="260"/>
      <c r="K274" s="262">
        <v>13</v>
      </c>
    </row>
    <row r="275" spans="1:11" ht="13">
      <c r="A275" s="272" t="s">
        <v>4255</v>
      </c>
      <c r="B275" s="260" t="s">
        <v>918</v>
      </c>
      <c r="C275" s="260" t="s">
        <v>4499</v>
      </c>
      <c r="D275" s="261" t="s">
        <v>4500</v>
      </c>
      <c r="E275" s="262">
        <v>2022</v>
      </c>
      <c r="F275" s="263">
        <v>12</v>
      </c>
      <c r="G275" s="260" t="s">
        <v>32</v>
      </c>
      <c r="H275" s="260" t="s">
        <v>4264</v>
      </c>
      <c r="I275" s="260">
        <v>606</v>
      </c>
      <c r="J275" s="260"/>
      <c r="K275" s="262">
        <v>13</v>
      </c>
    </row>
    <row r="276" spans="1:11" ht="13">
      <c r="A276" s="272" t="s">
        <v>4255</v>
      </c>
      <c r="B276" s="260" t="s">
        <v>924</v>
      </c>
      <c r="C276" s="260" t="s">
        <v>4499</v>
      </c>
      <c r="D276" s="260" t="s">
        <v>4501</v>
      </c>
      <c r="E276" s="262">
        <v>2022</v>
      </c>
      <c r="F276" s="263">
        <v>12</v>
      </c>
      <c r="G276" s="260" t="s">
        <v>32</v>
      </c>
      <c r="H276" s="260" t="s">
        <v>4208</v>
      </c>
      <c r="I276" s="260">
        <v>528</v>
      </c>
      <c r="J276" s="260"/>
      <c r="K276" s="262">
        <v>13</v>
      </c>
    </row>
    <row r="277" spans="1:11" ht="13">
      <c r="A277" s="272" t="s">
        <v>4255</v>
      </c>
      <c r="B277" s="260" t="s">
        <v>4502</v>
      </c>
      <c r="C277" s="260" t="s">
        <v>4499</v>
      </c>
      <c r="D277" s="260" t="s">
        <v>4503</v>
      </c>
      <c r="E277" s="262">
        <v>2021</v>
      </c>
      <c r="F277" s="263">
        <v>12</v>
      </c>
      <c r="G277" s="260" t="s">
        <v>32</v>
      </c>
      <c r="H277" s="260" t="s">
        <v>4504</v>
      </c>
      <c r="I277" s="260">
        <v>564</v>
      </c>
      <c r="J277" s="260"/>
      <c r="K277" s="262">
        <v>12.5</v>
      </c>
    </row>
    <row r="278" spans="1:11" ht="13">
      <c r="A278" s="272" t="s">
        <v>4255</v>
      </c>
      <c r="B278" s="260" t="s">
        <v>938</v>
      </c>
      <c r="C278" s="260" t="s">
        <v>4499</v>
      </c>
      <c r="D278" s="261" t="s">
        <v>4503</v>
      </c>
      <c r="E278" s="262">
        <v>2022</v>
      </c>
      <c r="F278" s="263">
        <v>12</v>
      </c>
      <c r="G278" s="260" t="s">
        <v>32</v>
      </c>
      <c r="H278" s="260" t="s">
        <v>4044</v>
      </c>
      <c r="I278" s="260">
        <v>606</v>
      </c>
      <c r="J278" s="260"/>
      <c r="K278" s="262">
        <v>13</v>
      </c>
    </row>
    <row r="279" spans="1:11" ht="13">
      <c r="A279" s="272" t="s">
        <v>4255</v>
      </c>
      <c r="B279" s="260" t="s">
        <v>922</v>
      </c>
      <c r="C279" s="260" t="s">
        <v>4499</v>
      </c>
      <c r="D279" s="261" t="s">
        <v>4505</v>
      </c>
      <c r="E279" s="262">
        <v>2022</v>
      </c>
      <c r="F279" s="263">
        <v>12</v>
      </c>
      <c r="G279" s="260" t="s">
        <v>32</v>
      </c>
      <c r="H279" s="260" t="s">
        <v>4328</v>
      </c>
      <c r="I279" s="260">
        <v>558</v>
      </c>
      <c r="J279" s="260"/>
      <c r="K279" s="262">
        <v>13</v>
      </c>
    </row>
    <row r="280" spans="1:11" ht="13">
      <c r="A280" s="272" t="s">
        <v>4255</v>
      </c>
      <c r="B280" s="260" t="s">
        <v>928</v>
      </c>
      <c r="C280" s="260" t="s">
        <v>4506</v>
      </c>
      <c r="D280" s="261" t="s">
        <v>4507</v>
      </c>
      <c r="E280" s="262">
        <v>2021</v>
      </c>
      <c r="F280" s="263">
        <v>12</v>
      </c>
      <c r="G280" s="260" t="s">
        <v>32</v>
      </c>
      <c r="H280" s="260" t="s">
        <v>4279</v>
      </c>
      <c r="I280" s="260">
        <v>180</v>
      </c>
      <c r="J280" s="260"/>
      <c r="K280" s="262">
        <v>11.5</v>
      </c>
    </row>
    <row r="281" spans="1:11" ht="13">
      <c r="A281" s="272" t="s">
        <v>4255</v>
      </c>
      <c r="B281" s="260" t="s">
        <v>926</v>
      </c>
      <c r="C281" s="260" t="s">
        <v>4506</v>
      </c>
      <c r="D281" s="261" t="s">
        <v>4508</v>
      </c>
      <c r="E281" s="262">
        <v>2020</v>
      </c>
      <c r="F281" s="263">
        <v>12</v>
      </c>
      <c r="G281" s="260" t="s">
        <v>32</v>
      </c>
      <c r="H281" s="260" t="s">
        <v>4315</v>
      </c>
      <c r="I281" s="260">
        <v>216</v>
      </c>
      <c r="J281" s="260"/>
      <c r="K281" s="262">
        <v>11.5</v>
      </c>
    </row>
    <row r="282" spans="1:11" ht="13">
      <c r="A282" s="272" t="s">
        <v>4255</v>
      </c>
      <c r="B282" s="260" t="s">
        <v>4509</v>
      </c>
      <c r="C282" s="260" t="s">
        <v>4510</v>
      </c>
      <c r="D282" s="261" t="s">
        <v>4511</v>
      </c>
      <c r="E282" s="262">
        <v>2023</v>
      </c>
      <c r="F282" s="263">
        <v>6</v>
      </c>
      <c r="G282" s="260" t="s">
        <v>32</v>
      </c>
      <c r="H282" s="260" t="s">
        <v>4512</v>
      </c>
      <c r="I282" s="260">
        <v>108</v>
      </c>
      <c r="J282" s="260"/>
      <c r="K282" s="262">
        <v>11</v>
      </c>
    </row>
    <row r="283" spans="1:11" ht="13">
      <c r="A283" s="272" t="s">
        <v>4255</v>
      </c>
      <c r="B283" s="260" t="s">
        <v>4513</v>
      </c>
      <c r="C283" s="261" t="s">
        <v>4510</v>
      </c>
      <c r="D283" s="261" t="s">
        <v>4514</v>
      </c>
      <c r="E283" s="262">
        <v>2023</v>
      </c>
      <c r="F283" s="263">
        <v>6</v>
      </c>
      <c r="G283" s="260" t="s">
        <v>32</v>
      </c>
      <c r="H283" s="260" t="s">
        <v>4515</v>
      </c>
      <c r="I283" s="260">
        <v>126</v>
      </c>
      <c r="J283" s="260"/>
      <c r="K283" s="262">
        <v>9.5</v>
      </c>
    </row>
    <row r="284" spans="1:11" ht="13">
      <c r="A284" s="272" t="s">
        <v>4255</v>
      </c>
      <c r="B284" s="260" t="s">
        <v>419</v>
      </c>
      <c r="C284" s="261" t="s">
        <v>4516</v>
      </c>
      <c r="D284" s="261" t="s">
        <v>4517</v>
      </c>
      <c r="E284" s="262" t="s">
        <v>5</v>
      </c>
      <c r="F284" s="263">
        <v>12</v>
      </c>
      <c r="G284" s="260" t="s">
        <v>32</v>
      </c>
      <c r="H284" s="260" t="s">
        <v>4518</v>
      </c>
      <c r="I284" s="260">
        <v>126</v>
      </c>
      <c r="J284" s="260"/>
      <c r="K284" s="262">
        <v>13.5</v>
      </c>
    </row>
    <row r="285" spans="1:11" ht="13">
      <c r="A285" s="272" t="s">
        <v>4255</v>
      </c>
      <c r="B285" s="260" t="s">
        <v>1125</v>
      </c>
      <c r="C285" s="260" t="s">
        <v>4519</v>
      </c>
      <c r="D285" s="261" t="s">
        <v>4520</v>
      </c>
      <c r="E285" s="262">
        <v>2021</v>
      </c>
      <c r="F285" s="263">
        <v>12</v>
      </c>
      <c r="G285" s="260" t="s">
        <v>32</v>
      </c>
      <c r="H285" s="260" t="s">
        <v>4210</v>
      </c>
      <c r="I285" s="260">
        <v>234</v>
      </c>
      <c r="J285" s="260"/>
      <c r="K285" s="262">
        <v>13.5</v>
      </c>
    </row>
    <row r="286" spans="1:11" ht="13">
      <c r="A286" s="272" t="s">
        <v>4255</v>
      </c>
      <c r="B286" s="260" t="s">
        <v>1123</v>
      </c>
      <c r="C286" s="261" t="s">
        <v>4519</v>
      </c>
      <c r="D286" s="261" t="s">
        <v>4520</v>
      </c>
      <c r="E286" s="262">
        <v>2022</v>
      </c>
      <c r="F286" s="263">
        <v>12</v>
      </c>
      <c r="G286" s="260" t="s">
        <v>32</v>
      </c>
      <c r="H286" s="260" t="s">
        <v>4521</v>
      </c>
      <c r="I286" s="260">
        <v>234</v>
      </c>
      <c r="J286" s="260"/>
      <c r="K286" s="262">
        <v>13.5</v>
      </c>
    </row>
    <row r="287" spans="1:11" ht="13">
      <c r="A287" s="272" t="s">
        <v>4255</v>
      </c>
      <c r="B287" s="260" t="s">
        <v>1126</v>
      </c>
      <c r="C287" s="261" t="s">
        <v>4519</v>
      </c>
      <c r="D287" s="260" t="s">
        <v>4520</v>
      </c>
      <c r="E287" s="262">
        <v>2020</v>
      </c>
      <c r="F287" s="263">
        <v>12</v>
      </c>
      <c r="G287" s="260" t="s">
        <v>32</v>
      </c>
      <c r="H287" s="260" t="s">
        <v>4522</v>
      </c>
      <c r="I287" s="260">
        <v>240</v>
      </c>
      <c r="J287" s="260"/>
      <c r="K287" s="262">
        <v>13.5</v>
      </c>
    </row>
    <row r="288" spans="1:11" ht="13">
      <c r="A288" s="272" t="s">
        <v>4255</v>
      </c>
      <c r="B288" s="260" t="s">
        <v>1127</v>
      </c>
      <c r="C288" s="261" t="s">
        <v>4519</v>
      </c>
      <c r="D288" s="261" t="s">
        <v>4523</v>
      </c>
      <c r="E288" s="262">
        <v>2022</v>
      </c>
      <c r="F288" s="263">
        <v>12</v>
      </c>
      <c r="G288" s="260" t="s">
        <v>32</v>
      </c>
      <c r="H288" s="260" t="s">
        <v>4346</v>
      </c>
      <c r="I288" s="260">
        <v>234</v>
      </c>
      <c r="J288" s="260"/>
      <c r="K288" s="262">
        <v>12</v>
      </c>
    </row>
    <row r="289" spans="1:11" ht="13">
      <c r="A289" s="272" t="s">
        <v>4255</v>
      </c>
      <c r="B289" s="260" t="s">
        <v>1121</v>
      </c>
      <c r="C289" s="261" t="s">
        <v>4519</v>
      </c>
      <c r="D289" s="261" t="s">
        <v>4524</v>
      </c>
      <c r="E289" s="262">
        <v>2021</v>
      </c>
      <c r="F289" s="263">
        <v>12</v>
      </c>
      <c r="G289" s="260" t="s">
        <v>32</v>
      </c>
      <c r="H289" s="260" t="s">
        <v>4379</v>
      </c>
      <c r="I289" s="260">
        <v>186</v>
      </c>
      <c r="J289" s="260"/>
      <c r="K289" s="262">
        <v>12</v>
      </c>
    </row>
    <row r="290" spans="1:11" ht="13">
      <c r="A290" s="272" t="s">
        <v>4255</v>
      </c>
      <c r="B290" s="260" t="s">
        <v>1119</v>
      </c>
      <c r="C290" s="261" t="s">
        <v>4519</v>
      </c>
      <c r="D290" s="261" t="s">
        <v>4524</v>
      </c>
      <c r="E290" s="262">
        <v>2022</v>
      </c>
      <c r="F290" s="263">
        <v>12</v>
      </c>
      <c r="G290" s="260" t="s">
        <v>32</v>
      </c>
      <c r="H290" s="260" t="s">
        <v>4525</v>
      </c>
      <c r="I290" s="260">
        <v>186</v>
      </c>
      <c r="J290" s="260"/>
      <c r="K290" s="262">
        <v>12</v>
      </c>
    </row>
    <row r="291" spans="1:11" ht="13">
      <c r="A291" s="272" t="s">
        <v>4255</v>
      </c>
      <c r="B291" s="260" t="s">
        <v>1122</v>
      </c>
      <c r="C291" s="261" t="s">
        <v>4519</v>
      </c>
      <c r="D291" s="261" t="s">
        <v>4524</v>
      </c>
      <c r="E291" s="262">
        <v>2020</v>
      </c>
      <c r="F291" s="263">
        <v>12</v>
      </c>
      <c r="G291" s="260" t="s">
        <v>32</v>
      </c>
      <c r="H291" s="260" t="s">
        <v>4340</v>
      </c>
      <c r="I291" s="260">
        <v>150</v>
      </c>
      <c r="J291" s="260"/>
      <c r="K291" s="262">
        <v>12</v>
      </c>
    </row>
    <row r="292" spans="1:11" ht="13">
      <c r="A292" s="272" t="s">
        <v>4255</v>
      </c>
      <c r="B292" s="260" t="s">
        <v>1138</v>
      </c>
      <c r="C292" s="261" t="s">
        <v>4526</v>
      </c>
      <c r="D292" s="261" t="s">
        <v>4527</v>
      </c>
      <c r="E292" s="262">
        <v>2019</v>
      </c>
      <c r="F292" s="263">
        <v>12</v>
      </c>
      <c r="G292" s="260" t="s">
        <v>32</v>
      </c>
      <c r="H292" s="260" t="s">
        <v>4528</v>
      </c>
      <c r="I292" s="260">
        <v>228</v>
      </c>
      <c r="J292" s="260"/>
      <c r="K292" s="262">
        <v>12</v>
      </c>
    </row>
    <row r="293" spans="1:11" ht="13">
      <c r="A293" s="272" t="s">
        <v>4255</v>
      </c>
      <c r="B293" s="260" t="s">
        <v>2244</v>
      </c>
      <c r="C293" s="260" t="s">
        <v>4529</v>
      </c>
      <c r="D293" s="261" t="s">
        <v>4530</v>
      </c>
      <c r="E293" s="262">
        <v>2022</v>
      </c>
      <c r="F293" s="263">
        <v>12</v>
      </c>
      <c r="G293" s="260" t="s">
        <v>32</v>
      </c>
      <c r="H293" s="260" t="s">
        <v>4387</v>
      </c>
      <c r="I293" s="260">
        <v>276</v>
      </c>
      <c r="J293" s="260"/>
      <c r="K293" s="262">
        <v>14</v>
      </c>
    </row>
    <row r="294" spans="1:11" ht="13">
      <c r="A294" s="272" t="s">
        <v>4255</v>
      </c>
      <c r="B294" s="260" t="s">
        <v>2246</v>
      </c>
      <c r="C294" s="260" t="s">
        <v>4529</v>
      </c>
      <c r="D294" s="261" t="s">
        <v>4531</v>
      </c>
      <c r="E294" s="262">
        <v>2021</v>
      </c>
      <c r="F294" s="263">
        <v>12</v>
      </c>
      <c r="G294" s="260" t="s">
        <v>32</v>
      </c>
      <c r="H294" s="260" t="s">
        <v>4322</v>
      </c>
      <c r="I294" s="260">
        <v>276</v>
      </c>
      <c r="J294" s="260"/>
      <c r="K294" s="262">
        <v>14</v>
      </c>
    </row>
    <row r="295" spans="1:11" ht="13">
      <c r="A295" s="272" t="s">
        <v>4255</v>
      </c>
      <c r="B295" s="260" t="s">
        <v>2241</v>
      </c>
      <c r="C295" s="261" t="s">
        <v>4529</v>
      </c>
      <c r="D295" s="261" t="s">
        <v>4532</v>
      </c>
      <c r="E295" s="262">
        <v>2023</v>
      </c>
      <c r="F295" s="263">
        <v>12</v>
      </c>
      <c r="G295" s="260" t="s">
        <v>32</v>
      </c>
      <c r="H295" s="260" t="s">
        <v>4328</v>
      </c>
      <c r="I295" s="260">
        <v>192</v>
      </c>
      <c r="J295" s="260"/>
      <c r="K295" s="262">
        <v>12.5</v>
      </c>
    </row>
    <row r="296" spans="1:11" ht="13">
      <c r="A296" s="272" t="s">
        <v>4255</v>
      </c>
      <c r="B296" s="260" t="s">
        <v>4533</v>
      </c>
      <c r="C296" s="261" t="s">
        <v>4529</v>
      </c>
      <c r="D296" s="261" t="s">
        <v>4534</v>
      </c>
      <c r="E296" s="262">
        <v>2021</v>
      </c>
      <c r="F296" s="263">
        <v>12</v>
      </c>
      <c r="G296" s="260" t="s">
        <v>32</v>
      </c>
      <c r="H296" s="260" t="s">
        <v>4076</v>
      </c>
      <c r="I296" s="260">
        <v>276</v>
      </c>
      <c r="J296" s="260"/>
      <c r="K296" s="262">
        <v>13</v>
      </c>
    </row>
    <row r="297" spans="1:11" ht="13">
      <c r="A297" s="272" t="s">
        <v>4255</v>
      </c>
      <c r="B297" s="260" t="s">
        <v>2249</v>
      </c>
      <c r="C297" s="261" t="s">
        <v>4529</v>
      </c>
      <c r="D297" s="260" t="s">
        <v>4534</v>
      </c>
      <c r="E297" s="262">
        <v>2022</v>
      </c>
      <c r="F297" s="263">
        <v>12</v>
      </c>
      <c r="G297" s="260" t="s">
        <v>32</v>
      </c>
      <c r="H297" s="260" t="s">
        <v>4535</v>
      </c>
      <c r="I297" s="260">
        <v>276</v>
      </c>
      <c r="J297" s="260"/>
      <c r="K297" s="262">
        <v>13</v>
      </c>
    </row>
    <row r="298" spans="1:11" ht="13">
      <c r="A298" s="272" t="s">
        <v>4255</v>
      </c>
      <c r="B298" s="260" t="s">
        <v>4536</v>
      </c>
      <c r="C298" s="260" t="s">
        <v>4537</v>
      </c>
      <c r="D298" s="261" t="s">
        <v>4538</v>
      </c>
      <c r="E298" s="262">
        <v>2019</v>
      </c>
      <c r="F298" s="263">
        <v>12</v>
      </c>
      <c r="G298" s="260" t="s">
        <v>32</v>
      </c>
      <c r="H298" s="260" t="s">
        <v>4246</v>
      </c>
      <c r="I298" s="260">
        <v>126</v>
      </c>
      <c r="J298" s="260"/>
      <c r="K298" s="262">
        <v>13</v>
      </c>
    </row>
    <row r="299" spans="1:11" ht="13">
      <c r="A299" s="272" t="s">
        <v>4255</v>
      </c>
      <c r="B299" s="260" t="s">
        <v>4539</v>
      </c>
      <c r="C299" s="261" t="s">
        <v>4540</v>
      </c>
      <c r="D299" s="260" t="s">
        <v>4541</v>
      </c>
      <c r="E299" s="262">
        <v>2024</v>
      </c>
      <c r="F299" s="263">
        <v>12</v>
      </c>
      <c r="G299" s="260" t="s">
        <v>32</v>
      </c>
      <c r="H299" s="260" t="s">
        <v>4542</v>
      </c>
      <c r="I299" s="260">
        <v>150</v>
      </c>
      <c r="J299" s="260"/>
      <c r="K299" s="262">
        <v>12.5</v>
      </c>
    </row>
    <row r="300" spans="1:11" ht="13">
      <c r="A300" s="272" t="s">
        <v>4255</v>
      </c>
      <c r="B300" s="260" t="s">
        <v>195</v>
      </c>
      <c r="C300" s="261" t="s">
        <v>4540</v>
      </c>
      <c r="D300" s="260" t="s">
        <v>4543</v>
      </c>
      <c r="E300" s="262">
        <v>2022</v>
      </c>
      <c r="F300" s="263">
        <v>12</v>
      </c>
      <c r="G300" s="260" t="s">
        <v>32</v>
      </c>
      <c r="H300" s="260" t="s">
        <v>4544</v>
      </c>
      <c r="I300" s="260">
        <v>120</v>
      </c>
      <c r="J300" s="260"/>
      <c r="K300" s="262">
        <v>13</v>
      </c>
    </row>
    <row r="301" spans="1:11" ht="13">
      <c r="A301" s="272" t="s">
        <v>4255</v>
      </c>
      <c r="B301" s="260" t="s">
        <v>192</v>
      </c>
      <c r="C301" s="261" t="s">
        <v>4540</v>
      </c>
      <c r="D301" s="261" t="s">
        <v>4543</v>
      </c>
      <c r="E301" s="262">
        <v>2021</v>
      </c>
      <c r="F301" s="263">
        <v>12</v>
      </c>
      <c r="G301" s="260" t="s">
        <v>32</v>
      </c>
      <c r="H301" s="260" t="s">
        <v>4545</v>
      </c>
      <c r="I301" s="260">
        <v>120</v>
      </c>
      <c r="J301" s="260"/>
      <c r="K301" s="262">
        <v>13</v>
      </c>
    </row>
    <row r="302" spans="1:11" ht="13">
      <c r="A302" s="272" t="s">
        <v>4255</v>
      </c>
      <c r="B302" s="260" t="s">
        <v>185</v>
      </c>
      <c r="C302" s="261" t="s">
        <v>4540</v>
      </c>
      <c r="D302" s="261" t="s">
        <v>4546</v>
      </c>
      <c r="E302" s="262">
        <v>2023</v>
      </c>
      <c r="F302" s="263">
        <v>12</v>
      </c>
      <c r="G302" s="260" t="s">
        <v>32</v>
      </c>
      <c r="H302" s="260" t="s">
        <v>4547</v>
      </c>
      <c r="I302" s="260">
        <v>168</v>
      </c>
      <c r="J302" s="260"/>
      <c r="K302" s="262">
        <v>12</v>
      </c>
    </row>
    <row r="303" spans="1:11" ht="13">
      <c r="A303" s="272" t="s">
        <v>4255</v>
      </c>
      <c r="B303" s="260" t="s">
        <v>4548</v>
      </c>
      <c r="C303" s="262" t="s">
        <v>4540</v>
      </c>
      <c r="D303" s="261" t="s">
        <v>4546</v>
      </c>
      <c r="E303" s="262">
        <v>2024</v>
      </c>
      <c r="F303" s="263">
        <v>12</v>
      </c>
      <c r="G303" s="260" t="s">
        <v>32</v>
      </c>
      <c r="H303" s="260" t="s">
        <v>4549</v>
      </c>
      <c r="I303" s="260">
        <v>204</v>
      </c>
      <c r="J303" s="260"/>
      <c r="K303" s="262">
        <v>12</v>
      </c>
    </row>
    <row r="304" spans="1:11" ht="13">
      <c r="A304" s="272" t="s">
        <v>4255</v>
      </c>
      <c r="B304" s="260" t="s">
        <v>196</v>
      </c>
      <c r="C304" s="260" t="s">
        <v>4540</v>
      </c>
      <c r="D304" s="261" t="s">
        <v>4550</v>
      </c>
      <c r="E304" s="262">
        <v>2022</v>
      </c>
      <c r="F304" s="263">
        <v>12</v>
      </c>
      <c r="G304" s="260" t="s">
        <v>32</v>
      </c>
      <c r="H304" s="260" t="s">
        <v>4551</v>
      </c>
      <c r="I304" s="260">
        <v>120</v>
      </c>
      <c r="J304" s="260"/>
      <c r="K304" s="262">
        <v>13</v>
      </c>
    </row>
    <row r="305" spans="1:11" ht="13">
      <c r="A305" s="272" t="s">
        <v>4255</v>
      </c>
      <c r="B305" s="260" t="s">
        <v>4552</v>
      </c>
      <c r="C305" s="262" t="s">
        <v>4540</v>
      </c>
      <c r="D305" s="261" t="s">
        <v>4553</v>
      </c>
      <c r="E305" s="262">
        <v>2024</v>
      </c>
      <c r="F305" s="263">
        <v>12</v>
      </c>
      <c r="G305" s="260" t="s">
        <v>32</v>
      </c>
      <c r="H305" s="260" t="s">
        <v>4554</v>
      </c>
      <c r="I305" s="260">
        <v>180</v>
      </c>
      <c r="J305" s="260"/>
      <c r="K305" s="262">
        <v>13</v>
      </c>
    </row>
    <row r="306" spans="1:11" ht="13">
      <c r="A306" s="272" t="s">
        <v>4255</v>
      </c>
      <c r="B306" s="260" t="s">
        <v>1223</v>
      </c>
      <c r="C306" s="262" t="s">
        <v>4555</v>
      </c>
      <c r="D306" s="260" t="s">
        <v>4556</v>
      </c>
      <c r="E306" s="262">
        <v>2022</v>
      </c>
      <c r="F306" s="263">
        <v>12</v>
      </c>
      <c r="G306" s="260" t="s">
        <v>32</v>
      </c>
      <c r="H306" s="260" t="s">
        <v>4315</v>
      </c>
      <c r="I306" s="260">
        <v>276</v>
      </c>
      <c r="J306" s="260"/>
      <c r="K306" s="262">
        <v>12.5</v>
      </c>
    </row>
    <row r="307" spans="1:11" ht="13">
      <c r="A307" s="272" t="s">
        <v>4255</v>
      </c>
      <c r="B307" s="262" t="s">
        <v>1221</v>
      </c>
      <c r="C307" s="262" t="s">
        <v>4555</v>
      </c>
      <c r="D307" s="261" t="s">
        <v>4557</v>
      </c>
      <c r="E307" s="262">
        <v>2022</v>
      </c>
      <c r="F307" s="263">
        <v>12</v>
      </c>
      <c r="G307" s="260" t="s">
        <v>32</v>
      </c>
      <c r="H307" s="260" t="s">
        <v>4504</v>
      </c>
      <c r="I307" s="260">
        <v>276</v>
      </c>
      <c r="J307" s="260"/>
      <c r="K307" s="262">
        <v>12</v>
      </c>
    </row>
    <row r="308" spans="1:11" ht="13">
      <c r="A308" s="272" t="s">
        <v>4255</v>
      </c>
      <c r="B308" s="260" t="s">
        <v>1662</v>
      </c>
      <c r="C308" s="262" t="s">
        <v>4558</v>
      </c>
      <c r="D308" s="261" t="s">
        <v>4559</v>
      </c>
      <c r="E308" s="262">
        <v>2021</v>
      </c>
      <c r="F308" s="263">
        <v>6</v>
      </c>
      <c r="G308" s="260" t="s">
        <v>32</v>
      </c>
      <c r="H308" s="260" t="s">
        <v>4560</v>
      </c>
      <c r="I308" s="260">
        <v>78</v>
      </c>
      <c r="J308" s="260"/>
      <c r="K308" s="262">
        <v>12</v>
      </c>
    </row>
    <row r="309" spans="1:11" ht="13">
      <c r="A309" s="272" t="s">
        <v>4255</v>
      </c>
      <c r="B309" s="262" t="s">
        <v>1660</v>
      </c>
      <c r="C309" s="262" t="s">
        <v>4558</v>
      </c>
      <c r="D309" s="261" t="s">
        <v>4561</v>
      </c>
      <c r="E309" s="262">
        <v>2021</v>
      </c>
      <c r="F309" s="263">
        <v>6</v>
      </c>
      <c r="G309" s="260" t="s">
        <v>32</v>
      </c>
      <c r="H309" s="260" t="s">
        <v>4562</v>
      </c>
      <c r="I309" s="260">
        <v>96</v>
      </c>
      <c r="J309" s="260"/>
      <c r="K309" s="262">
        <v>9.5</v>
      </c>
    </row>
    <row r="310" spans="1:11" ht="13">
      <c r="A310" s="272" t="s">
        <v>4255</v>
      </c>
      <c r="B310" s="260" t="s">
        <v>1665</v>
      </c>
      <c r="C310" s="262" t="s">
        <v>4558</v>
      </c>
      <c r="D310" s="261" t="s">
        <v>4563</v>
      </c>
      <c r="E310" s="262">
        <v>2021</v>
      </c>
      <c r="F310" s="263">
        <v>6</v>
      </c>
      <c r="G310" s="260" t="s">
        <v>32</v>
      </c>
      <c r="H310" s="260" t="s">
        <v>4564</v>
      </c>
      <c r="I310" s="260">
        <v>84</v>
      </c>
      <c r="J310" s="260"/>
      <c r="K310" s="262">
        <v>9.5</v>
      </c>
    </row>
    <row r="311" spans="1:11" ht="13">
      <c r="A311" s="272" t="s">
        <v>4255</v>
      </c>
      <c r="B311" s="262" t="s">
        <v>335</v>
      </c>
      <c r="C311" s="262" t="s">
        <v>4565</v>
      </c>
      <c r="D311" s="260" t="s">
        <v>4566</v>
      </c>
      <c r="E311" s="262">
        <v>2019</v>
      </c>
      <c r="F311" s="263">
        <v>12</v>
      </c>
      <c r="G311" s="260" t="s">
        <v>32</v>
      </c>
      <c r="H311" s="260" t="s">
        <v>4051</v>
      </c>
      <c r="I311" s="260">
        <v>180</v>
      </c>
      <c r="J311" s="260"/>
      <c r="K311" s="262">
        <v>12.5</v>
      </c>
    </row>
    <row r="312" spans="1:11" ht="13">
      <c r="A312" s="272" t="s">
        <v>4255</v>
      </c>
      <c r="B312" s="262" t="s">
        <v>355</v>
      </c>
      <c r="C312" s="260" t="s">
        <v>4565</v>
      </c>
      <c r="D312" s="261" t="s">
        <v>4567</v>
      </c>
      <c r="E312" s="262">
        <v>2019</v>
      </c>
      <c r="F312" s="263">
        <v>12</v>
      </c>
      <c r="G312" s="260" t="s">
        <v>32</v>
      </c>
      <c r="H312" s="260" t="s">
        <v>3983</v>
      </c>
      <c r="I312" s="260">
        <v>198</v>
      </c>
      <c r="J312" s="260"/>
      <c r="K312" s="262">
        <v>14</v>
      </c>
    </row>
    <row r="313" spans="1:11" ht="13">
      <c r="A313" s="272" t="s">
        <v>4255</v>
      </c>
      <c r="B313" s="260" t="s">
        <v>1700</v>
      </c>
      <c r="C313" s="262" t="s">
        <v>4568</v>
      </c>
      <c r="D313" s="261" t="s">
        <v>4569</v>
      </c>
      <c r="E313" s="262">
        <v>2023</v>
      </c>
      <c r="F313" s="263">
        <v>12</v>
      </c>
      <c r="G313" s="260" t="s">
        <v>32</v>
      </c>
      <c r="H313" s="260" t="s">
        <v>4310</v>
      </c>
      <c r="I313" s="260">
        <v>126</v>
      </c>
      <c r="J313" s="260"/>
      <c r="K313" s="262">
        <v>14</v>
      </c>
    </row>
    <row r="314" spans="1:11" ht="13">
      <c r="A314" s="272" t="s">
        <v>4255</v>
      </c>
      <c r="B314" s="262" t="s">
        <v>1708</v>
      </c>
      <c r="C314" s="262" t="s">
        <v>4568</v>
      </c>
      <c r="D314" s="260" t="s">
        <v>4570</v>
      </c>
      <c r="E314" s="262">
        <v>2023</v>
      </c>
      <c r="F314" s="263">
        <v>12</v>
      </c>
      <c r="G314" s="260" t="s">
        <v>32</v>
      </c>
      <c r="H314" s="260" t="s">
        <v>4232</v>
      </c>
      <c r="I314" s="260">
        <v>120</v>
      </c>
      <c r="J314" s="260"/>
      <c r="K314" s="262">
        <v>14</v>
      </c>
    </row>
    <row r="315" spans="1:11" ht="13">
      <c r="A315" s="272" t="s">
        <v>4255</v>
      </c>
      <c r="B315" s="260" t="s">
        <v>1702</v>
      </c>
      <c r="C315" s="262" t="s">
        <v>4568</v>
      </c>
      <c r="D315" s="261" t="s">
        <v>1406</v>
      </c>
      <c r="E315" s="262">
        <v>2023</v>
      </c>
      <c r="F315" s="263">
        <v>12</v>
      </c>
      <c r="G315" s="260" t="s">
        <v>32</v>
      </c>
      <c r="H315" s="260" t="s">
        <v>4066</v>
      </c>
      <c r="I315" s="260">
        <v>144</v>
      </c>
      <c r="J315" s="260"/>
      <c r="K315" s="262">
        <v>12.5</v>
      </c>
    </row>
    <row r="316" spans="1:11" ht="13">
      <c r="A316" s="272" t="s">
        <v>4255</v>
      </c>
      <c r="B316" s="260" t="s">
        <v>396</v>
      </c>
      <c r="C316" s="262" t="s">
        <v>4571</v>
      </c>
      <c r="D316" s="261" t="s">
        <v>4572</v>
      </c>
      <c r="E316" s="262" t="s">
        <v>5</v>
      </c>
      <c r="F316" s="263">
        <v>12</v>
      </c>
      <c r="G316" s="260" t="s">
        <v>32</v>
      </c>
      <c r="H316" s="260" t="s">
        <v>4573</v>
      </c>
      <c r="I316" s="260">
        <v>144</v>
      </c>
      <c r="J316" s="260"/>
      <c r="K316" s="262">
        <v>12.5</v>
      </c>
    </row>
    <row r="317" spans="1:11" ht="13">
      <c r="A317" s="272" t="s">
        <v>4255</v>
      </c>
      <c r="B317" s="260" t="s">
        <v>414</v>
      </c>
      <c r="C317" s="260" t="s">
        <v>4571</v>
      </c>
      <c r="D317" s="261" t="s">
        <v>4574</v>
      </c>
      <c r="E317" s="262">
        <v>2022</v>
      </c>
      <c r="F317" s="263">
        <v>12</v>
      </c>
      <c r="G317" s="260" t="s">
        <v>32</v>
      </c>
      <c r="H317" s="260" t="s">
        <v>4575</v>
      </c>
      <c r="I317" s="260">
        <v>168</v>
      </c>
      <c r="J317" s="260"/>
      <c r="K317" s="262">
        <v>12</v>
      </c>
    </row>
    <row r="318" spans="1:11" ht="13">
      <c r="A318" s="272" t="s">
        <v>4255</v>
      </c>
      <c r="B318" s="260" t="s">
        <v>402</v>
      </c>
      <c r="C318" s="260" t="s">
        <v>4571</v>
      </c>
      <c r="D318" s="261" t="s">
        <v>4576</v>
      </c>
      <c r="E318" s="262">
        <v>2023</v>
      </c>
      <c r="F318" s="263">
        <v>12</v>
      </c>
      <c r="G318" s="260" t="s">
        <v>32</v>
      </c>
      <c r="H318" s="260" t="s">
        <v>4577</v>
      </c>
      <c r="I318" s="260">
        <v>144</v>
      </c>
      <c r="J318" s="260"/>
      <c r="K318" s="262">
        <v>12.5</v>
      </c>
    </row>
    <row r="319" spans="1:11" ht="13">
      <c r="A319" s="272" t="s">
        <v>4255</v>
      </c>
      <c r="B319" s="260" t="s">
        <v>400</v>
      </c>
      <c r="C319" s="260" t="s">
        <v>4571</v>
      </c>
      <c r="D319" s="261" t="s">
        <v>4578</v>
      </c>
      <c r="E319" s="262">
        <v>2023</v>
      </c>
      <c r="F319" s="263">
        <v>12</v>
      </c>
      <c r="G319" s="260" t="s">
        <v>32</v>
      </c>
      <c r="H319" s="260" t="s">
        <v>4579</v>
      </c>
      <c r="I319" s="260">
        <v>174</v>
      </c>
      <c r="J319" s="260"/>
      <c r="K319" s="262">
        <v>12.5</v>
      </c>
    </row>
    <row r="320" spans="1:11" ht="13">
      <c r="A320" s="272" t="s">
        <v>4255</v>
      </c>
      <c r="B320" s="262" t="s">
        <v>411</v>
      </c>
      <c r="C320" s="262" t="s">
        <v>4571</v>
      </c>
      <c r="D320" s="261" t="s">
        <v>4580</v>
      </c>
      <c r="E320" s="262">
        <v>2022</v>
      </c>
      <c r="F320" s="263">
        <v>12</v>
      </c>
      <c r="G320" s="260" t="s">
        <v>32</v>
      </c>
      <c r="H320" s="260" t="s">
        <v>4581</v>
      </c>
      <c r="I320" s="260">
        <v>156</v>
      </c>
      <c r="J320" s="260"/>
      <c r="K320" s="262">
        <v>12</v>
      </c>
    </row>
    <row r="321" spans="1:11" ht="13">
      <c r="A321" s="272" t="s">
        <v>4255</v>
      </c>
      <c r="B321" s="262" t="s">
        <v>1142</v>
      </c>
      <c r="C321" s="262" t="s">
        <v>4582</v>
      </c>
      <c r="D321" s="261" t="s">
        <v>4583</v>
      </c>
      <c r="E321" s="262">
        <v>2023</v>
      </c>
      <c r="F321" s="263">
        <v>12</v>
      </c>
      <c r="G321" s="260" t="s">
        <v>32</v>
      </c>
      <c r="H321" s="260" t="s">
        <v>4584</v>
      </c>
      <c r="I321" s="260">
        <v>192</v>
      </c>
      <c r="J321" s="260"/>
      <c r="K321" s="262">
        <v>12.5</v>
      </c>
    </row>
    <row r="322" spans="1:11" ht="13">
      <c r="A322" s="272" t="s">
        <v>4255</v>
      </c>
      <c r="B322" s="262" t="s">
        <v>1146</v>
      </c>
      <c r="C322" s="262" t="s">
        <v>4582</v>
      </c>
      <c r="D322" s="261" t="s">
        <v>4585</v>
      </c>
      <c r="E322" s="262">
        <v>2022</v>
      </c>
      <c r="F322" s="263">
        <v>12</v>
      </c>
      <c r="G322" s="260" t="s">
        <v>32</v>
      </c>
      <c r="H322" s="260" t="s">
        <v>3993</v>
      </c>
      <c r="I322" s="260">
        <v>192</v>
      </c>
      <c r="J322" s="260"/>
      <c r="K322" s="262">
        <v>12.5</v>
      </c>
    </row>
    <row r="323" spans="1:11" ht="13">
      <c r="A323" s="272" t="s">
        <v>4255</v>
      </c>
      <c r="B323" s="260" t="s">
        <v>1144</v>
      </c>
      <c r="C323" s="260" t="s">
        <v>4582</v>
      </c>
      <c r="D323" s="261" t="s">
        <v>4585</v>
      </c>
      <c r="E323" s="262">
        <v>2023</v>
      </c>
      <c r="F323" s="263">
        <v>12</v>
      </c>
      <c r="G323" s="260" t="s">
        <v>32</v>
      </c>
      <c r="H323" s="260" t="s">
        <v>4586</v>
      </c>
      <c r="I323" s="260">
        <v>192</v>
      </c>
      <c r="J323" s="260"/>
      <c r="K323" s="262">
        <v>12.5</v>
      </c>
    </row>
    <row r="324" spans="1:11" ht="13">
      <c r="A324" s="272" t="s">
        <v>4255</v>
      </c>
      <c r="B324" s="260" t="s">
        <v>4587</v>
      </c>
      <c r="C324" s="262" t="s">
        <v>4588</v>
      </c>
      <c r="D324" s="261" t="s">
        <v>4589</v>
      </c>
      <c r="E324" s="262">
        <v>2022</v>
      </c>
      <c r="F324" s="263">
        <v>12</v>
      </c>
      <c r="G324" s="260" t="s">
        <v>32</v>
      </c>
      <c r="H324" s="260" t="s">
        <v>4590</v>
      </c>
      <c r="I324" s="260">
        <v>108</v>
      </c>
      <c r="J324" s="260"/>
      <c r="K324" s="262">
        <v>11.5</v>
      </c>
    </row>
    <row r="325" spans="1:11" ht="13">
      <c r="A325" s="272" t="s">
        <v>4255</v>
      </c>
      <c r="B325" s="260" t="s">
        <v>4591</v>
      </c>
      <c r="C325" s="262" t="s">
        <v>4592</v>
      </c>
      <c r="D325" s="261" t="s">
        <v>4593</v>
      </c>
      <c r="E325" s="262">
        <v>2023</v>
      </c>
      <c r="F325" s="263">
        <v>6</v>
      </c>
      <c r="G325" s="260" t="s">
        <v>32</v>
      </c>
      <c r="H325" s="260" t="s">
        <v>4293</v>
      </c>
      <c r="I325" s="260">
        <v>69</v>
      </c>
      <c r="J325" s="260"/>
      <c r="K325" s="262">
        <v>0</v>
      </c>
    </row>
    <row r="326" spans="1:11" ht="13">
      <c r="A326" s="272" t="s">
        <v>4255</v>
      </c>
      <c r="B326" s="260" t="s">
        <v>4594</v>
      </c>
      <c r="C326" s="262" t="s">
        <v>4592</v>
      </c>
      <c r="D326" s="261" t="s">
        <v>4595</v>
      </c>
      <c r="E326" s="262">
        <v>2023</v>
      </c>
      <c r="F326" s="263">
        <v>6</v>
      </c>
      <c r="G326" s="260" t="s">
        <v>32</v>
      </c>
      <c r="H326" s="260" t="s">
        <v>4528</v>
      </c>
      <c r="I326" s="260">
        <v>123</v>
      </c>
      <c r="J326" s="260"/>
      <c r="K326" s="262">
        <v>0</v>
      </c>
    </row>
    <row r="327" spans="1:11" ht="13">
      <c r="A327" s="272" t="s">
        <v>4255</v>
      </c>
      <c r="B327" s="260" t="s">
        <v>1647</v>
      </c>
      <c r="C327" s="262" t="s">
        <v>4592</v>
      </c>
      <c r="D327" s="261" t="s">
        <v>4596</v>
      </c>
      <c r="E327" s="262">
        <v>2022</v>
      </c>
      <c r="F327" s="263">
        <v>6</v>
      </c>
      <c r="G327" s="260" t="s">
        <v>32</v>
      </c>
      <c r="H327" s="260" t="s">
        <v>4400</v>
      </c>
      <c r="I327" s="260">
        <v>84</v>
      </c>
      <c r="J327" s="260"/>
      <c r="K327" s="262">
        <v>12</v>
      </c>
    </row>
    <row r="328" spans="1:11" ht="13">
      <c r="A328" s="272" t="s">
        <v>4255</v>
      </c>
      <c r="B328" s="260" t="s">
        <v>1645</v>
      </c>
      <c r="C328" s="262" t="s">
        <v>4592</v>
      </c>
      <c r="D328" s="261" t="s">
        <v>4597</v>
      </c>
      <c r="E328" s="262">
        <v>2022</v>
      </c>
      <c r="F328" s="263">
        <v>6</v>
      </c>
      <c r="G328" s="260" t="s">
        <v>32</v>
      </c>
      <c r="H328" s="260" t="s">
        <v>4598</v>
      </c>
      <c r="I328" s="260">
        <v>66</v>
      </c>
      <c r="J328" s="260"/>
      <c r="K328" s="262">
        <v>13.5</v>
      </c>
    </row>
    <row r="329" spans="1:11" ht="13">
      <c r="A329" s="272" t="s">
        <v>4255</v>
      </c>
      <c r="B329" s="260" t="s">
        <v>4599</v>
      </c>
      <c r="C329" s="260" t="s">
        <v>4600</v>
      </c>
      <c r="D329" s="261" t="s">
        <v>4601</v>
      </c>
      <c r="E329" s="262">
        <v>2022</v>
      </c>
      <c r="F329" s="263">
        <v>12</v>
      </c>
      <c r="G329" s="260" t="s">
        <v>32</v>
      </c>
      <c r="H329" s="260" t="s">
        <v>4076</v>
      </c>
      <c r="I329" s="260">
        <v>198</v>
      </c>
      <c r="J329" s="260"/>
      <c r="K329" s="262">
        <v>14</v>
      </c>
    </row>
    <row r="330" spans="1:11" ht="13">
      <c r="A330" s="272" t="s">
        <v>4255</v>
      </c>
      <c r="B330" s="260" t="s">
        <v>2</v>
      </c>
      <c r="C330" s="262" t="s">
        <v>4602</v>
      </c>
      <c r="D330" s="260" t="s">
        <v>4603</v>
      </c>
      <c r="E330" s="262" t="s">
        <v>5</v>
      </c>
      <c r="F330" s="263">
        <v>48</v>
      </c>
      <c r="G330" s="260" t="s">
        <v>6</v>
      </c>
      <c r="H330" s="260" t="s">
        <v>4604</v>
      </c>
      <c r="I330" s="260">
        <v>192</v>
      </c>
      <c r="J330" s="260"/>
      <c r="K330" s="262">
        <v>12</v>
      </c>
    </row>
    <row r="331" spans="1:11" ht="13">
      <c r="A331" s="272" t="s">
        <v>4255</v>
      </c>
      <c r="B331" s="260" t="s">
        <v>12</v>
      </c>
      <c r="C331" s="262" t="s">
        <v>4602</v>
      </c>
      <c r="D331" s="261" t="s">
        <v>4605</v>
      </c>
      <c r="E331" s="262" t="s">
        <v>5</v>
      </c>
      <c r="F331" s="263">
        <v>48</v>
      </c>
      <c r="G331" s="260" t="s">
        <v>6</v>
      </c>
      <c r="H331" s="260" t="s">
        <v>4606</v>
      </c>
      <c r="I331" s="260">
        <v>156</v>
      </c>
      <c r="J331" s="260"/>
      <c r="K331" s="262">
        <v>12</v>
      </c>
    </row>
    <row r="332" spans="1:11" ht="13">
      <c r="A332" s="272" t="s">
        <v>4255</v>
      </c>
      <c r="B332" s="260" t="s">
        <v>7</v>
      </c>
      <c r="C332" s="262" t="s">
        <v>4602</v>
      </c>
      <c r="D332" s="261" t="s">
        <v>4607</v>
      </c>
      <c r="E332" s="262" t="s">
        <v>5</v>
      </c>
      <c r="F332" s="263">
        <v>48</v>
      </c>
      <c r="G332" s="260" t="s">
        <v>6</v>
      </c>
      <c r="H332" s="260" t="s">
        <v>4608</v>
      </c>
      <c r="I332" s="260">
        <v>180</v>
      </c>
      <c r="J332" s="260"/>
      <c r="K332" s="262">
        <v>12</v>
      </c>
    </row>
    <row r="333" spans="1:11" ht="13">
      <c r="A333" s="272" t="s">
        <v>4255</v>
      </c>
      <c r="B333" s="260" t="s">
        <v>10</v>
      </c>
      <c r="C333" s="260" t="s">
        <v>4602</v>
      </c>
      <c r="D333" s="261" t="s">
        <v>4609</v>
      </c>
      <c r="E333" s="262" t="s">
        <v>5</v>
      </c>
      <c r="F333" s="263">
        <v>48</v>
      </c>
      <c r="G333" s="260" t="s">
        <v>6</v>
      </c>
      <c r="H333" s="260" t="s">
        <v>4610</v>
      </c>
      <c r="I333" s="260">
        <v>180</v>
      </c>
      <c r="J333" s="260"/>
      <c r="K333" s="262">
        <v>12</v>
      </c>
    </row>
    <row r="334" spans="1:11" ht="13">
      <c r="A334" s="272" t="s">
        <v>4255</v>
      </c>
      <c r="B334" s="260" t="s">
        <v>21</v>
      </c>
      <c r="C334" s="262" t="s">
        <v>4602</v>
      </c>
      <c r="D334" s="261" t="s">
        <v>4611</v>
      </c>
      <c r="E334" s="262" t="s">
        <v>5</v>
      </c>
      <c r="F334" s="263">
        <v>48</v>
      </c>
      <c r="G334" s="260" t="s">
        <v>6</v>
      </c>
      <c r="H334" s="260" t="s">
        <v>4612</v>
      </c>
      <c r="I334" s="260">
        <v>192</v>
      </c>
      <c r="J334" s="260"/>
      <c r="K334" s="262">
        <v>12.5</v>
      </c>
    </row>
    <row r="335" spans="1:11" ht="13">
      <c r="A335" s="272" t="s">
        <v>4255</v>
      </c>
      <c r="B335" s="260" t="s">
        <v>18</v>
      </c>
      <c r="C335" s="262" t="s">
        <v>4602</v>
      </c>
      <c r="D335" s="261" t="s">
        <v>4613</v>
      </c>
      <c r="E335" s="262" t="s">
        <v>5</v>
      </c>
      <c r="F335" s="263">
        <v>48</v>
      </c>
      <c r="G335" s="260" t="s">
        <v>6</v>
      </c>
      <c r="H335" s="260" t="s">
        <v>4614</v>
      </c>
      <c r="I335" s="260">
        <v>156</v>
      </c>
      <c r="J335" s="260"/>
      <c r="K335" s="262">
        <v>11</v>
      </c>
    </row>
    <row r="336" spans="1:11" ht="13">
      <c r="A336" s="272" t="s">
        <v>4255</v>
      </c>
      <c r="B336" s="260" t="s">
        <v>665</v>
      </c>
      <c r="C336" s="260" t="s">
        <v>4615</v>
      </c>
      <c r="D336" s="261" t="s">
        <v>973</v>
      </c>
      <c r="E336" s="262">
        <v>2021</v>
      </c>
      <c r="F336" s="263">
        <v>12</v>
      </c>
      <c r="G336" s="260" t="s">
        <v>32</v>
      </c>
      <c r="H336" s="260" t="s">
        <v>4285</v>
      </c>
      <c r="I336" s="260">
        <v>342</v>
      </c>
      <c r="J336" s="260"/>
      <c r="K336" s="262">
        <v>13</v>
      </c>
    </row>
    <row r="337" spans="1:11" ht="13">
      <c r="A337" s="272" t="s">
        <v>4255</v>
      </c>
      <c r="B337" s="260" t="s">
        <v>620</v>
      </c>
      <c r="C337" s="262" t="s">
        <v>4615</v>
      </c>
      <c r="D337" s="261" t="s">
        <v>4616</v>
      </c>
      <c r="E337" s="262">
        <v>2022</v>
      </c>
      <c r="F337" s="263">
        <v>12</v>
      </c>
      <c r="G337" s="260" t="s">
        <v>32</v>
      </c>
      <c r="H337" s="260" t="s">
        <v>4261</v>
      </c>
      <c r="I337" s="260">
        <v>276</v>
      </c>
      <c r="J337" s="260"/>
      <c r="K337" s="262">
        <v>12.5</v>
      </c>
    </row>
    <row r="338" spans="1:11" ht="13">
      <c r="A338" s="272" t="s">
        <v>4255</v>
      </c>
      <c r="B338" s="260" t="s">
        <v>614</v>
      </c>
      <c r="C338" s="260" t="s">
        <v>4615</v>
      </c>
      <c r="D338" s="261" t="s">
        <v>4617</v>
      </c>
      <c r="E338" s="262" t="s">
        <v>5</v>
      </c>
      <c r="F338" s="263">
        <v>6</v>
      </c>
      <c r="G338" s="260" t="s">
        <v>32</v>
      </c>
      <c r="H338" s="260" t="s">
        <v>4618</v>
      </c>
      <c r="I338" s="260">
        <v>123</v>
      </c>
      <c r="J338" s="260"/>
      <c r="K338" s="262">
        <v>11.5</v>
      </c>
    </row>
    <row r="339" spans="1:11" ht="13">
      <c r="A339" s="272" t="s">
        <v>4255</v>
      </c>
      <c r="B339" s="260" t="s">
        <v>615</v>
      </c>
      <c r="C339" s="262" t="s">
        <v>4615</v>
      </c>
      <c r="D339" s="261" t="s">
        <v>4619</v>
      </c>
      <c r="E339" s="262" t="s">
        <v>5</v>
      </c>
      <c r="F339" s="263">
        <v>6</v>
      </c>
      <c r="G339" s="260" t="s">
        <v>32</v>
      </c>
      <c r="H339" s="260" t="s">
        <v>4620</v>
      </c>
      <c r="I339" s="260">
        <v>123</v>
      </c>
      <c r="J339" s="260"/>
      <c r="K339" s="262">
        <v>11.5</v>
      </c>
    </row>
    <row r="340" spans="1:11" ht="13">
      <c r="A340" s="272" t="s">
        <v>4255</v>
      </c>
      <c r="B340" s="260" t="s">
        <v>644</v>
      </c>
      <c r="C340" s="262" t="s">
        <v>4615</v>
      </c>
      <c r="D340" s="261" t="s">
        <v>4621</v>
      </c>
      <c r="E340" s="262">
        <v>2021</v>
      </c>
      <c r="F340" s="263">
        <v>12</v>
      </c>
      <c r="G340" s="260" t="s">
        <v>32</v>
      </c>
      <c r="H340" s="260" t="s">
        <v>4295</v>
      </c>
      <c r="I340" s="260">
        <v>492</v>
      </c>
      <c r="J340" s="260"/>
      <c r="K340" s="262">
        <v>13</v>
      </c>
    </row>
    <row r="341" spans="1:11" ht="13">
      <c r="A341" s="272" t="s">
        <v>4255</v>
      </c>
      <c r="B341" s="260" t="s">
        <v>646</v>
      </c>
      <c r="C341" s="260" t="s">
        <v>4615</v>
      </c>
      <c r="D341" s="261" t="s">
        <v>4621</v>
      </c>
      <c r="E341" s="262">
        <v>2022</v>
      </c>
      <c r="F341" s="263">
        <v>12</v>
      </c>
      <c r="G341" s="260" t="s">
        <v>32</v>
      </c>
      <c r="H341" s="260" t="s">
        <v>4522</v>
      </c>
      <c r="I341" s="260">
        <v>396</v>
      </c>
      <c r="J341" s="260"/>
      <c r="K341" s="262">
        <v>13</v>
      </c>
    </row>
    <row r="342" spans="1:11" ht="13">
      <c r="A342" s="272" t="s">
        <v>4255</v>
      </c>
      <c r="B342" s="260" t="s">
        <v>636</v>
      </c>
      <c r="C342" s="260" t="s">
        <v>4615</v>
      </c>
      <c r="D342" s="261" t="s">
        <v>4622</v>
      </c>
      <c r="E342" s="262">
        <v>2022</v>
      </c>
      <c r="F342" s="263">
        <v>12</v>
      </c>
      <c r="G342" s="260" t="s">
        <v>32</v>
      </c>
      <c r="H342" s="260" t="s">
        <v>4264</v>
      </c>
      <c r="I342" s="260">
        <v>552</v>
      </c>
      <c r="J342" s="260"/>
      <c r="K342" s="262">
        <v>13</v>
      </c>
    </row>
    <row r="343" spans="1:11" ht="13">
      <c r="A343" s="272" t="s">
        <v>4255</v>
      </c>
      <c r="B343" s="260" t="s">
        <v>640</v>
      </c>
      <c r="C343" s="260" t="s">
        <v>4615</v>
      </c>
      <c r="D343" s="261" t="s">
        <v>999</v>
      </c>
      <c r="E343" s="262">
        <v>2021</v>
      </c>
      <c r="F343" s="263">
        <v>12</v>
      </c>
      <c r="G343" s="260" t="s">
        <v>32</v>
      </c>
      <c r="H343" s="260" t="s">
        <v>4262</v>
      </c>
      <c r="I343" s="260">
        <v>492</v>
      </c>
      <c r="J343" s="260"/>
      <c r="K343" s="262">
        <v>13</v>
      </c>
    </row>
    <row r="344" spans="1:11" ht="13">
      <c r="A344" s="272" t="s">
        <v>4255</v>
      </c>
      <c r="B344" s="260" t="s">
        <v>638</v>
      </c>
      <c r="C344" s="260" t="s">
        <v>4615</v>
      </c>
      <c r="D344" s="261" t="s">
        <v>639</v>
      </c>
      <c r="E344" s="262">
        <v>2022</v>
      </c>
      <c r="F344" s="263">
        <v>12</v>
      </c>
      <c r="G344" s="260" t="s">
        <v>32</v>
      </c>
      <c r="H344" s="260" t="s">
        <v>4042</v>
      </c>
      <c r="I344" s="260">
        <v>432</v>
      </c>
      <c r="J344" s="260"/>
      <c r="K344" s="262">
        <v>12.5</v>
      </c>
    </row>
    <row r="345" spans="1:11" ht="13">
      <c r="A345" s="272" t="s">
        <v>4255</v>
      </c>
      <c r="B345" s="260" t="s">
        <v>659</v>
      </c>
      <c r="C345" s="260" t="s">
        <v>4615</v>
      </c>
      <c r="D345" s="261" t="s">
        <v>4623</v>
      </c>
      <c r="E345" s="262">
        <v>2022</v>
      </c>
      <c r="F345" s="263">
        <v>12</v>
      </c>
      <c r="G345" s="260" t="s">
        <v>32</v>
      </c>
      <c r="H345" s="260" t="s">
        <v>3983</v>
      </c>
      <c r="I345" s="260">
        <v>1296</v>
      </c>
      <c r="J345" s="260"/>
      <c r="K345" s="262">
        <v>13</v>
      </c>
    </row>
    <row r="346" spans="1:11" ht="13">
      <c r="A346" s="272" t="s">
        <v>4255</v>
      </c>
      <c r="B346" s="260" t="s">
        <v>1343</v>
      </c>
      <c r="C346" s="260" t="s">
        <v>4624</v>
      </c>
      <c r="D346" s="261" t="s">
        <v>4625</v>
      </c>
      <c r="E346" s="262" t="s">
        <v>5</v>
      </c>
      <c r="F346" s="263">
        <v>12</v>
      </c>
      <c r="G346" s="260" t="s">
        <v>32</v>
      </c>
      <c r="H346" s="260" t="s">
        <v>4626</v>
      </c>
      <c r="I346" s="260">
        <v>150</v>
      </c>
      <c r="J346" s="260"/>
      <c r="K346" s="262">
        <v>13</v>
      </c>
    </row>
    <row r="347" spans="1:11" ht="13">
      <c r="A347" s="272" t="s">
        <v>4255</v>
      </c>
      <c r="B347" s="260" t="s">
        <v>1326</v>
      </c>
      <c r="C347" s="260" t="s">
        <v>4624</v>
      </c>
      <c r="D347" s="261" t="s">
        <v>4627</v>
      </c>
      <c r="E347" s="262" t="s">
        <v>5</v>
      </c>
      <c r="F347" s="263">
        <v>12</v>
      </c>
      <c r="G347" s="260" t="s">
        <v>32</v>
      </c>
      <c r="H347" s="260" t="s">
        <v>4628</v>
      </c>
      <c r="I347" s="260">
        <v>174</v>
      </c>
      <c r="J347" s="260"/>
      <c r="K347" s="262">
        <v>12</v>
      </c>
    </row>
    <row r="348" spans="1:11" ht="13">
      <c r="A348" s="272" t="s">
        <v>4255</v>
      </c>
      <c r="B348" s="260" t="s">
        <v>4629</v>
      </c>
      <c r="C348" s="260" t="s">
        <v>4624</v>
      </c>
      <c r="D348" s="261" t="s">
        <v>4630</v>
      </c>
      <c r="E348" s="262" t="s">
        <v>5</v>
      </c>
      <c r="F348" s="263">
        <v>12</v>
      </c>
      <c r="G348" s="260" t="s">
        <v>32</v>
      </c>
      <c r="H348" s="260" t="s">
        <v>4010</v>
      </c>
      <c r="I348" s="260">
        <v>144</v>
      </c>
      <c r="J348" s="260"/>
      <c r="K348" s="262">
        <v>13</v>
      </c>
    </row>
    <row r="349" spans="1:11" ht="13">
      <c r="A349" s="272" t="s">
        <v>4255</v>
      </c>
      <c r="B349" s="260" t="s">
        <v>1338</v>
      </c>
      <c r="C349" s="260" t="s">
        <v>4624</v>
      </c>
      <c r="D349" s="261" t="s">
        <v>4631</v>
      </c>
      <c r="E349" s="262" t="s">
        <v>5</v>
      </c>
      <c r="F349" s="263">
        <v>12</v>
      </c>
      <c r="G349" s="260" t="s">
        <v>32</v>
      </c>
      <c r="H349" s="260" t="s">
        <v>4251</v>
      </c>
      <c r="I349" s="260">
        <v>138</v>
      </c>
      <c r="J349" s="260"/>
      <c r="K349" s="262">
        <v>14</v>
      </c>
    </row>
    <row r="350" spans="1:11" ht="13">
      <c r="A350" s="272" t="s">
        <v>4255</v>
      </c>
      <c r="B350" s="260" t="s">
        <v>4632</v>
      </c>
      <c r="C350" s="260" t="s">
        <v>4624</v>
      </c>
      <c r="D350" s="261" t="s">
        <v>4633</v>
      </c>
      <c r="E350" s="262" t="s">
        <v>5</v>
      </c>
      <c r="F350" s="263">
        <v>12</v>
      </c>
      <c r="G350" s="260" t="s">
        <v>32</v>
      </c>
      <c r="H350" s="260" t="s">
        <v>4040</v>
      </c>
      <c r="I350" s="260">
        <v>156</v>
      </c>
      <c r="J350" s="260"/>
      <c r="K350" s="262">
        <v>10.5</v>
      </c>
    </row>
    <row r="351" spans="1:11" ht="13">
      <c r="A351" s="272" t="s">
        <v>4255</v>
      </c>
      <c r="B351" s="260" t="s">
        <v>1348</v>
      </c>
      <c r="C351" s="260" t="s">
        <v>4624</v>
      </c>
      <c r="D351" s="261" t="s">
        <v>4634</v>
      </c>
      <c r="E351" s="262" t="s">
        <v>5</v>
      </c>
      <c r="F351" s="263">
        <v>12</v>
      </c>
      <c r="G351" s="260" t="s">
        <v>32</v>
      </c>
      <c r="H351" s="260" t="s">
        <v>4315</v>
      </c>
      <c r="I351" s="260">
        <v>132</v>
      </c>
      <c r="J351" s="260"/>
      <c r="K351" s="262">
        <v>13</v>
      </c>
    </row>
    <row r="352" spans="1:11" ht="13">
      <c r="A352" s="272" t="s">
        <v>4255</v>
      </c>
      <c r="B352" s="260" t="s">
        <v>494</v>
      </c>
      <c r="C352" s="260" t="s">
        <v>4635</v>
      </c>
      <c r="D352" s="261" t="s">
        <v>4636</v>
      </c>
      <c r="E352" s="262">
        <v>2022</v>
      </c>
      <c r="F352" s="263">
        <v>12</v>
      </c>
      <c r="G352" s="260" t="s">
        <v>32</v>
      </c>
      <c r="H352" s="260" t="s">
        <v>4637</v>
      </c>
      <c r="I352" s="260">
        <v>186</v>
      </c>
      <c r="J352" s="260"/>
      <c r="K352" s="262">
        <v>12.5</v>
      </c>
    </row>
    <row r="353" spans="1:11" ht="13">
      <c r="A353" s="272" t="s">
        <v>4255</v>
      </c>
      <c r="B353" s="260" t="s">
        <v>508</v>
      </c>
      <c r="C353" s="260" t="s">
        <v>4635</v>
      </c>
      <c r="D353" s="261" t="s">
        <v>4638</v>
      </c>
      <c r="E353" s="262">
        <v>2022</v>
      </c>
      <c r="F353" s="263">
        <v>12</v>
      </c>
      <c r="G353" s="260" t="s">
        <v>32</v>
      </c>
      <c r="H353" s="260" t="s">
        <v>4639</v>
      </c>
      <c r="I353" s="260">
        <v>168</v>
      </c>
      <c r="J353" s="260"/>
      <c r="K353" s="262">
        <v>11.5</v>
      </c>
    </row>
    <row r="354" spans="1:11" ht="13">
      <c r="A354" s="272" t="s">
        <v>4255</v>
      </c>
      <c r="B354" s="260" t="s">
        <v>4640</v>
      </c>
      <c r="C354" s="260" t="s">
        <v>4641</v>
      </c>
      <c r="D354" s="261" t="s">
        <v>4642</v>
      </c>
      <c r="E354" s="262">
        <v>2023</v>
      </c>
      <c r="F354" s="263">
        <v>3</v>
      </c>
      <c r="G354" s="260" t="s">
        <v>3979</v>
      </c>
      <c r="H354" s="260" t="s">
        <v>4208</v>
      </c>
      <c r="I354" s="260">
        <v>180</v>
      </c>
      <c r="J354" s="260"/>
      <c r="K354" s="262">
        <v>11.5</v>
      </c>
    </row>
    <row r="355" spans="1:11" ht="13">
      <c r="A355" s="272" t="s">
        <v>4255</v>
      </c>
      <c r="B355" s="260" t="s">
        <v>4643</v>
      </c>
      <c r="C355" s="260" t="s">
        <v>4641</v>
      </c>
      <c r="D355" s="261" t="s">
        <v>4644</v>
      </c>
      <c r="E355" s="262">
        <v>2023</v>
      </c>
      <c r="F355" s="263">
        <v>12</v>
      </c>
      <c r="G355" s="260" t="s">
        <v>32</v>
      </c>
      <c r="H355" s="260" t="s">
        <v>4262</v>
      </c>
      <c r="I355" s="260">
        <v>432</v>
      </c>
      <c r="J355" s="260"/>
      <c r="K355" s="262">
        <v>12</v>
      </c>
    </row>
    <row r="356" spans="1:11" ht="13">
      <c r="A356" s="272" t="s">
        <v>4255</v>
      </c>
      <c r="B356" s="260" t="s">
        <v>4645</v>
      </c>
      <c r="C356" s="260" t="s">
        <v>4641</v>
      </c>
      <c r="D356" s="261" t="s">
        <v>4646</v>
      </c>
      <c r="E356" s="262">
        <v>2023</v>
      </c>
      <c r="F356" s="263">
        <v>12</v>
      </c>
      <c r="G356" s="260" t="s">
        <v>32</v>
      </c>
      <c r="H356" s="260" t="s">
        <v>4504</v>
      </c>
      <c r="I356" s="260">
        <v>390</v>
      </c>
      <c r="J356" s="260"/>
      <c r="K356" s="262">
        <v>0</v>
      </c>
    </row>
    <row r="357" spans="1:11" ht="13">
      <c r="A357" s="272" t="s">
        <v>4255</v>
      </c>
      <c r="B357" s="260" t="s">
        <v>4647</v>
      </c>
      <c r="C357" s="260" t="s">
        <v>4648</v>
      </c>
      <c r="D357" s="261" t="s">
        <v>4649</v>
      </c>
      <c r="E357" s="262">
        <v>2021</v>
      </c>
      <c r="F357" s="263">
        <v>12</v>
      </c>
      <c r="G357" s="260" t="s">
        <v>32</v>
      </c>
      <c r="H357" s="260" t="s">
        <v>4650</v>
      </c>
      <c r="I357" s="260">
        <v>162</v>
      </c>
      <c r="J357" s="260"/>
      <c r="K357" s="262">
        <v>12</v>
      </c>
    </row>
    <row r="358" spans="1:11" ht="13">
      <c r="A358" s="272" t="s">
        <v>4255</v>
      </c>
      <c r="B358" s="260" t="s">
        <v>4651</v>
      </c>
      <c r="C358" s="260" t="s">
        <v>4648</v>
      </c>
      <c r="D358" s="261" t="s">
        <v>4652</v>
      </c>
      <c r="E358" s="262">
        <v>2021</v>
      </c>
      <c r="F358" s="263">
        <v>12</v>
      </c>
      <c r="G358" s="260" t="s">
        <v>32</v>
      </c>
      <c r="H358" s="260" t="s">
        <v>4208</v>
      </c>
      <c r="I358" s="260">
        <v>187.92</v>
      </c>
      <c r="J358" s="260"/>
      <c r="K358" s="262">
        <v>12</v>
      </c>
    </row>
    <row r="359" spans="1:11" ht="13">
      <c r="A359" s="272" t="s">
        <v>4255</v>
      </c>
      <c r="B359" s="260" t="s">
        <v>900</v>
      </c>
      <c r="C359" s="260" t="s">
        <v>4653</v>
      </c>
      <c r="D359" s="261" t="s">
        <v>4654</v>
      </c>
      <c r="E359" s="262">
        <v>2023</v>
      </c>
      <c r="F359" s="263">
        <v>12</v>
      </c>
      <c r="G359" s="260" t="s">
        <v>32</v>
      </c>
      <c r="H359" s="260" t="s">
        <v>4504</v>
      </c>
      <c r="I359" s="260">
        <v>324</v>
      </c>
      <c r="J359" s="260"/>
      <c r="K359" s="262">
        <v>12.5</v>
      </c>
    </row>
    <row r="360" spans="1:11" ht="13">
      <c r="A360" s="272" t="s">
        <v>4255</v>
      </c>
      <c r="B360" s="260" t="s">
        <v>894</v>
      </c>
      <c r="C360" s="260" t="s">
        <v>4653</v>
      </c>
      <c r="D360" s="261" t="s">
        <v>4655</v>
      </c>
      <c r="E360" s="262">
        <v>2022</v>
      </c>
      <c r="F360" s="263">
        <v>12</v>
      </c>
      <c r="G360" s="260" t="s">
        <v>32</v>
      </c>
      <c r="H360" s="260" t="s">
        <v>4114</v>
      </c>
      <c r="I360" s="260">
        <v>288</v>
      </c>
      <c r="J360" s="260"/>
      <c r="K360" s="262">
        <v>12.5</v>
      </c>
    </row>
    <row r="361" spans="1:11" ht="13">
      <c r="A361" s="272" t="s">
        <v>4255</v>
      </c>
      <c r="B361" s="260" t="s">
        <v>895</v>
      </c>
      <c r="C361" s="260" t="s">
        <v>4653</v>
      </c>
      <c r="D361" s="261" t="s">
        <v>4655</v>
      </c>
      <c r="E361" s="262">
        <v>2023</v>
      </c>
      <c r="F361" s="263">
        <v>12</v>
      </c>
      <c r="G361" s="260" t="s">
        <v>32</v>
      </c>
      <c r="H361" s="260" t="s">
        <v>4656</v>
      </c>
      <c r="I361" s="260">
        <v>288</v>
      </c>
      <c r="J361" s="260"/>
      <c r="K361" s="262">
        <v>13.5</v>
      </c>
    </row>
    <row r="362" spans="1:11" ht="13">
      <c r="A362" s="272" t="s">
        <v>4255</v>
      </c>
      <c r="B362" s="260" t="s">
        <v>898</v>
      </c>
      <c r="C362" s="260" t="s">
        <v>4653</v>
      </c>
      <c r="D362" s="261" t="s">
        <v>4657</v>
      </c>
      <c r="E362" s="262">
        <v>2023</v>
      </c>
      <c r="F362" s="263">
        <v>12</v>
      </c>
      <c r="G362" s="260" t="s">
        <v>32</v>
      </c>
      <c r="H362" s="260" t="s">
        <v>4282</v>
      </c>
      <c r="I362" s="260">
        <v>366</v>
      </c>
      <c r="J362" s="260"/>
      <c r="K362" s="262">
        <v>12.5</v>
      </c>
    </row>
    <row r="363" spans="1:11" ht="13">
      <c r="A363" s="272" t="s">
        <v>4255</v>
      </c>
      <c r="B363" s="260" t="s">
        <v>904</v>
      </c>
      <c r="C363" s="260" t="s">
        <v>4653</v>
      </c>
      <c r="D363" s="261" t="s">
        <v>4658</v>
      </c>
      <c r="E363" s="262">
        <v>2021</v>
      </c>
      <c r="F363" s="263">
        <v>12</v>
      </c>
      <c r="G363" s="260" t="s">
        <v>32</v>
      </c>
      <c r="H363" s="260" t="s">
        <v>4048</v>
      </c>
      <c r="I363" s="260">
        <v>270</v>
      </c>
      <c r="J363" s="260"/>
      <c r="K363" s="262">
        <v>12.5</v>
      </c>
    </row>
    <row r="364" spans="1:11" ht="13">
      <c r="A364" s="272" t="s">
        <v>4255</v>
      </c>
      <c r="B364" s="260" t="s">
        <v>905</v>
      </c>
      <c r="C364" s="260" t="s">
        <v>4653</v>
      </c>
      <c r="D364" s="261" t="s">
        <v>4658</v>
      </c>
      <c r="E364" s="262">
        <v>2022</v>
      </c>
      <c r="F364" s="263">
        <v>12</v>
      </c>
      <c r="G364" s="260" t="s">
        <v>32</v>
      </c>
      <c r="H364" s="260" t="s">
        <v>4015</v>
      </c>
      <c r="I364" s="260">
        <v>288</v>
      </c>
      <c r="J364" s="260"/>
      <c r="K364" s="262">
        <v>12.5</v>
      </c>
    </row>
    <row r="365" spans="1:11" ht="13">
      <c r="A365" s="272" t="s">
        <v>4255</v>
      </c>
      <c r="B365" s="260" t="s">
        <v>906</v>
      </c>
      <c r="C365" s="260" t="s">
        <v>4653</v>
      </c>
      <c r="D365" s="261" t="s">
        <v>4658</v>
      </c>
      <c r="E365" s="262">
        <v>2023</v>
      </c>
      <c r="F365" s="263">
        <v>12</v>
      </c>
      <c r="G365" s="260" t="s">
        <v>32</v>
      </c>
      <c r="H365" s="260" t="s">
        <v>4659</v>
      </c>
      <c r="I365" s="260">
        <v>192</v>
      </c>
      <c r="J365" s="260"/>
      <c r="K365" s="262">
        <v>14</v>
      </c>
    </row>
    <row r="366" spans="1:11" ht="13">
      <c r="A366" s="272" t="s">
        <v>4255</v>
      </c>
      <c r="B366" s="260" t="s">
        <v>902</v>
      </c>
      <c r="C366" s="260" t="s">
        <v>4653</v>
      </c>
      <c r="D366" s="261" t="s">
        <v>4658</v>
      </c>
      <c r="E366" s="262">
        <v>2020</v>
      </c>
      <c r="F366" s="263">
        <v>12</v>
      </c>
      <c r="G366" s="260" t="s">
        <v>32</v>
      </c>
      <c r="H366" s="260" t="s">
        <v>4341</v>
      </c>
      <c r="I366" s="260">
        <v>270</v>
      </c>
      <c r="J366" s="260"/>
      <c r="K366" s="262">
        <v>12.5</v>
      </c>
    </row>
    <row r="367" spans="1:11" ht="13">
      <c r="A367" s="272" t="s">
        <v>4255</v>
      </c>
      <c r="B367" s="260" t="s">
        <v>1847</v>
      </c>
      <c r="C367" s="260" t="s">
        <v>4660</v>
      </c>
      <c r="D367" s="261" t="s">
        <v>4661</v>
      </c>
      <c r="E367" s="262">
        <v>2022</v>
      </c>
      <c r="F367" s="263">
        <v>12</v>
      </c>
      <c r="G367" s="260" t="s">
        <v>32</v>
      </c>
      <c r="H367" s="260" t="s">
        <v>3983</v>
      </c>
      <c r="I367" s="260">
        <v>246</v>
      </c>
      <c r="J367" s="260"/>
      <c r="K367" s="262">
        <v>12</v>
      </c>
    </row>
    <row r="368" spans="1:11" ht="13">
      <c r="A368" s="272" t="s">
        <v>4255</v>
      </c>
      <c r="B368" s="260" t="s">
        <v>1797</v>
      </c>
      <c r="C368" s="260" t="s">
        <v>4660</v>
      </c>
      <c r="D368" s="261" t="s">
        <v>4662</v>
      </c>
      <c r="E368" s="262">
        <v>2020</v>
      </c>
      <c r="F368" s="263">
        <v>12</v>
      </c>
      <c r="G368" s="260" t="s">
        <v>32</v>
      </c>
      <c r="H368" s="260" t="s">
        <v>4163</v>
      </c>
      <c r="I368" s="260">
        <v>426</v>
      </c>
      <c r="J368" s="260"/>
      <c r="K368" s="262">
        <v>12</v>
      </c>
    </row>
    <row r="369" spans="1:11" ht="13">
      <c r="A369" s="272" t="s">
        <v>4255</v>
      </c>
      <c r="B369" s="260" t="s">
        <v>1808</v>
      </c>
      <c r="C369" s="260" t="s">
        <v>4660</v>
      </c>
      <c r="D369" s="261" t="s">
        <v>4663</v>
      </c>
      <c r="E369" s="262">
        <v>2022</v>
      </c>
      <c r="F369" s="263">
        <v>12</v>
      </c>
      <c r="G369" s="260" t="s">
        <v>32</v>
      </c>
      <c r="H369" s="260" t="s">
        <v>4389</v>
      </c>
      <c r="I369" s="260">
        <v>528</v>
      </c>
      <c r="J369" s="260"/>
      <c r="K369" s="262">
        <v>12.5</v>
      </c>
    </row>
    <row r="370" spans="1:11" ht="13">
      <c r="A370" s="272" t="s">
        <v>4255</v>
      </c>
      <c r="B370" s="260" t="s">
        <v>434</v>
      </c>
      <c r="C370" s="260" t="s">
        <v>4664</v>
      </c>
      <c r="D370" s="261" t="s">
        <v>4665</v>
      </c>
      <c r="E370" s="262">
        <v>2022</v>
      </c>
      <c r="F370" s="263">
        <v>12</v>
      </c>
      <c r="G370" s="260" t="s">
        <v>32</v>
      </c>
      <c r="H370" s="260" t="s">
        <v>4666</v>
      </c>
      <c r="I370" s="260">
        <v>126</v>
      </c>
      <c r="J370" s="260"/>
      <c r="K370" s="262">
        <v>12</v>
      </c>
    </row>
    <row r="371" spans="1:11" ht="13">
      <c r="A371" s="272" t="s">
        <v>4255</v>
      </c>
      <c r="B371" s="260" t="s">
        <v>432</v>
      </c>
      <c r="C371" s="260" t="s">
        <v>4664</v>
      </c>
      <c r="D371" s="261" t="s">
        <v>4665</v>
      </c>
      <c r="E371" s="262">
        <v>2023</v>
      </c>
      <c r="F371" s="263">
        <v>12</v>
      </c>
      <c r="G371" s="260" t="s">
        <v>32</v>
      </c>
      <c r="H371" s="260" t="s">
        <v>4667</v>
      </c>
      <c r="I371" s="260">
        <v>126</v>
      </c>
      <c r="J371" s="260"/>
      <c r="K371" s="262">
        <v>12</v>
      </c>
    </row>
    <row r="372" spans="1:11" ht="13">
      <c r="A372" s="272" t="s">
        <v>4255</v>
      </c>
      <c r="B372" s="260" t="s">
        <v>430</v>
      </c>
      <c r="C372" s="260" t="s">
        <v>4664</v>
      </c>
      <c r="D372" s="261" t="s">
        <v>4668</v>
      </c>
      <c r="E372" s="262">
        <v>2022</v>
      </c>
      <c r="F372" s="263">
        <v>12</v>
      </c>
      <c r="G372" s="260" t="s">
        <v>32</v>
      </c>
      <c r="H372" s="260" t="s">
        <v>4204</v>
      </c>
      <c r="I372" s="260">
        <v>192</v>
      </c>
      <c r="J372" s="260"/>
      <c r="K372" s="262">
        <v>14.5</v>
      </c>
    </row>
    <row r="373" spans="1:11" ht="13">
      <c r="A373" s="272" t="s">
        <v>4255</v>
      </c>
      <c r="B373" s="260" t="s">
        <v>424</v>
      </c>
      <c r="C373" s="260" t="s">
        <v>4664</v>
      </c>
      <c r="D373" s="261" t="s">
        <v>4669</v>
      </c>
      <c r="E373" s="262">
        <v>2022</v>
      </c>
      <c r="F373" s="263">
        <v>12</v>
      </c>
      <c r="G373" s="260" t="s">
        <v>32</v>
      </c>
      <c r="H373" s="260" t="s">
        <v>4670</v>
      </c>
      <c r="I373" s="260">
        <v>144</v>
      </c>
      <c r="J373" s="260"/>
      <c r="K373" s="262">
        <v>12.5</v>
      </c>
    </row>
    <row r="374" spans="1:11" ht="13">
      <c r="A374" s="272" t="s">
        <v>4255</v>
      </c>
      <c r="B374" s="260" t="s">
        <v>438</v>
      </c>
      <c r="C374" s="260" t="s">
        <v>4664</v>
      </c>
      <c r="D374" s="261" t="s">
        <v>293</v>
      </c>
      <c r="E374" s="262">
        <v>2021</v>
      </c>
      <c r="F374" s="263">
        <v>12</v>
      </c>
      <c r="G374" s="260" t="s">
        <v>32</v>
      </c>
      <c r="H374" s="260" t="s">
        <v>4285</v>
      </c>
      <c r="I374" s="260">
        <v>162</v>
      </c>
      <c r="J374" s="260"/>
      <c r="K374" s="262">
        <v>12.5</v>
      </c>
    </row>
    <row r="375" spans="1:11" ht="13">
      <c r="A375" s="272" t="s">
        <v>4255</v>
      </c>
      <c r="B375" s="260" t="s">
        <v>422</v>
      </c>
      <c r="C375" s="260" t="s">
        <v>4664</v>
      </c>
      <c r="D375" s="261" t="s">
        <v>4671</v>
      </c>
      <c r="E375" s="262">
        <v>2022</v>
      </c>
      <c r="F375" s="263">
        <v>12</v>
      </c>
      <c r="G375" s="260" t="s">
        <v>32</v>
      </c>
      <c r="H375" s="260" t="s">
        <v>4367</v>
      </c>
      <c r="I375" s="260">
        <v>192</v>
      </c>
      <c r="J375" s="260"/>
      <c r="K375" s="262">
        <v>0</v>
      </c>
    </row>
    <row r="376" spans="1:11" ht="13">
      <c r="A376" s="272" t="s">
        <v>4255</v>
      </c>
      <c r="B376" s="260" t="s">
        <v>443</v>
      </c>
      <c r="C376" s="260" t="s">
        <v>4664</v>
      </c>
      <c r="D376" s="261" t="s">
        <v>4672</v>
      </c>
      <c r="E376" s="262">
        <v>2020</v>
      </c>
      <c r="F376" s="263">
        <v>12</v>
      </c>
      <c r="G376" s="260" t="s">
        <v>32</v>
      </c>
      <c r="H376" s="260" t="s">
        <v>4340</v>
      </c>
      <c r="I376" s="260">
        <v>150</v>
      </c>
      <c r="J376" s="260"/>
      <c r="K376" s="262">
        <v>13</v>
      </c>
    </row>
    <row r="377" spans="1:11" ht="13">
      <c r="A377" s="272" t="s">
        <v>4255</v>
      </c>
      <c r="B377" s="260" t="s">
        <v>440</v>
      </c>
      <c r="C377" s="260" t="s">
        <v>4664</v>
      </c>
      <c r="D377" s="261" t="s">
        <v>4672</v>
      </c>
      <c r="E377" s="262">
        <v>2022</v>
      </c>
      <c r="F377" s="263">
        <v>12</v>
      </c>
      <c r="G377" s="260" t="s">
        <v>32</v>
      </c>
      <c r="H377" s="260" t="s">
        <v>4673</v>
      </c>
      <c r="I377" s="260">
        <v>174</v>
      </c>
      <c r="J377" s="260"/>
      <c r="K377" s="262">
        <v>13</v>
      </c>
    </row>
    <row r="378" spans="1:11" ht="13">
      <c r="A378" s="272" t="s">
        <v>4255</v>
      </c>
      <c r="B378" s="260" t="s">
        <v>4674</v>
      </c>
      <c r="C378" s="260" t="s">
        <v>4675</v>
      </c>
      <c r="D378" s="261" t="s">
        <v>4676</v>
      </c>
      <c r="E378" s="262">
        <v>2022</v>
      </c>
      <c r="F378" s="263">
        <v>12</v>
      </c>
      <c r="G378" s="260" t="s">
        <v>32</v>
      </c>
      <c r="H378" s="260" t="s">
        <v>4045</v>
      </c>
      <c r="I378" s="260">
        <v>102</v>
      </c>
      <c r="J378" s="260"/>
      <c r="K378" s="262">
        <v>12</v>
      </c>
    </row>
    <row r="379" spans="1:11" ht="13">
      <c r="A379" s="272" t="s">
        <v>4255</v>
      </c>
      <c r="B379" s="260" t="s">
        <v>147</v>
      </c>
      <c r="C379" s="260" t="s">
        <v>4677</v>
      </c>
      <c r="D379" s="261" t="s">
        <v>4678</v>
      </c>
      <c r="E379" s="262">
        <v>2023</v>
      </c>
      <c r="F379" s="263">
        <v>6</v>
      </c>
      <c r="G379" s="260" t="s">
        <v>32</v>
      </c>
      <c r="H379" s="260" t="s">
        <v>4199</v>
      </c>
      <c r="I379" s="260">
        <v>75</v>
      </c>
      <c r="J379" s="260"/>
      <c r="K379" s="262">
        <v>11.5</v>
      </c>
    </row>
    <row r="380" spans="1:11" ht="13">
      <c r="A380" s="272" t="s">
        <v>4255</v>
      </c>
      <c r="B380" s="260" t="s">
        <v>153</v>
      </c>
      <c r="C380" s="260" t="s">
        <v>4677</v>
      </c>
      <c r="D380" s="261" t="s">
        <v>4679</v>
      </c>
      <c r="E380" s="262">
        <v>2022</v>
      </c>
      <c r="F380" s="263">
        <v>6</v>
      </c>
      <c r="G380" s="260" t="s">
        <v>32</v>
      </c>
      <c r="H380" s="260" t="s">
        <v>4246</v>
      </c>
      <c r="I380" s="260">
        <v>93</v>
      </c>
      <c r="J380" s="260"/>
      <c r="K380" s="262">
        <v>14.5</v>
      </c>
    </row>
    <row r="381" spans="1:11" ht="13">
      <c r="A381" s="272" t="s">
        <v>4255</v>
      </c>
      <c r="B381" s="260" t="s">
        <v>145</v>
      </c>
      <c r="C381" s="262" t="s">
        <v>4677</v>
      </c>
      <c r="D381" s="261" t="s">
        <v>4680</v>
      </c>
      <c r="E381" s="262">
        <v>2023</v>
      </c>
      <c r="F381" s="263">
        <v>6</v>
      </c>
      <c r="G381" s="260" t="s">
        <v>32</v>
      </c>
      <c r="H381" s="260" t="s">
        <v>4681</v>
      </c>
      <c r="I381" s="260">
        <v>72</v>
      </c>
      <c r="J381" s="260"/>
      <c r="K381" s="262">
        <v>11.5</v>
      </c>
    </row>
    <row r="382" spans="1:11" ht="13">
      <c r="A382" s="272" t="s">
        <v>4255</v>
      </c>
      <c r="B382" s="260" t="s">
        <v>972</v>
      </c>
      <c r="C382" s="262" t="s">
        <v>4682</v>
      </c>
      <c r="D382" s="261" t="s">
        <v>973</v>
      </c>
      <c r="E382" s="262">
        <v>2022</v>
      </c>
      <c r="F382" s="263">
        <v>12</v>
      </c>
      <c r="G382" s="260" t="s">
        <v>32</v>
      </c>
      <c r="H382" s="260" t="s">
        <v>4683</v>
      </c>
      <c r="I382" s="260">
        <v>252</v>
      </c>
      <c r="J382" s="260"/>
      <c r="K382" s="262">
        <v>12</v>
      </c>
    </row>
    <row r="383" spans="1:11" ht="13">
      <c r="A383" s="272" t="s">
        <v>4255</v>
      </c>
      <c r="B383" s="260" t="s">
        <v>953</v>
      </c>
      <c r="C383" s="262" t="s">
        <v>4682</v>
      </c>
      <c r="D383" s="261" t="s">
        <v>954</v>
      </c>
      <c r="E383" s="262">
        <v>2022</v>
      </c>
      <c r="F383" s="263">
        <v>12</v>
      </c>
      <c r="G383" s="260" t="s">
        <v>32</v>
      </c>
      <c r="H383" s="260" t="s">
        <v>4684</v>
      </c>
      <c r="I383" s="260">
        <v>252</v>
      </c>
      <c r="J383" s="260"/>
      <c r="K383" s="262">
        <v>12.5</v>
      </c>
    </row>
    <row r="384" spans="1:11" ht="13">
      <c r="A384" s="272" t="s">
        <v>4255</v>
      </c>
      <c r="B384" s="260" t="s">
        <v>980</v>
      </c>
      <c r="C384" s="262" t="s">
        <v>4682</v>
      </c>
      <c r="D384" s="261" t="s">
        <v>981</v>
      </c>
      <c r="E384" s="262">
        <v>2023</v>
      </c>
      <c r="F384" s="263">
        <v>12</v>
      </c>
      <c r="G384" s="260" t="s">
        <v>32</v>
      </c>
      <c r="H384" s="260" t="s">
        <v>4685</v>
      </c>
      <c r="I384" s="260">
        <v>186</v>
      </c>
      <c r="J384" s="260"/>
      <c r="K384" s="262">
        <v>13</v>
      </c>
    </row>
    <row r="385" spans="1:11" ht="13">
      <c r="A385" s="272" t="s">
        <v>4255</v>
      </c>
      <c r="B385" s="260" t="s">
        <v>957</v>
      </c>
      <c r="C385" s="262" t="s">
        <v>4682</v>
      </c>
      <c r="D385" s="261" t="s">
        <v>4686</v>
      </c>
      <c r="E385" s="262">
        <v>2021</v>
      </c>
      <c r="F385" s="263">
        <v>12</v>
      </c>
      <c r="G385" s="260" t="s">
        <v>32</v>
      </c>
      <c r="H385" s="260" t="s">
        <v>4687</v>
      </c>
      <c r="I385" s="260">
        <v>252</v>
      </c>
      <c r="J385" s="260"/>
      <c r="K385" s="262">
        <v>12</v>
      </c>
    </row>
    <row r="386" spans="1:11" ht="13">
      <c r="A386" s="272" t="s">
        <v>4255</v>
      </c>
      <c r="B386" s="260" t="s">
        <v>963</v>
      </c>
      <c r="C386" s="262" t="s">
        <v>4682</v>
      </c>
      <c r="D386" s="261" t="s">
        <v>4688</v>
      </c>
      <c r="E386" s="262">
        <v>2018</v>
      </c>
      <c r="F386" s="263">
        <v>12</v>
      </c>
      <c r="G386" s="260" t="s">
        <v>32</v>
      </c>
      <c r="H386" s="260" t="s">
        <v>4170</v>
      </c>
      <c r="I386" s="260">
        <v>456</v>
      </c>
      <c r="J386" s="260"/>
      <c r="K386" s="262">
        <v>13</v>
      </c>
    </row>
    <row r="387" spans="1:11" ht="13">
      <c r="A387" s="272" t="s">
        <v>4255</v>
      </c>
      <c r="B387" s="260" t="s">
        <v>961</v>
      </c>
      <c r="C387" s="262" t="s">
        <v>4682</v>
      </c>
      <c r="D387" s="261" t="s">
        <v>4689</v>
      </c>
      <c r="E387" s="262">
        <v>2018</v>
      </c>
      <c r="F387" s="263">
        <v>12</v>
      </c>
      <c r="G387" s="260" t="s">
        <v>32</v>
      </c>
      <c r="H387" s="260" t="s">
        <v>4690</v>
      </c>
      <c r="I387" s="260">
        <v>420</v>
      </c>
      <c r="J387" s="260"/>
      <c r="K387" s="262">
        <v>15</v>
      </c>
    </row>
    <row r="388" spans="1:11" ht="13">
      <c r="A388" s="272" t="s">
        <v>4255</v>
      </c>
      <c r="B388" s="260" t="s">
        <v>959</v>
      </c>
      <c r="C388" s="262" t="s">
        <v>4682</v>
      </c>
      <c r="D388" s="261" t="s">
        <v>4691</v>
      </c>
      <c r="E388" s="262">
        <v>2020</v>
      </c>
      <c r="F388" s="263">
        <v>12</v>
      </c>
      <c r="G388" s="260" t="s">
        <v>32</v>
      </c>
      <c r="H388" s="260" t="s">
        <v>4320</v>
      </c>
      <c r="I388" s="260">
        <v>342</v>
      </c>
      <c r="J388" s="260"/>
      <c r="K388" s="262">
        <v>12</v>
      </c>
    </row>
    <row r="389" spans="1:11" ht="13">
      <c r="A389" s="272" t="s">
        <v>4255</v>
      </c>
      <c r="B389" s="262" t="s">
        <v>974</v>
      </c>
      <c r="C389" s="262" t="s">
        <v>4682</v>
      </c>
      <c r="D389" s="261" t="s">
        <v>4692</v>
      </c>
      <c r="E389" s="262">
        <v>2023</v>
      </c>
      <c r="F389" s="263">
        <v>12</v>
      </c>
      <c r="G389" s="260" t="s">
        <v>32</v>
      </c>
      <c r="H389" s="260" t="s">
        <v>4134</v>
      </c>
      <c r="I389" s="260">
        <v>234</v>
      </c>
      <c r="J389" s="260"/>
      <c r="K389" s="262">
        <v>11</v>
      </c>
    </row>
    <row r="390" spans="1:11" ht="13">
      <c r="A390" s="272" t="s">
        <v>4255</v>
      </c>
      <c r="B390" s="260" t="s">
        <v>955</v>
      </c>
      <c r="C390" s="262" t="s">
        <v>4682</v>
      </c>
      <c r="D390" s="261" t="s">
        <v>4693</v>
      </c>
      <c r="E390" s="262">
        <v>2023</v>
      </c>
      <c r="F390" s="263">
        <v>12</v>
      </c>
      <c r="G390" s="260" t="s">
        <v>32</v>
      </c>
      <c r="H390" s="260" t="s">
        <v>4279</v>
      </c>
      <c r="I390" s="260">
        <v>234</v>
      </c>
      <c r="J390" s="260"/>
      <c r="K390" s="262">
        <v>12</v>
      </c>
    </row>
    <row r="391" spans="1:11" ht="13">
      <c r="A391" s="272" t="s">
        <v>4255</v>
      </c>
      <c r="B391" s="262" t="s">
        <v>967</v>
      </c>
      <c r="C391" s="262" t="s">
        <v>4682</v>
      </c>
      <c r="D391" s="261" t="s">
        <v>4694</v>
      </c>
      <c r="E391" s="262">
        <v>2022</v>
      </c>
      <c r="F391" s="263">
        <v>12</v>
      </c>
      <c r="G391" s="260" t="s">
        <v>32</v>
      </c>
      <c r="H391" s="260" t="s">
        <v>4650</v>
      </c>
      <c r="I391" s="260">
        <v>246</v>
      </c>
      <c r="J391" s="260"/>
      <c r="K391" s="262">
        <v>14</v>
      </c>
    </row>
    <row r="392" spans="1:11" ht="13">
      <c r="A392" s="272" t="s">
        <v>4255</v>
      </c>
      <c r="B392" s="262" t="s">
        <v>970</v>
      </c>
      <c r="C392" s="262" t="s">
        <v>4682</v>
      </c>
      <c r="D392" s="261" t="s">
        <v>4695</v>
      </c>
      <c r="E392" s="262">
        <v>2023</v>
      </c>
      <c r="F392" s="263">
        <v>12</v>
      </c>
      <c r="G392" s="260" t="s">
        <v>32</v>
      </c>
      <c r="H392" s="260" t="s">
        <v>4696</v>
      </c>
      <c r="I392" s="260">
        <v>258</v>
      </c>
      <c r="J392" s="260"/>
      <c r="K392" s="262">
        <v>11</v>
      </c>
    </row>
    <row r="393" spans="1:11" ht="13">
      <c r="A393" s="272" t="s">
        <v>4255</v>
      </c>
      <c r="B393" s="262" t="s">
        <v>4697</v>
      </c>
      <c r="C393" s="262" t="s">
        <v>4682</v>
      </c>
      <c r="D393" s="261" t="s">
        <v>4698</v>
      </c>
      <c r="E393" s="262">
        <v>2022</v>
      </c>
      <c r="F393" s="263">
        <v>12</v>
      </c>
      <c r="G393" s="260" t="s">
        <v>32</v>
      </c>
      <c r="H393" s="260" t="s">
        <v>4699</v>
      </c>
      <c r="I393" s="260">
        <v>474</v>
      </c>
      <c r="J393" s="260"/>
      <c r="K393" s="262">
        <v>10</v>
      </c>
    </row>
    <row r="394" spans="1:11" ht="13">
      <c r="A394" s="272" t="s">
        <v>4255</v>
      </c>
      <c r="B394" s="260" t="s">
        <v>965</v>
      </c>
      <c r="C394" s="262" t="s">
        <v>4682</v>
      </c>
      <c r="D394" s="261" t="s">
        <v>4700</v>
      </c>
      <c r="E394" s="262">
        <v>2016</v>
      </c>
      <c r="F394" s="263">
        <v>12</v>
      </c>
      <c r="G394" s="260" t="s">
        <v>32</v>
      </c>
      <c r="H394" s="260" t="s">
        <v>4246</v>
      </c>
      <c r="I394" s="260">
        <v>540</v>
      </c>
      <c r="J394" s="260"/>
      <c r="K394" s="262">
        <v>13</v>
      </c>
    </row>
    <row r="395" spans="1:11" ht="13">
      <c r="A395" s="272" t="s">
        <v>4255</v>
      </c>
      <c r="B395" s="260" t="s">
        <v>978</v>
      </c>
      <c r="C395" s="262" t="s">
        <v>4682</v>
      </c>
      <c r="D395" s="261" t="s">
        <v>4701</v>
      </c>
      <c r="E395" s="262">
        <v>2022</v>
      </c>
      <c r="F395" s="263">
        <v>12</v>
      </c>
      <c r="G395" s="260" t="s">
        <v>32</v>
      </c>
      <c r="H395" s="260" t="s">
        <v>4702</v>
      </c>
      <c r="I395" s="260">
        <v>378</v>
      </c>
      <c r="J395" s="260"/>
      <c r="K395" s="262">
        <v>14.5</v>
      </c>
    </row>
    <row r="396" spans="1:11" ht="13">
      <c r="A396" s="272" t="s">
        <v>4255</v>
      </c>
      <c r="B396" s="260" t="s">
        <v>2053</v>
      </c>
      <c r="C396" s="262" t="s">
        <v>4703</v>
      </c>
      <c r="D396" s="261" t="s">
        <v>2054</v>
      </c>
      <c r="E396" s="262">
        <v>2020</v>
      </c>
      <c r="F396" s="263">
        <v>12</v>
      </c>
      <c r="G396" s="260" t="s">
        <v>32</v>
      </c>
      <c r="H396" s="260" t="s">
        <v>4144</v>
      </c>
      <c r="I396" s="260">
        <v>216</v>
      </c>
      <c r="J396" s="260"/>
      <c r="K396" s="262">
        <v>11.5</v>
      </c>
    </row>
    <row r="397" spans="1:11" ht="13">
      <c r="A397" s="272" t="s">
        <v>4255</v>
      </c>
      <c r="B397" s="260" t="s">
        <v>807</v>
      </c>
      <c r="C397" s="262" t="s">
        <v>4704</v>
      </c>
      <c r="D397" s="261" t="s">
        <v>4705</v>
      </c>
      <c r="E397" s="262">
        <v>2022</v>
      </c>
      <c r="F397" s="263">
        <v>12</v>
      </c>
      <c r="G397" s="260" t="s">
        <v>32</v>
      </c>
      <c r="H397" s="260" t="s">
        <v>4706</v>
      </c>
      <c r="I397" s="260">
        <v>228</v>
      </c>
      <c r="J397" s="260"/>
      <c r="K397" s="262">
        <v>12.5</v>
      </c>
    </row>
    <row r="398" spans="1:11" ht="13">
      <c r="A398" s="272" t="s">
        <v>4255</v>
      </c>
      <c r="B398" s="260" t="s">
        <v>813</v>
      </c>
      <c r="C398" s="262" t="s">
        <v>4704</v>
      </c>
      <c r="D398" s="261" t="s">
        <v>4707</v>
      </c>
      <c r="E398" s="262" t="s">
        <v>5</v>
      </c>
      <c r="F398" s="263">
        <v>12</v>
      </c>
      <c r="G398" s="260" t="s">
        <v>32</v>
      </c>
      <c r="H398" s="260" t="s">
        <v>4045</v>
      </c>
      <c r="I398" s="260">
        <v>234</v>
      </c>
      <c r="J398" s="260"/>
      <c r="K398" s="262">
        <v>13</v>
      </c>
    </row>
    <row r="399" spans="1:11" ht="13">
      <c r="A399" s="272" t="s">
        <v>4255</v>
      </c>
      <c r="B399" s="260" t="s">
        <v>766</v>
      </c>
      <c r="C399" s="262" t="s">
        <v>4704</v>
      </c>
      <c r="D399" s="261" t="s">
        <v>4708</v>
      </c>
      <c r="E399" s="262">
        <v>2022</v>
      </c>
      <c r="F399" s="263">
        <v>12</v>
      </c>
      <c r="G399" s="260" t="s">
        <v>32</v>
      </c>
      <c r="H399" s="260" t="s">
        <v>4699</v>
      </c>
      <c r="I399" s="260">
        <v>228</v>
      </c>
      <c r="J399" s="260"/>
      <c r="K399" s="262">
        <v>12.5</v>
      </c>
    </row>
    <row r="400" spans="1:11" ht="13">
      <c r="A400" s="272" t="s">
        <v>4255</v>
      </c>
      <c r="B400" s="260" t="s">
        <v>1725</v>
      </c>
      <c r="C400" s="262" t="s">
        <v>4709</v>
      </c>
      <c r="D400" s="261" t="s">
        <v>4710</v>
      </c>
      <c r="E400" s="262">
        <v>2020</v>
      </c>
      <c r="F400" s="263">
        <v>12</v>
      </c>
      <c r="G400" s="260" t="s">
        <v>32</v>
      </c>
      <c r="H400" s="260" t="s">
        <v>4711</v>
      </c>
      <c r="I400" s="260">
        <v>156</v>
      </c>
      <c r="J400" s="260"/>
      <c r="K400" s="262">
        <v>12.5</v>
      </c>
    </row>
    <row r="401" spans="1:11" ht="13">
      <c r="A401" s="272" t="s">
        <v>4255</v>
      </c>
      <c r="B401" s="260" t="s">
        <v>1728</v>
      </c>
      <c r="C401" s="262" t="s">
        <v>4709</v>
      </c>
      <c r="D401" s="261" t="s">
        <v>4710</v>
      </c>
      <c r="E401" s="262">
        <v>2021</v>
      </c>
      <c r="F401" s="263">
        <v>12</v>
      </c>
      <c r="G401" s="260" t="s">
        <v>32</v>
      </c>
      <c r="H401" s="260" t="s">
        <v>4712</v>
      </c>
      <c r="I401" s="260">
        <v>156</v>
      </c>
      <c r="J401" s="260"/>
      <c r="K401" s="262">
        <v>12.5</v>
      </c>
    </row>
    <row r="402" spans="1:11" ht="13">
      <c r="A402" s="272" t="s">
        <v>4255</v>
      </c>
      <c r="B402" s="262" t="s">
        <v>1731</v>
      </c>
      <c r="C402" s="262" t="s">
        <v>4709</v>
      </c>
      <c r="D402" s="261" t="s">
        <v>4713</v>
      </c>
      <c r="E402" s="262">
        <v>2020</v>
      </c>
      <c r="F402" s="263">
        <v>12</v>
      </c>
      <c r="G402" s="260" t="s">
        <v>32</v>
      </c>
      <c r="H402" s="260" t="s">
        <v>4387</v>
      </c>
      <c r="I402" s="260">
        <v>180</v>
      </c>
      <c r="J402" s="260"/>
      <c r="K402" s="262">
        <v>14</v>
      </c>
    </row>
    <row r="403" spans="1:11" ht="13">
      <c r="A403" s="272" t="s">
        <v>4255</v>
      </c>
      <c r="B403" s="262" t="s">
        <v>1729</v>
      </c>
      <c r="C403" s="262" t="s">
        <v>4709</v>
      </c>
      <c r="D403" s="261" t="s">
        <v>4714</v>
      </c>
      <c r="E403" s="262">
        <v>2019</v>
      </c>
      <c r="F403" s="263">
        <v>12</v>
      </c>
      <c r="G403" s="260" t="s">
        <v>32</v>
      </c>
      <c r="H403" s="260" t="s">
        <v>4715</v>
      </c>
      <c r="I403" s="260">
        <v>192</v>
      </c>
      <c r="J403" s="260"/>
      <c r="K403" s="262">
        <v>13.5</v>
      </c>
    </row>
    <row r="404" spans="1:11" ht="13">
      <c r="A404" s="272" t="s">
        <v>4255</v>
      </c>
      <c r="B404" s="260" t="s">
        <v>1715</v>
      </c>
      <c r="C404" s="260" t="s">
        <v>4709</v>
      </c>
      <c r="D404" s="261" t="s">
        <v>4716</v>
      </c>
      <c r="E404" s="262">
        <v>2022</v>
      </c>
      <c r="F404" s="263">
        <v>12</v>
      </c>
      <c r="G404" s="260" t="s">
        <v>32</v>
      </c>
      <c r="H404" s="260" t="s">
        <v>4717</v>
      </c>
      <c r="I404" s="260">
        <v>96</v>
      </c>
      <c r="J404" s="260"/>
      <c r="K404" s="262">
        <v>13.5</v>
      </c>
    </row>
    <row r="405" spans="1:11" ht="13">
      <c r="A405" s="272" t="s">
        <v>4255</v>
      </c>
      <c r="B405" s="260" t="s">
        <v>1718</v>
      </c>
      <c r="C405" s="262" t="s">
        <v>4709</v>
      </c>
      <c r="D405" s="261" t="s">
        <v>4718</v>
      </c>
      <c r="E405" s="262">
        <v>2022</v>
      </c>
      <c r="F405" s="263">
        <v>12</v>
      </c>
      <c r="G405" s="260" t="s">
        <v>32</v>
      </c>
      <c r="H405" s="260" t="s">
        <v>4719</v>
      </c>
      <c r="I405" s="260">
        <v>144</v>
      </c>
      <c r="J405" s="260"/>
      <c r="K405" s="262">
        <v>12.5</v>
      </c>
    </row>
    <row r="406" spans="1:11" ht="13">
      <c r="A406" s="272" t="s">
        <v>4255</v>
      </c>
      <c r="B406" s="260" t="s">
        <v>1720</v>
      </c>
      <c r="C406" s="262" t="s">
        <v>4709</v>
      </c>
      <c r="D406" s="261" t="s">
        <v>4720</v>
      </c>
      <c r="E406" s="262">
        <v>2021</v>
      </c>
      <c r="F406" s="263">
        <v>12</v>
      </c>
      <c r="G406" s="260" t="s">
        <v>32</v>
      </c>
      <c r="H406" s="260" t="s">
        <v>4306</v>
      </c>
      <c r="I406" s="260">
        <v>144</v>
      </c>
      <c r="J406" s="260"/>
      <c r="K406" s="262">
        <v>13</v>
      </c>
    </row>
    <row r="407" spans="1:11" ht="13">
      <c r="A407" s="272" t="s">
        <v>4255</v>
      </c>
      <c r="B407" s="260" t="s">
        <v>1724</v>
      </c>
      <c r="C407" s="260" t="s">
        <v>4709</v>
      </c>
      <c r="D407" s="261" t="s">
        <v>4720</v>
      </c>
      <c r="E407" s="262">
        <v>2022</v>
      </c>
      <c r="F407" s="263">
        <v>12</v>
      </c>
      <c r="G407" s="260" t="s">
        <v>32</v>
      </c>
      <c r="H407" s="260" t="s">
        <v>4721</v>
      </c>
      <c r="I407" s="260">
        <v>144</v>
      </c>
      <c r="J407" s="260"/>
      <c r="K407" s="262">
        <v>13</v>
      </c>
    </row>
    <row r="408" spans="1:11" ht="13">
      <c r="A408" s="272" t="s">
        <v>4255</v>
      </c>
      <c r="B408" s="260" t="s">
        <v>1711</v>
      </c>
      <c r="C408" s="262" t="s">
        <v>4709</v>
      </c>
      <c r="D408" s="261" t="s">
        <v>4722</v>
      </c>
      <c r="E408" s="262" t="s">
        <v>5</v>
      </c>
      <c r="F408" s="263">
        <v>12</v>
      </c>
      <c r="G408" s="260" t="s">
        <v>32</v>
      </c>
      <c r="H408" s="260" t="s">
        <v>4723</v>
      </c>
      <c r="I408" s="260">
        <v>126</v>
      </c>
      <c r="J408" s="260"/>
      <c r="K408" s="262">
        <v>13</v>
      </c>
    </row>
    <row r="409" spans="1:11" ht="13">
      <c r="A409" s="272" t="s">
        <v>4255</v>
      </c>
      <c r="B409" s="260" t="s">
        <v>131</v>
      </c>
      <c r="C409" s="262" t="s">
        <v>4724</v>
      </c>
      <c r="D409" s="261" t="s">
        <v>4725</v>
      </c>
      <c r="E409" s="262">
        <v>2023</v>
      </c>
      <c r="F409" s="263">
        <v>12</v>
      </c>
      <c r="G409" s="260" t="s">
        <v>32</v>
      </c>
      <c r="H409" s="260" t="s">
        <v>4726</v>
      </c>
      <c r="I409" s="260">
        <v>180</v>
      </c>
      <c r="J409" s="260"/>
      <c r="K409" s="262">
        <v>12.5</v>
      </c>
    </row>
    <row r="410" spans="1:11" ht="13">
      <c r="A410" s="272" t="s">
        <v>4255</v>
      </c>
      <c r="B410" s="260" t="s">
        <v>137</v>
      </c>
      <c r="C410" s="262" t="s">
        <v>4724</v>
      </c>
      <c r="D410" s="261" t="s">
        <v>4727</v>
      </c>
      <c r="E410" s="262">
        <v>2023</v>
      </c>
      <c r="F410" s="263">
        <v>12</v>
      </c>
      <c r="G410" s="260" t="s">
        <v>32</v>
      </c>
      <c r="H410" s="260" t="s">
        <v>4326</v>
      </c>
      <c r="I410" s="260">
        <v>156</v>
      </c>
      <c r="J410" s="260"/>
      <c r="K410" s="262">
        <v>13</v>
      </c>
    </row>
    <row r="411" spans="1:11" ht="13">
      <c r="A411" s="272" t="s">
        <v>4255</v>
      </c>
      <c r="B411" s="260" t="s">
        <v>139</v>
      </c>
      <c r="C411" s="260" t="s">
        <v>4724</v>
      </c>
      <c r="D411" s="261" t="s">
        <v>4728</v>
      </c>
      <c r="E411" s="262">
        <v>2023</v>
      </c>
      <c r="F411" s="263">
        <v>12</v>
      </c>
      <c r="G411" s="260" t="s">
        <v>32</v>
      </c>
      <c r="H411" s="260" t="s">
        <v>4243</v>
      </c>
      <c r="I411" s="260">
        <v>168</v>
      </c>
      <c r="J411" s="260"/>
      <c r="K411" s="262">
        <v>13</v>
      </c>
    </row>
    <row r="412" spans="1:11" ht="13">
      <c r="A412" s="272" t="s">
        <v>4255</v>
      </c>
      <c r="B412" s="260" t="s">
        <v>134</v>
      </c>
      <c r="C412" s="260" t="s">
        <v>4724</v>
      </c>
      <c r="D412" s="261" t="s">
        <v>4729</v>
      </c>
      <c r="E412" s="262">
        <v>2023</v>
      </c>
      <c r="F412" s="263">
        <v>12</v>
      </c>
      <c r="G412" s="260" t="s">
        <v>32</v>
      </c>
      <c r="H412" s="260" t="s">
        <v>4730</v>
      </c>
      <c r="I412" s="260">
        <v>168</v>
      </c>
      <c r="J412" s="260"/>
      <c r="K412" s="262">
        <v>13</v>
      </c>
    </row>
    <row r="413" spans="1:11" ht="13">
      <c r="A413" s="272" t="s">
        <v>4255</v>
      </c>
      <c r="B413" s="262" t="s">
        <v>1884</v>
      </c>
      <c r="C413" s="262" t="s">
        <v>4731</v>
      </c>
      <c r="D413" s="261" t="s">
        <v>4732</v>
      </c>
      <c r="E413" s="262">
        <v>2023</v>
      </c>
      <c r="F413" s="263">
        <v>12</v>
      </c>
      <c r="G413" s="260" t="s">
        <v>32</v>
      </c>
      <c r="H413" s="260" t="s">
        <v>4733</v>
      </c>
      <c r="I413" s="260">
        <v>162</v>
      </c>
      <c r="J413" s="260"/>
      <c r="K413" s="262">
        <v>12.5</v>
      </c>
    </row>
    <row r="414" spans="1:11" ht="13">
      <c r="A414" s="272" t="s">
        <v>4255</v>
      </c>
      <c r="B414" s="260" t="s">
        <v>4734</v>
      </c>
      <c r="C414" s="262" t="s">
        <v>4731</v>
      </c>
      <c r="D414" s="261" t="s">
        <v>4735</v>
      </c>
      <c r="E414" s="262">
        <v>2024</v>
      </c>
      <c r="F414" s="263">
        <v>12</v>
      </c>
      <c r="G414" s="260" t="s">
        <v>32</v>
      </c>
      <c r="H414" s="260" t="s">
        <v>4736</v>
      </c>
      <c r="I414" s="260">
        <v>192</v>
      </c>
      <c r="J414" s="260"/>
      <c r="K414" s="262">
        <v>11.5</v>
      </c>
    </row>
    <row r="415" spans="1:11" ht="13">
      <c r="A415" s="272" t="s">
        <v>4255</v>
      </c>
      <c r="B415" s="260" t="s">
        <v>1876</v>
      </c>
      <c r="C415" s="260" t="s">
        <v>4731</v>
      </c>
      <c r="D415" s="261" t="s">
        <v>4737</v>
      </c>
      <c r="E415" s="262">
        <v>2024</v>
      </c>
      <c r="F415" s="263">
        <v>12</v>
      </c>
      <c r="G415" s="260" t="s">
        <v>32</v>
      </c>
      <c r="H415" s="260" t="s">
        <v>4738</v>
      </c>
      <c r="I415" s="260">
        <v>144</v>
      </c>
      <c r="J415" s="260"/>
      <c r="K415" s="262">
        <v>11.2</v>
      </c>
    </row>
    <row r="416" spans="1:11" ht="13">
      <c r="A416" s="272" t="s">
        <v>4255</v>
      </c>
      <c r="B416" s="260" t="s">
        <v>1887</v>
      </c>
      <c r="C416" s="262" t="s">
        <v>4731</v>
      </c>
      <c r="D416" s="261" t="s">
        <v>4739</v>
      </c>
      <c r="E416" s="262">
        <v>2023</v>
      </c>
      <c r="F416" s="263">
        <v>12</v>
      </c>
      <c r="G416" s="260" t="s">
        <v>32</v>
      </c>
      <c r="H416" s="260" t="s">
        <v>4740</v>
      </c>
      <c r="I416" s="260">
        <v>168</v>
      </c>
      <c r="J416" s="260"/>
      <c r="K416" s="262">
        <v>12</v>
      </c>
    </row>
    <row r="417" spans="1:11" ht="13">
      <c r="A417" s="272" t="s">
        <v>4255</v>
      </c>
      <c r="B417" s="260" t="s">
        <v>4741</v>
      </c>
      <c r="C417" s="260" t="s">
        <v>4742</v>
      </c>
      <c r="D417" s="261" t="s">
        <v>4743</v>
      </c>
      <c r="E417" s="262">
        <v>2023</v>
      </c>
      <c r="F417" s="263">
        <v>12</v>
      </c>
      <c r="G417" s="260" t="s">
        <v>32</v>
      </c>
      <c r="H417" s="260" t="s">
        <v>4744</v>
      </c>
      <c r="I417" s="260">
        <v>138</v>
      </c>
      <c r="J417" s="260"/>
      <c r="K417" s="262">
        <v>13.5</v>
      </c>
    </row>
    <row r="418" spans="1:11" ht="13">
      <c r="A418" s="272" t="s">
        <v>4255</v>
      </c>
      <c r="B418" s="260" t="s">
        <v>1298</v>
      </c>
      <c r="C418" s="260" t="s">
        <v>4742</v>
      </c>
      <c r="D418" s="261" t="s">
        <v>4745</v>
      </c>
      <c r="E418" s="262">
        <v>2024</v>
      </c>
      <c r="F418" s="263">
        <v>12</v>
      </c>
      <c r="G418" s="260" t="s">
        <v>32</v>
      </c>
      <c r="H418" s="260" t="s">
        <v>4746</v>
      </c>
      <c r="I418" s="260">
        <v>156</v>
      </c>
      <c r="J418" s="260"/>
      <c r="K418" s="262">
        <v>12</v>
      </c>
    </row>
    <row r="419" spans="1:11" ht="13">
      <c r="A419" s="272" t="s">
        <v>4255</v>
      </c>
      <c r="B419" s="260" t="s">
        <v>1319</v>
      </c>
      <c r="C419" s="262" t="s">
        <v>4742</v>
      </c>
      <c r="D419" s="261" t="s">
        <v>4747</v>
      </c>
      <c r="E419" s="262">
        <v>2022</v>
      </c>
      <c r="F419" s="263">
        <v>12</v>
      </c>
      <c r="G419" s="260" t="s">
        <v>32</v>
      </c>
      <c r="H419" s="260" t="s">
        <v>4748</v>
      </c>
      <c r="I419" s="260">
        <v>144</v>
      </c>
      <c r="J419" s="260"/>
      <c r="K419" s="262">
        <v>13.5</v>
      </c>
    </row>
    <row r="420" spans="1:11" ht="13">
      <c r="A420" s="272" t="s">
        <v>4255</v>
      </c>
      <c r="B420" s="260" t="s">
        <v>1317</v>
      </c>
      <c r="C420" s="262" t="s">
        <v>4742</v>
      </c>
      <c r="D420" s="261" t="s">
        <v>4747</v>
      </c>
      <c r="E420" s="262">
        <v>2023</v>
      </c>
      <c r="F420" s="263">
        <v>12</v>
      </c>
      <c r="G420" s="260" t="s">
        <v>32</v>
      </c>
      <c r="H420" s="260" t="s">
        <v>4749</v>
      </c>
      <c r="I420" s="260">
        <v>156</v>
      </c>
      <c r="J420" s="260"/>
      <c r="K420" s="262">
        <v>13.5</v>
      </c>
    </row>
    <row r="421" spans="1:11" ht="13">
      <c r="A421" s="272" t="s">
        <v>4255</v>
      </c>
      <c r="B421" s="260" t="s">
        <v>820</v>
      </c>
      <c r="C421" s="262" t="s">
        <v>4750</v>
      </c>
      <c r="D421" s="261" t="s">
        <v>4751</v>
      </c>
      <c r="E421" s="262">
        <v>2022</v>
      </c>
      <c r="F421" s="263">
        <v>12</v>
      </c>
      <c r="G421" s="260" t="s">
        <v>32</v>
      </c>
      <c r="H421" s="260" t="s">
        <v>4752</v>
      </c>
      <c r="I421" s="260">
        <v>198</v>
      </c>
      <c r="J421" s="260"/>
      <c r="K421" s="262">
        <v>12</v>
      </c>
    </row>
    <row r="422" spans="1:11" ht="13">
      <c r="A422" s="272" t="s">
        <v>4255</v>
      </c>
      <c r="B422" s="262" t="s">
        <v>4753</v>
      </c>
      <c r="C422" s="262" t="s">
        <v>4754</v>
      </c>
      <c r="D422" s="261" t="s">
        <v>4755</v>
      </c>
      <c r="E422" s="262">
        <v>2024</v>
      </c>
      <c r="F422" s="263">
        <v>12</v>
      </c>
      <c r="G422" s="260" t="s">
        <v>32</v>
      </c>
      <c r="H422" s="260" t="s">
        <v>4756</v>
      </c>
      <c r="I422" s="260">
        <v>222</v>
      </c>
      <c r="J422" s="260"/>
      <c r="K422" s="262">
        <v>13</v>
      </c>
    </row>
    <row r="423" spans="1:11" ht="13">
      <c r="A423" s="272" t="s">
        <v>4255</v>
      </c>
      <c r="B423" s="260" t="s">
        <v>4757</v>
      </c>
      <c r="C423" s="262" t="s">
        <v>4754</v>
      </c>
      <c r="D423" s="261" t="s">
        <v>4758</v>
      </c>
      <c r="E423" s="262">
        <v>2024</v>
      </c>
      <c r="F423" s="263">
        <v>12</v>
      </c>
      <c r="G423" s="260" t="s">
        <v>32</v>
      </c>
      <c r="H423" s="260" t="s">
        <v>4759</v>
      </c>
      <c r="I423" s="260">
        <v>204</v>
      </c>
      <c r="J423" s="260"/>
      <c r="K423" s="262">
        <v>13</v>
      </c>
    </row>
    <row r="424" spans="1:11" ht="13">
      <c r="A424" s="272" t="s">
        <v>4255</v>
      </c>
      <c r="B424" s="260" t="s">
        <v>104</v>
      </c>
      <c r="C424" s="260" t="s">
        <v>4754</v>
      </c>
      <c r="D424" s="261" t="s">
        <v>4760</v>
      </c>
      <c r="E424" s="262">
        <v>2024</v>
      </c>
      <c r="F424" s="263">
        <v>12</v>
      </c>
      <c r="G424" s="260" t="s">
        <v>32</v>
      </c>
      <c r="H424" s="260" t="s">
        <v>4010</v>
      </c>
      <c r="I424" s="260">
        <v>174</v>
      </c>
      <c r="J424" s="260"/>
      <c r="K424" s="262">
        <v>12</v>
      </c>
    </row>
    <row r="425" spans="1:11" ht="13">
      <c r="A425" s="272" t="s">
        <v>4255</v>
      </c>
      <c r="B425" s="260" t="s">
        <v>101</v>
      </c>
      <c r="C425" s="262" t="s">
        <v>4754</v>
      </c>
      <c r="D425" s="261" t="s">
        <v>4761</v>
      </c>
      <c r="E425" s="262">
        <v>2024</v>
      </c>
      <c r="F425" s="263">
        <v>12</v>
      </c>
      <c r="G425" s="260" t="s">
        <v>32</v>
      </c>
      <c r="H425" s="260" t="s">
        <v>4010</v>
      </c>
      <c r="I425" s="260">
        <v>174</v>
      </c>
      <c r="J425" s="260"/>
      <c r="K425" s="262">
        <v>12</v>
      </c>
    </row>
    <row r="426" spans="1:11" ht="13">
      <c r="A426" s="272" t="s">
        <v>4255</v>
      </c>
      <c r="B426" s="260" t="s">
        <v>112</v>
      </c>
      <c r="C426" s="262" t="s">
        <v>4754</v>
      </c>
      <c r="D426" s="261" t="s">
        <v>4762</v>
      </c>
      <c r="E426" s="262">
        <v>2024</v>
      </c>
      <c r="F426" s="263">
        <v>12</v>
      </c>
      <c r="G426" s="260" t="s">
        <v>32</v>
      </c>
      <c r="H426" s="260" t="s">
        <v>4238</v>
      </c>
      <c r="I426" s="260">
        <v>156</v>
      </c>
      <c r="J426" s="260"/>
      <c r="K426" s="262">
        <v>12</v>
      </c>
    </row>
    <row r="427" spans="1:11" ht="13">
      <c r="A427" s="272" t="s">
        <v>4255</v>
      </c>
      <c r="B427" s="260" t="s">
        <v>4763</v>
      </c>
      <c r="C427" s="262" t="s">
        <v>4754</v>
      </c>
      <c r="D427" s="261" t="s">
        <v>4764</v>
      </c>
      <c r="E427" s="262">
        <v>2024</v>
      </c>
      <c r="F427" s="263">
        <v>12</v>
      </c>
      <c r="G427" s="260" t="s">
        <v>32</v>
      </c>
      <c r="H427" s="260" t="s">
        <v>4076</v>
      </c>
      <c r="I427" s="260">
        <v>156</v>
      </c>
      <c r="J427" s="260"/>
      <c r="K427" s="262">
        <v>13</v>
      </c>
    </row>
    <row r="428" spans="1:11" ht="13">
      <c r="A428" s="272" t="s">
        <v>4255</v>
      </c>
      <c r="B428" s="260" t="s">
        <v>1100</v>
      </c>
      <c r="C428" s="260" t="s">
        <v>4765</v>
      </c>
      <c r="D428" s="261" t="s">
        <v>4766</v>
      </c>
      <c r="E428" s="262">
        <v>2022</v>
      </c>
      <c r="F428" s="263">
        <v>12</v>
      </c>
      <c r="G428" s="260" t="s">
        <v>32</v>
      </c>
      <c r="H428" s="260" t="s">
        <v>4304</v>
      </c>
      <c r="I428" s="260">
        <v>192</v>
      </c>
      <c r="J428" s="260"/>
      <c r="K428" s="262">
        <v>11</v>
      </c>
    </row>
    <row r="429" spans="1:11" ht="13">
      <c r="A429" s="272" t="s">
        <v>4255</v>
      </c>
      <c r="B429" s="260" t="s">
        <v>1105</v>
      </c>
      <c r="C429" s="262" t="s">
        <v>4765</v>
      </c>
      <c r="D429" s="261" t="s">
        <v>4767</v>
      </c>
      <c r="E429" s="262">
        <v>2022</v>
      </c>
      <c r="F429" s="263">
        <v>12</v>
      </c>
      <c r="G429" s="260" t="s">
        <v>32</v>
      </c>
      <c r="H429" s="260" t="s">
        <v>3966</v>
      </c>
      <c r="I429" s="260">
        <v>156</v>
      </c>
      <c r="J429" s="260"/>
      <c r="K429" s="262">
        <v>12</v>
      </c>
    </row>
    <row r="430" spans="1:11" ht="13">
      <c r="A430" s="272" t="s">
        <v>4255</v>
      </c>
      <c r="B430" s="260" t="s">
        <v>2264</v>
      </c>
      <c r="C430" s="262" t="s">
        <v>4768</v>
      </c>
      <c r="D430" s="261" t="s">
        <v>4769</v>
      </c>
      <c r="E430" s="262">
        <v>2020</v>
      </c>
      <c r="F430" s="263">
        <v>12</v>
      </c>
      <c r="G430" s="260" t="s">
        <v>32</v>
      </c>
      <c r="H430" s="260" t="s">
        <v>4770</v>
      </c>
      <c r="I430" s="260">
        <v>126</v>
      </c>
      <c r="J430" s="260"/>
      <c r="K430" s="262">
        <v>14</v>
      </c>
    </row>
    <row r="431" spans="1:11" ht="13">
      <c r="A431" s="272" t="s">
        <v>4255</v>
      </c>
      <c r="B431" s="260" t="s">
        <v>2267</v>
      </c>
      <c r="C431" s="262" t="s">
        <v>4768</v>
      </c>
      <c r="D431" s="261" t="s">
        <v>4771</v>
      </c>
      <c r="E431" s="262">
        <v>2023</v>
      </c>
      <c r="F431" s="263">
        <v>12</v>
      </c>
      <c r="G431" s="260" t="s">
        <v>32</v>
      </c>
      <c r="H431" s="260" t="s">
        <v>4772</v>
      </c>
      <c r="I431" s="260">
        <v>144</v>
      </c>
      <c r="J431" s="260"/>
      <c r="K431" s="262">
        <v>13</v>
      </c>
    </row>
    <row r="432" spans="1:11" ht="13">
      <c r="A432" s="272" t="s">
        <v>4255</v>
      </c>
      <c r="B432" s="260" t="s">
        <v>287</v>
      </c>
      <c r="C432" s="262" t="s">
        <v>4773</v>
      </c>
      <c r="D432" s="261" t="s">
        <v>288</v>
      </c>
      <c r="E432" s="262">
        <v>2023</v>
      </c>
      <c r="F432" s="263">
        <v>12</v>
      </c>
      <c r="G432" s="260" t="s">
        <v>32</v>
      </c>
      <c r="H432" s="260" t="s">
        <v>4774</v>
      </c>
      <c r="I432" s="260">
        <v>168</v>
      </c>
      <c r="J432" s="260"/>
      <c r="K432" s="262">
        <v>11</v>
      </c>
    </row>
    <row r="433" spans="1:11" ht="13">
      <c r="A433" s="272" t="s">
        <v>4255</v>
      </c>
      <c r="B433" s="262" t="s">
        <v>292</v>
      </c>
      <c r="C433" s="262" t="s">
        <v>4773</v>
      </c>
      <c r="D433" s="261" t="s">
        <v>293</v>
      </c>
      <c r="E433" s="262">
        <v>2024</v>
      </c>
      <c r="F433" s="263">
        <v>12</v>
      </c>
      <c r="G433" s="260" t="s">
        <v>32</v>
      </c>
      <c r="H433" s="260" t="s">
        <v>4775</v>
      </c>
      <c r="I433" s="260">
        <v>168</v>
      </c>
      <c r="J433" s="260"/>
      <c r="K433" s="262">
        <v>10.5</v>
      </c>
    </row>
    <row r="434" spans="1:11" ht="13">
      <c r="A434" s="272" t="s">
        <v>4255</v>
      </c>
      <c r="B434" s="260" t="s">
        <v>314</v>
      </c>
      <c r="C434" s="262" t="s">
        <v>4773</v>
      </c>
      <c r="D434" s="261" t="s">
        <v>4776</v>
      </c>
      <c r="E434" s="262">
        <v>2022</v>
      </c>
      <c r="F434" s="263">
        <v>12</v>
      </c>
      <c r="G434" s="260" t="s">
        <v>32</v>
      </c>
      <c r="H434" s="260" t="s">
        <v>4777</v>
      </c>
      <c r="I434" s="260">
        <v>150</v>
      </c>
      <c r="J434" s="260"/>
      <c r="K434" s="262">
        <v>12</v>
      </c>
    </row>
    <row r="435" spans="1:11" ht="13">
      <c r="A435" s="272" t="s">
        <v>4255</v>
      </c>
      <c r="B435" s="260" t="s">
        <v>309</v>
      </c>
      <c r="C435" s="262" t="s">
        <v>4773</v>
      </c>
      <c r="D435" s="261" t="s">
        <v>4778</v>
      </c>
      <c r="E435" s="262">
        <v>2023</v>
      </c>
      <c r="F435" s="263">
        <v>12</v>
      </c>
      <c r="G435" s="260" t="s">
        <v>32</v>
      </c>
      <c r="H435" s="260" t="s">
        <v>4779</v>
      </c>
      <c r="I435" s="260">
        <v>150</v>
      </c>
      <c r="J435" s="260"/>
      <c r="K435" s="262">
        <v>14</v>
      </c>
    </row>
    <row r="436" spans="1:11" ht="13">
      <c r="A436" s="272" t="s">
        <v>4255</v>
      </c>
      <c r="B436" s="260" t="s">
        <v>289</v>
      </c>
      <c r="C436" s="262" t="s">
        <v>4773</v>
      </c>
      <c r="D436" s="261" t="s">
        <v>290</v>
      </c>
      <c r="E436" s="262">
        <v>2024</v>
      </c>
      <c r="F436" s="263">
        <v>12</v>
      </c>
      <c r="G436" s="260" t="s">
        <v>32</v>
      </c>
      <c r="H436" s="260" t="s">
        <v>4780</v>
      </c>
      <c r="I436" s="260">
        <v>168</v>
      </c>
      <c r="J436" s="260"/>
      <c r="K436" s="262">
        <v>10.5</v>
      </c>
    </row>
    <row r="437" spans="1:11" ht="13">
      <c r="A437" s="272" t="s">
        <v>4255</v>
      </c>
      <c r="B437" s="260" t="s">
        <v>295</v>
      </c>
      <c r="C437" s="262" t="s">
        <v>4773</v>
      </c>
      <c r="D437" s="261" t="s">
        <v>4781</v>
      </c>
      <c r="E437" s="262">
        <v>2022</v>
      </c>
      <c r="F437" s="263">
        <v>12</v>
      </c>
      <c r="G437" s="260" t="s">
        <v>32</v>
      </c>
      <c r="H437" s="260" t="s">
        <v>4003</v>
      </c>
      <c r="I437" s="260">
        <v>138</v>
      </c>
      <c r="J437" s="260"/>
      <c r="K437" s="262">
        <v>12</v>
      </c>
    </row>
    <row r="438" spans="1:11" ht="13">
      <c r="A438" s="272" t="s">
        <v>4255</v>
      </c>
      <c r="B438" s="260" t="s">
        <v>269</v>
      </c>
      <c r="C438" s="262" t="s">
        <v>4773</v>
      </c>
      <c r="D438" s="260" t="s">
        <v>4782</v>
      </c>
      <c r="E438" s="262" t="s">
        <v>5</v>
      </c>
      <c r="F438" s="263">
        <v>12</v>
      </c>
      <c r="G438" s="260" t="s">
        <v>32</v>
      </c>
      <c r="H438" s="260" t="s">
        <v>4783</v>
      </c>
      <c r="I438" s="260">
        <v>168</v>
      </c>
      <c r="J438" s="260"/>
      <c r="K438" s="262">
        <v>12</v>
      </c>
    </row>
    <row r="439" spans="1:11" ht="13">
      <c r="A439" s="272" t="s">
        <v>4255</v>
      </c>
      <c r="B439" s="260" t="s">
        <v>272</v>
      </c>
      <c r="C439" s="262" t="s">
        <v>4773</v>
      </c>
      <c r="D439" s="261" t="s">
        <v>4784</v>
      </c>
      <c r="E439" s="262" t="s">
        <v>5</v>
      </c>
      <c r="F439" s="263">
        <v>12</v>
      </c>
      <c r="G439" s="260" t="s">
        <v>32</v>
      </c>
      <c r="H439" s="260" t="s">
        <v>4066</v>
      </c>
      <c r="I439" s="260">
        <v>150</v>
      </c>
      <c r="J439" s="260"/>
      <c r="K439" s="262">
        <v>12</v>
      </c>
    </row>
    <row r="440" spans="1:11" ht="13">
      <c r="A440" s="272" t="s">
        <v>4255</v>
      </c>
      <c r="B440" s="260" t="s">
        <v>284</v>
      </c>
      <c r="C440" s="262" t="s">
        <v>4773</v>
      </c>
      <c r="D440" s="261" t="s">
        <v>4785</v>
      </c>
      <c r="E440" s="262">
        <v>2021</v>
      </c>
      <c r="F440" s="263">
        <v>12</v>
      </c>
      <c r="G440" s="260" t="s">
        <v>32</v>
      </c>
      <c r="H440" s="260" t="s">
        <v>4282</v>
      </c>
      <c r="I440" s="260">
        <v>114</v>
      </c>
      <c r="J440" s="260"/>
      <c r="K440" s="262">
        <v>13.5</v>
      </c>
    </row>
    <row r="441" spans="1:11" ht="13">
      <c r="A441" s="272" t="s">
        <v>4255</v>
      </c>
      <c r="B441" s="260" t="s">
        <v>4786</v>
      </c>
      <c r="C441" s="262" t="s">
        <v>4773</v>
      </c>
      <c r="D441" s="261" t="s">
        <v>4785</v>
      </c>
      <c r="E441" s="262">
        <v>2023</v>
      </c>
      <c r="F441" s="263">
        <v>12</v>
      </c>
      <c r="G441" s="260" t="s">
        <v>32</v>
      </c>
      <c r="H441" s="260" t="s">
        <v>4787</v>
      </c>
      <c r="I441" s="260">
        <v>120</v>
      </c>
      <c r="J441" s="260"/>
      <c r="K441" s="262">
        <v>13.5</v>
      </c>
    </row>
    <row r="442" spans="1:11" ht="13">
      <c r="A442" s="272" t="s">
        <v>4255</v>
      </c>
      <c r="B442" s="260" t="s">
        <v>305</v>
      </c>
      <c r="C442" s="261" t="s">
        <v>4773</v>
      </c>
      <c r="D442" s="261" t="s">
        <v>4788</v>
      </c>
      <c r="E442" s="262">
        <v>2021</v>
      </c>
      <c r="F442" s="263">
        <v>12</v>
      </c>
      <c r="G442" s="260" t="s">
        <v>32</v>
      </c>
      <c r="H442" s="260" t="s">
        <v>4789</v>
      </c>
      <c r="I442" s="260">
        <v>108</v>
      </c>
      <c r="J442" s="260" t="s">
        <v>4790</v>
      </c>
      <c r="K442" s="262">
        <v>13</v>
      </c>
    </row>
    <row r="443" spans="1:11" ht="13">
      <c r="A443" s="272" t="s">
        <v>4255</v>
      </c>
      <c r="B443" s="260" t="s">
        <v>1442</v>
      </c>
      <c r="C443" s="260" t="s">
        <v>4791</v>
      </c>
      <c r="D443" s="261" t="s">
        <v>4792</v>
      </c>
      <c r="E443" s="262" t="s">
        <v>5</v>
      </c>
      <c r="F443" s="263">
        <v>12</v>
      </c>
      <c r="G443" s="260" t="s">
        <v>32</v>
      </c>
      <c r="H443" s="260" t="s">
        <v>4165</v>
      </c>
      <c r="I443" s="260">
        <v>198</v>
      </c>
      <c r="J443" s="260"/>
      <c r="K443" s="262">
        <v>11</v>
      </c>
    </row>
    <row r="444" spans="1:11" ht="13">
      <c r="A444" s="272" t="s">
        <v>4255</v>
      </c>
      <c r="B444" s="260" t="s">
        <v>4793</v>
      </c>
      <c r="C444" s="261" t="s">
        <v>4791</v>
      </c>
      <c r="D444" s="261" t="s">
        <v>4794</v>
      </c>
      <c r="E444" s="262" t="s">
        <v>5</v>
      </c>
      <c r="F444" s="263">
        <v>12</v>
      </c>
      <c r="G444" s="260" t="s">
        <v>32</v>
      </c>
      <c r="H444" s="260" t="s">
        <v>4795</v>
      </c>
      <c r="I444" s="260">
        <v>174</v>
      </c>
      <c r="J444" s="260"/>
      <c r="K444" s="262">
        <v>11</v>
      </c>
    </row>
    <row r="445" spans="1:11" ht="13">
      <c r="A445" s="272" t="s">
        <v>4255</v>
      </c>
      <c r="B445" s="260" t="s">
        <v>1444</v>
      </c>
      <c r="C445" s="260" t="s">
        <v>4791</v>
      </c>
      <c r="D445" s="261" t="s">
        <v>4796</v>
      </c>
      <c r="E445" s="262" t="s">
        <v>5</v>
      </c>
      <c r="F445" s="263">
        <v>12</v>
      </c>
      <c r="G445" s="260" t="s">
        <v>32</v>
      </c>
      <c r="H445" s="260" t="s">
        <v>4797</v>
      </c>
      <c r="I445" s="260">
        <v>258</v>
      </c>
      <c r="J445" s="260"/>
      <c r="K445" s="262">
        <v>14</v>
      </c>
    </row>
    <row r="446" spans="1:11" ht="13">
      <c r="A446" s="272" t="s">
        <v>4255</v>
      </c>
      <c r="B446" s="262" t="s">
        <v>1446</v>
      </c>
      <c r="C446" s="261" t="s">
        <v>4791</v>
      </c>
      <c r="D446" s="261" t="s">
        <v>4798</v>
      </c>
      <c r="E446" s="262" t="s">
        <v>5</v>
      </c>
      <c r="F446" s="263">
        <v>12</v>
      </c>
      <c r="G446" s="260" t="s">
        <v>32</v>
      </c>
      <c r="H446" s="260" t="s">
        <v>4324</v>
      </c>
      <c r="I446" s="260">
        <v>234</v>
      </c>
      <c r="J446" s="260"/>
      <c r="K446" s="262">
        <v>14.45</v>
      </c>
    </row>
    <row r="447" spans="1:11" ht="13">
      <c r="A447" s="272" t="s">
        <v>4255</v>
      </c>
      <c r="B447" s="260" t="s">
        <v>1462</v>
      </c>
      <c r="C447" s="261" t="s">
        <v>4791</v>
      </c>
      <c r="D447" s="261" t="s">
        <v>4799</v>
      </c>
      <c r="E447" s="262">
        <v>2024</v>
      </c>
      <c r="F447" s="263">
        <v>12</v>
      </c>
      <c r="G447" s="260" t="s">
        <v>32</v>
      </c>
      <c r="H447" s="260" t="s">
        <v>4800</v>
      </c>
      <c r="I447" s="260">
        <v>156</v>
      </c>
      <c r="J447" s="260"/>
      <c r="K447" s="262">
        <v>12.5</v>
      </c>
    </row>
    <row r="448" spans="1:11" ht="13">
      <c r="A448" s="272" t="s">
        <v>4255</v>
      </c>
      <c r="B448" s="260" t="s">
        <v>4801</v>
      </c>
      <c r="C448" s="260" t="s">
        <v>4791</v>
      </c>
      <c r="D448" s="261" t="s">
        <v>4802</v>
      </c>
      <c r="E448" s="262">
        <v>2024</v>
      </c>
      <c r="F448" s="263">
        <v>12</v>
      </c>
      <c r="G448" s="260" t="s">
        <v>32</v>
      </c>
      <c r="H448" s="260" t="s">
        <v>4803</v>
      </c>
      <c r="I448" s="260">
        <v>174</v>
      </c>
      <c r="J448" s="260"/>
      <c r="K448" s="262">
        <v>14</v>
      </c>
    </row>
    <row r="449" spans="1:11" ht="13">
      <c r="A449" s="272" t="s">
        <v>4255</v>
      </c>
      <c r="B449" s="260" t="s">
        <v>4804</v>
      </c>
      <c r="C449" s="260" t="s">
        <v>4791</v>
      </c>
      <c r="D449" s="261" t="s">
        <v>4805</v>
      </c>
      <c r="E449" s="262">
        <v>2023</v>
      </c>
      <c r="F449" s="263">
        <v>12</v>
      </c>
      <c r="G449" s="260" t="s">
        <v>32</v>
      </c>
      <c r="H449" s="260" t="s">
        <v>4151</v>
      </c>
      <c r="I449" s="260">
        <v>306</v>
      </c>
      <c r="J449" s="260"/>
      <c r="K449" s="262">
        <v>12.5</v>
      </c>
    </row>
    <row r="450" spans="1:11" ht="13">
      <c r="A450" s="272" t="s">
        <v>4255</v>
      </c>
      <c r="B450" s="260" t="s">
        <v>1432</v>
      </c>
      <c r="C450" s="261" t="s">
        <v>4791</v>
      </c>
      <c r="D450" s="261" t="s">
        <v>4806</v>
      </c>
      <c r="E450" s="262">
        <v>2021</v>
      </c>
      <c r="F450" s="263">
        <v>12</v>
      </c>
      <c r="G450" s="260" t="s">
        <v>32</v>
      </c>
      <c r="H450" s="260" t="s">
        <v>4726</v>
      </c>
      <c r="I450" s="260">
        <v>180</v>
      </c>
      <c r="J450" s="260"/>
      <c r="K450" s="262">
        <v>14.36</v>
      </c>
    </row>
    <row r="451" spans="1:11" ht="13">
      <c r="A451" s="272" t="s">
        <v>4255</v>
      </c>
      <c r="B451" s="260" t="s">
        <v>1436</v>
      </c>
      <c r="C451" s="260" t="s">
        <v>4791</v>
      </c>
      <c r="D451" s="261" t="s">
        <v>4807</v>
      </c>
      <c r="E451" s="262">
        <v>2022</v>
      </c>
      <c r="F451" s="263">
        <v>12</v>
      </c>
      <c r="G451" s="260" t="s">
        <v>32</v>
      </c>
      <c r="H451" s="260" t="s">
        <v>4130</v>
      </c>
      <c r="I451" s="260">
        <v>168</v>
      </c>
      <c r="J451" s="260"/>
      <c r="K451" s="262">
        <v>14.36</v>
      </c>
    </row>
    <row r="452" spans="1:11" ht="13">
      <c r="A452" s="272" t="s">
        <v>4255</v>
      </c>
      <c r="B452" s="260" t="s">
        <v>1434</v>
      </c>
      <c r="C452" s="260" t="s">
        <v>4791</v>
      </c>
      <c r="D452" s="261" t="s">
        <v>4807</v>
      </c>
      <c r="E452" s="262">
        <v>2023</v>
      </c>
      <c r="F452" s="263">
        <v>12</v>
      </c>
      <c r="G452" s="260" t="s">
        <v>32</v>
      </c>
      <c r="H452" s="260" t="s">
        <v>4478</v>
      </c>
      <c r="I452" s="260">
        <v>156</v>
      </c>
      <c r="J452" s="260"/>
      <c r="K452" s="262">
        <v>14.36</v>
      </c>
    </row>
    <row r="453" spans="1:11" ht="13">
      <c r="A453" s="272" t="s">
        <v>4255</v>
      </c>
      <c r="B453" s="260" t="s">
        <v>1470</v>
      </c>
      <c r="C453" s="261" t="s">
        <v>4808</v>
      </c>
      <c r="D453" s="261" t="s">
        <v>1471</v>
      </c>
      <c r="E453" s="262">
        <v>2023</v>
      </c>
      <c r="F453" s="263">
        <v>12</v>
      </c>
      <c r="G453" s="260" t="s">
        <v>32</v>
      </c>
      <c r="H453" s="260" t="s">
        <v>4183</v>
      </c>
      <c r="I453" s="260">
        <v>246</v>
      </c>
      <c r="J453" s="260"/>
      <c r="K453" s="262">
        <v>13</v>
      </c>
    </row>
    <row r="454" spans="1:11" ht="13">
      <c r="A454" s="272" t="s">
        <v>4255</v>
      </c>
      <c r="B454" s="260" t="s">
        <v>4809</v>
      </c>
      <c r="C454" s="260" t="s">
        <v>4808</v>
      </c>
      <c r="D454" s="261" t="s">
        <v>4810</v>
      </c>
      <c r="E454" s="262">
        <v>2024</v>
      </c>
      <c r="F454" s="263">
        <v>12</v>
      </c>
      <c r="G454" s="260" t="s">
        <v>32</v>
      </c>
      <c r="H454" s="260" t="s">
        <v>4811</v>
      </c>
      <c r="I454" s="260">
        <v>234</v>
      </c>
      <c r="J454" s="260"/>
      <c r="K454" s="262">
        <v>13</v>
      </c>
    </row>
    <row r="455" spans="1:11" ht="13">
      <c r="A455" s="272" t="s">
        <v>4255</v>
      </c>
      <c r="B455" s="260" t="s">
        <v>4812</v>
      </c>
      <c r="C455" s="262" t="s">
        <v>4808</v>
      </c>
      <c r="D455" s="261" t="s">
        <v>1472</v>
      </c>
      <c r="E455" s="262">
        <v>2023</v>
      </c>
      <c r="F455" s="263">
        <v>12</v>
      </c>
      <c r="G455" s="260" t="s">
        <v>32</v>
      </c>
      <c r="H455" s="260" t="s">
        <v>4163</v>
      </c>
      <c r="I455" s="260">
        <v>246</v>
      </c>
      <c r="J455" s="260"/>
      <c r="K455" s="262">
        <v>9.5</v>
      </c>
    </row>
    <row r="456" spans="1:11" ht="13">
      <c r="A456" s="272" t="s">
        <v>4255</v>
      </c>
      <c r="B456" s="260" t="s">
        <v>1476</v>
      </c>
      <c r="C456" s="261" t="s">
        <v>4808</v>
      </c>
      <c r="D456" s="261" t="s">
        <v>4813</v>
      </c>
      <c r="E456" s="262">
        <v>2023</v>
      </c>
      <c r="F456" s="263">
        <v>12</v>
      </c>
      <c r="G456" s="260" t="s">
        <v>32</v>
      </c>
      <c r="H456" s="260" t="s">
        <v>4814</v>
      </c>
      <c r="I456" s="260">
        <v>228</v>
      </c>
      <c r="J456" s="260"/>
      <c r="K456" s="262">
        <v>13</v>
      </c>
    </row>
    <row r="457" spans="1:11" ht="13">
      <c r="A457" s="272" t="s">
        <v>4255</v>
      </c>
      <c r="B457" s="260" t="s">
        <v>1482</v>
      </c>
      <c r="C457" s="260" t="s">
        <v>4808</v>
      </c>
      <c r="D457" s="261" t="s">
        <v>4815</v>
      </c>
      <c r="E457" s="262">
        <v>2023</v>
      </c>
      <c r="F457" s="263">
        <v>12</v>
      </c>
      <c r="G457" s="260" t="s">
        <v>32</v>
      </c>
      <c r="H457" s="260" t="s">
        <v>4437</v>
      </c>
      <c r="I457" s="260">
        <v>228</v>
      </c>
      <c r="J457" s="260"/>
      <c r="K457" s="262">
        <v>13</v>
      </c>
    </row>
    <row r="458" spans="1:11" ht="13">
      <c r="A458" s="272" t="s">
        <v>4255</v>
      </c>
      <c r="B458" s="260" t="s">
        <v>1474</v>
      </c>
      <c r="C458" s="261" t="s">
        <v>4808</v>
      </c>
      <c r="D458" s="261" t="s">
        <v>4816</v>
      </c>
      <c r="E458" s="262">
        <v>2023</v>
      </c>
      <c r="F458" s="263">
        <v>12</v>
      </c>
      <c r="G458" s="260" t="s">
        <v>32</v>
      </c>
      <c r="H458" s="260" t="s">
        <v>4749</v>
      </c>
      <c r="I458" s="260">
        <v>228</v>
      </c>
      <c r="J458" s="260"/>
      <c r="K458" s="262">
        <v>11</v>
      </c>
    </row>
    <row r="459" spans="1:11" ht="13">
      <c r="A459" s="272" t="s">
        <v>4255</v>
      </c>
      <c r="B459" s="262" t="s">
        <v>1495</v>
      </c>
      <c r="C459" s="262" t="s">
        <v>4808</v>
      </c>
      <c r="D459" s="261" t="s">
        <v>4817</v>
      </c>
      <c r="E459" s="262">
        <v>2023</v>
      </c>
      <c r="F459" s="263">
        <v>12</v>
      </c>
      <c r="G459" s="260" t="s">
        <v>32</v>
      </c>
      <c r="H459" s="260" t="s">
        <v>4818</v>
      </c>
      <c r="I459" s="260">
        <v>246</v>
      </c>
      <c r="J459" s="260"/>
      <c r="K459" s="262">
        <v>14</v>
      </c>
    </row>
    <row r="460" spans="1:11" ht="13">
      <c r="A460" s="272" t="s">
        <v>4255</v>
      </c>
      <c r="B460" s="260" t="s">
        <v>4819</v>
      </c>
      <c r="C460" s="260" t="s">
        <v>4808</v>
      </c>
      <c r="D460" s="261" t="s">
        <v>4817</v>
      </c>
      <c r="E460" s="262">
        <v>2024</v>
      </c>
      <c r="F460" s="263">
        <v>12</v>
      </c>
      <c r="G460" s="260" t="s">
        <v>32</v>
      </c>
      <c r="H460" s="260" t="s">
        <v>4820</v>
      </c>
      <c r="I460" s="260">
        <v>234</v>
      </c>
      <c r="J460" s="260"/>
      <c r="K460" s="262">
        <v>13</v>
      </c>
    </row>
    <row r="461" spans="1:11" ht="13">
      <c r="A461" s="272" t="s">
        <v>4255</v>
      </c>
      <c r="B461" s="260" t="s">
        <v>1047</v>
      </c>
      <c r="C461" s="260" t="s">
        <v>4821</v>
      </c>
      <c r="D461" s="261" t="s">
        <v>4822</v>
      </c>
      <c r="E461" s="262">
        <v>2022</v>
      </c>
      <c r="F461" s="263">
        <v>6</v>
      </c>
      <c r="G461" s="260" t="s">
        <v>32</v>
      </c>
      <c r="H461" s="260" t="s">
        <v>4823</v>
      </c>
      <c r="I461" s="260">
        <v>258</v>
      </c>
      <c r="J461" s="260"/>
      <c r="K461" s="262">
        <v>12.5</v>
      </c>
    </row>
    <row r="462" spans="1:11" ht="13">
      <c r="A462" s="272" t="s">
        <v>4255</v>
      </c>
      <c r="B462" s="260" t="s">
        <v>1016</v>
      </c>
      <c r="C462" s="261" t="s">
        <v>4821</v>
      </c>
      <c r="D462" s="261" t="s">
        <v>954</v>
      </c>
      <c r="E462" s="262">
        <v>2022</v>
      </c>
      <c r="F462" s="263">
        <v>6</v>
      </c>
      <c r="G462" s="260" t="s">
        <v>32</v>
      </c>
      <c r="H462" s="260" t="s">
        <v>4560</v>
      </c>
      <c r="I462" s="260">
        <v>159</v>
      </c>
      <c r="J462" s="260"/>
      <c r="K462" s="262">
        <v>12</v>
      </c>
    </row>
    <row r="463" spans="1:11" ht="13">
      <c r="A463" s="272" t="s">
        <v>4255</v>
      </c>
      <c r="B463" s="260" t="s">
        <v>1034</v>
      </c>
      <c r="C463" s="260" t="s">
        <v>4821</v>
      </c>
      <c r="D463" s="261" t="s">
        <v>4824</v>
      </c>
      <c r="E463" s="262">
        <v>2019</v>
      </c>
      <c r="F463" s="263">
        <v>12</v>
      </c>
      <c r="G463" s="260" t="s">
        <v>32</v>
      </c>
      <c r="H463" s="260" t="s">
        <v>4825</v>
      </c>
      <c r="I463" s="260">
        <v>216</v>
      </c>
      <c r="J463" s="260"/>
      <c r="K463" s="262">
        <v>13</v>
      </c>
    </row>
    <row r="464" spans="1:11" ht="13">
      <c r="A464" s="272" t="s">
        <v>4255</v>
      </c>
      <c r="B464" s="260" t="s">
        <v>1037</v>
      </c>
      <c r="C464" s="261" t="s">
        <v>4821</v>
      </c>
      <c r="D464" s="261" t="s">
        <v>4824</v>
      </c>
      <c r="E464" s="262">
        <v>2020</v>
      </c>
      <c r="F464" s="263">
        <v>12</v>
      </c>
      <c r="G464" s="260" t="s">
        <v>32</v>
      </c>
      <c r="H464" s="260" t="s">
        <v>4826</v>
      </c>
      <c r="I464" s="260">
        <v>252</v>
      </c>
      <c r="J464" s="260"/>
      <c r="K464" s="262">
        <v>13</v>
      </c>
    </row>
    <row r="465" spans="1:11" ht="13">
      <c r="A465" s="272" t="s">
        <v>4255</v>
      </c>
      <c r="B465" s="260" t="s">
        <v>1042</v>
      </c>
      <c r="C465" s="260" t="s">
        <v>4821</v>
      </c>
      <c r="D465" s="260" t="s">
        <v>1011</v>
      </c>
      <c r="E465" s="262">
        <v>2022</v>
      </c>
      <c r="F465" s="263">
        <v>6</v>
      </c>
      <c r="G465" s="260" t="s">
        <v>32</v>
      </c>
      <c r="H465" s="260" t="s">
        <v>4673</v>
      </c>
      <c r="I465" s="260">
        <v>186</v>
      </c>
      <c r="J465" s="260"/>
      <c r="K465" s="262">
        <v>12.5</v>
      </c>
    </row>
    <row r="466" spans="1:11" ht="13">
      <c r="A466" s="272" t="s">
        <v>4255</v>
      </c>
      <c r="B466" s="262" t="s">
        <v>757</v>
      </c>
      <c r="C466" s="260" t="s">
        <v>4827</v>
      </c>
      <c r="D466" s="261" t="s">
        <v>4828</v>
      </c>
      <c r="E466" s="262">
        <v>2021</v>
      </c>
      <c r="F466" s="263">
        <v>12</v>
      </c>
      <c r="G466" s="260" t="s">
        <v>32</v>
      </c>
      <c r="H466" s="260" t="s">
        <v>4829</v>
      </c>
      <c r="I466" s="260">
        <v>216</v>
      </c>
      <c r="J466" s="260"/>
      <c r="K466" s="262">
        <v>12.5</v>
      </c>
    </row>
    <row r="467" spans="1:11" ht="13">
      <c r="A467" s="272" t="s">
        <v>4255</v>
      </c>
      <c r="B467" s="260" t="s">
        <v>749</v>
      </c>
      <c r="C467" s="262" t="s">
        <v>4827</v>
      </c>
      <c r="D467" s="261" t="s">
        <v>4830</v>
      </c>
      <c r="E467" s="262">
        <v>2022</v>
      </c>
      <c r="F467" s="263">
        <v>12</v>
      </c>
      <c r="G467" s="260" t="s">
        <v>32</v>
      </c>
      <c r="H467" s="260" t="s">
        <v>4491</v>
      </c>
      <c r="I467" s="260">
        <v>378</v>
      </c>
      <c r="J467" s="260"/>
      <c r="K467" s="262">
        <v>12.5</v>
      </c>
    </row>
    <row r="468" spans="1:11" ht="13">
      <c r="A468" s="272" t="s">
        <v>4255</v>
      </c>
      <c r="B468" s="260" t="s">
        <v>752</v>
      </c>
      <c r="C468" s="261" t="s">
        <v>4827</v>
      </c>
      <c r="D468" s="261" t="s">
        <v>4831</v>
      </c>
      <c r="E468" s="262">
        <v>2022</v>
      </c>
      <c r="F468" s="263">
        <v>12</v>
      </c>
      <c r="G468" s="260" t="s">
        <v>32</v>
      </c>
      <c r="H468" s="260" t="s">
        <v>4832</v>
      </c>
      <c r="I468" s="260">
        <v>216</v>
      </c>
      <c r="J468" s="260"/>
      <c r="K468" s="262">
        <v>12.5</v>
      </c>
    </row>
    <row r="469" spans="1:11" ht="13">
      <c r="A469" s="272" t="s">
        <v>4255</v>
      </c>
      <c r="B469" s="260" t="s">
        <v>755</v>
      </c>
      <c r="C469" s="261" t="s">
        <v>4827</v>
      </c>
      <c r="D469" s="261" t="s">
        <v>4833</v>
      </c>
      <c r="E469" s="262">
        <v>2021</v>
      </c>
      <c r="F469" s="263">
        <v>12</v>
      </c>
      <c r="G469" s="260" t="s">
        <v>32</v>
      </c>
      <c r="H469" s="260" t="s">
        <v>4834</v>
      </c>
      <c r="I469" s="260">
        <v>192</v>
      </c>
      <c r="J469" s="260"/>
      <c r="K469" s="262">
        <v>12.5</v>
      </c>
    </row>
    <row r="470" spans="1:11" ht="13">
      <c r="A470" s="272" t="s">
        <v>4255</v>
      </c>
      <c r="B470" s="260" t="s">
        <v>746</v>
      </c>
      <c r="C470" s="262" t="s">
        <v>4827</v>
      </c>
      <c r="D470" s="261" t="s">
        <v>4835</v>
      </c>
      <c r="E470" s="262">
        <v>2021</v>
      </c>
      <c r="F470" s="263">
        <v>12</v>
      </c>
      <c r="G470" s="260" t="s">
        <v>32</v>
      </c>
      <c r="H470" s="260" t="s">
        <v>4400</v>
      </c>
      <c r="I470" s="260">
        <v>342</v>
      </c>
      <c r="J470" s="260"/>
      <c r="K470" s="262">
        <v>0</v>
      </c>
    </row>
    <row r="471" spans="1:11" ht="13">
      <c r="A471" s="272" t="s">
        <v>4255</v>
      </c>
      <c r="B471" s="260" t="s">
        <v>4836</v>
      </c>
      <c r="C471" s="262" t="s">
        <v>4837</v>
      </c>
      <c r="D471" s="261" t="s">
        <v>4621</v>
      </c>
      <c r="E471" s="262">
        <v>2022</v>
      </c>
      <c r="F471" s="263">
        <v>12</v>
      </c>
      <c r="G471" s="260" t="s">
        <v>32</v>
      </c>
      <c r="H471" s="260" t="s">
        <v>4076</v>
      </c>
      <c r="I471" s="260">
        <v>378</v>
      </c>
      <c r="J471" s="260"/>
      <c r="K471" s="262">
        <v>12</v>
      </c>
    </row>
    <row r="472" spans="1:11" ht="13">
      <c r="A472" s="272" t="s">
        <v>4255</v>
      </c>
      <c r="B472" s="260" t="s">
        <v>4838</v>
      </c>
      <c r="C472" s="260" t="s">
        <v>4837</v>
      </c>
      <c r="D472" s="261" t="s">
        <v>4839</v>
      </c>
      <c r="E472" s="262">
        <v>2022</v>
      </c>
      <c r="F472" s="263">
        <v>12</v>
      </c>
      <c r="G472" s="260" t="s">
        <v>32</v>
      </c>
      <c r="H472" s="260" t="s">
        <v>3983</v>
      </c>
      <c r="I472" s="260">
        <v>822</v>
      </c>
      <c r="J472" s="260"/>
      <c r="K472" s="262">
        <v>13</v>
      </c>
    </row>
    <row r="473" spans="1:11" ht="13">
      <c r="A473" s="272" t="s">
        <v>4255</v>
      </c>
      <c r="B473" s="260" t="s">
        <v>1403</v>
      </c>
      <c r="C473" s="260" t="s">
        <v>4840</v>
      </c>
      <c r="D473" s="261" t="s">
        <v>1404</v>
      </c>
      <c r="E473" s="262">
        <v>2024</v>
      </c>
      <c r="F473" s="263">
        <v>12</v>
      </c>
      <c r="G473" s="260" t="s">
        <v>32</v>
      </c>
      <c r="H473" s="260" t="s">
        <v>4262</v>
      </c>
      <c r="I473" s="260">
        <v>138</v>
      </c>
      <c r="J473" s="260"/>
      <c r="K473" s="262">
        <v>12</v>
      </c>
    </row>
    <row r="474" spans="1:11" ht="13">
      <c r="A474" s="272" t="s">
        <v>4255</v>
      </c>
      <c r="B474" s="260" t="s">
        <v>1416</v>
      </c>
      <c r="C474" s="261" t="s">
        <v>4840</v>
      </c>
      <c r="D474" s="261" t="s">
        <v>4841</v>
      </c>
      <c r="E474" s="262">
        <v>2023</v>
      </c>
      <c r="F474" s="263">
        <v>12</v>
      </c>
      <c r="G474" s="260" t="s">
        <v>32</v>
      </c>
      <c r="H474" s="260" t="s">
        <v>4842</v>
      </c>
      <c r="I474" s="260">
        <v>138</v>
      </c>
      <c r="J474" s="260"/>
      <c r="K474" s="262">
        <v>14.5</v>
      </c>
    </row>
    <row r="475" spans="1:11" ht="13">
      <c r="A475" s="272" t="s">
        <v>4255</v>
      </c>
      <c r="B475" s="260" t="s">
        <v>41</v>
      </c>
      <c r="C475" s="260" t="s">
        <v>4843</v>
      </c>
      <c r="D475" s="261" t="s">
        <v>4844</v>
      </c>
      <c r="E475" s="262">
        <v>2022</v>
      </c>
      <c r="F475" s="263">
        <v>6</v>
      </c>
      <c r="G475" s="260" t="s">
        <v>32</v>
      </c>
      <c r="H475" s="260" t="s">
        <v>4076</v>
      </c>
      <c r="I475" s="260">
        <v>99</v>
      </c>
      <c r="J475" s="260"/>
      <c r="K475" s="262">
        <v>12.5</v>
      </c>
    </row>
    <row r="476" spans="1:11" ht="13">
      <c r="A476" s="272" t="s">
        <v>4255</v>
      </c>
      <c r="B476" s="260" t="s">
        <v>50</v>
      </c>
      <c r="C476" s="261" t="s">
        <v>4843</v>
      </c>
      <c r="D476" s="260" t="s">
        <v>4845</v>
      </c>
      <c r="E476" s="262">
        <v>2021</v>
      </c>
      <c r="F476" s="263">
        <v>6</v>
      </c>
      <c r="G476" s="260" t="s">
        <v>32</v>
      </c>
      <c r="H476" s="260" t="s">
        <v>4261</v>
      </c>
      <c r="I476" s="260">
        <v>138</v>
      </c>
      <c r="J476" s="260"/>
      <c r="K476" s="262">
        <v>12.5</v>
      </c>
    </row>
    <row r="477" spans="1:11" ht="13">
      <c r="A477" s="272" t="s">
        <v>4255</v>
      </c>
      <c r="B477" s="260" t="s">
        <v>59</v>
      </c>
      <c r="C477" s="262" t="s">
        <v>4843</v>
      </c>
      <c r="D477" s="261" t="s">
        <v>4846</v>
      </c>
      <c r="E477" s="262">
        <v>2020</v>
      </c>
      <c r="F477" s="263">
        <v>6</v>
      </c>
      <c r="G477" s="260" t="s">
        <v>32</v>
      </c>
      <c r="H477" s="260" t="s">
        <v>4847</v>
      </c>
      <c r="I477" s="260">
        <v>138</v>
      </c>
      <c r="J477" s="260"/>
      <c r="K477" s="262">
        <v>12.5</v>
      </c>
    </row>
    <row r="478" spans="1:11" ht="13">
      <c r="A478" s="272" t="s">
        <v>4255</v>
      </c>
      <c r="B478" s="260" t="s">
        <v>53</v>
      </c>
      <c r="C478" s="261" t="s">
        <v>4843</v>
      </c>
      <c r="D478" s="260" t="s">
        <v>4848</v>
      </c>
      <c r="E478" s="262">
        <v>2020</v>
      </c>
      <c r="F478" s="263">
        <v>6</v>
      </c>
      <c r="G478" s="260" t="s">
        <v>32</v>
      </c>
      <c r="H478" s="260" t="s">
        <v>4044</v>
      </c>
      <c r="I478" s="260">
        <v>138</v>
      </c>
      <c r="J478" s="260"/>
      <c r="K478" s="262">
        <v>12.5</v>
      </c>
    </row>
    <row r="479" spans="1:11" ht="13">
      <c r="A479" s="272" t="s">
        <v>4255</v>
      </c>
      <c r="B479" s="260" t="s">
        <v>38</v>
      </c>
      <c r="C479" s="260" t="s">
        <v>4843</v>
      </c>
      <c r="D479" s="260" t="s">
        <v>4849</v>
      </c>
      <c r="E479" s="262">
        <v>2022</v>
      </c>
      <c r="F479" s="263">
        <v>6</v>
      </c>
      <c r="G479" s="260" t="s">
        <v>32</v>
      </c>
      <c r="H479" s="260" t="s">
        <v>4044</v>
      </c>
      <c r="I479" s="260">
        <v>72</v>
      </c>
      <c r="J479" s="260"/>
      <c r="K479" s="262">
        <v>12.5</v>
      </c>
    </row>
    <row r="480" spans="1:11" ht="13">
      <c r="A480" s="272" t="s">
        <v>4255</v>
      </c>
      <c r="B480" s="260" t="s">
        <v>1776</v>
      </c>
      <c r="C480" s="260" t="s">
        <v>4850</v>
      </c>
      <c r="D480" s="261" t="s">
        <v>4851</v>
      </c>
      <c r="E480" s="262">
        <v>2021</v>
      </c>
      <c r="F480" s="263">
        <v>12</v>
      </c>
      <c r="G480" s="260" t="s">
        <v>32</v>
      </c>
      <c r="H480" s="260" t="s">
        <v>4189</v>
      </c>
      <c r="I480" s="260">
        <v>186</v>
      </c>
      <c r="J480" s="260"/>
      <c r="K480" s="262">
        <v>14</v>
      </c>
    </row>
    <row r="481" spans="1:11" ht="13">
      <c r="A481" s="272" t="s">
        <v>4255</v>
      </c>
      <c r="B481" s="262" t="s">
        <v>1757</v>
      </c>
      <c r="C481" s="262" t="s">
        <v>4850</v>
      </c>
      <c r="D481" s="260" t="s">
        <v>4852</v>
      </c>
      <c r="E481" s="262">
        <v>2023</v>
      </c>
      <c r="F481" s="263">
        <v>12</v>
      </c>
      <c r="G481" s="260" t="s">
        <v>32</v>
      </c>
      <c r="H481" s="260" t="s">
        <v>4853</v>
      </c>
      <c r="I481" s="260">
        <v>192</v>
      </c>
      <c r="J481" s="260"/>
      <c r="K481" s="262">
        <v>14</v>
      </c>
    </row>
    <row r="482" spans="1:11" ht="13">
      <c r="A482" s="272" t="s">
        <v>4255</v>
      </c>
      <c r="B482" s="260" t="s">
        <v>1774</v>
      </c>
      <c r="C482" s="262" t="s">
        <v>4850</v>
      </c>
      <c r="D482" s="260" t="s">
        <v>4854</v>
      </c>
      <c r="E482" s="262">
        <v>2023</v>
      </c>
      <c r="F482" s="263">
        <v>12</v>
      </c>
      <c r="G482" s="260" t="s">
        <v>32</v>
      </c>
      <c r="H482" s="260" t="s">
        <v>4154</v>
      </c>
      <c r="I482" s="260">
        <v>180</v>
      </c>
      <c r="J482" s="260"/>
      <c r="K482" s="262">
        <v>14</v>
      </c>
    </row>
    <row r="483" spans="1:11" ht="13">
      <c r="A483" s="272" t="s">
        <v>4255</v>
      </c>
      <c r="B483" s="260" t="s">
        <v>4855</v>
      </c>
      <c r="C483" s="262" t="s">
        <v>4850</v>
      </c>
      <c r="D483" s="261" t="s">
        <v>4856</v>
      </c>
      <c r="E483" s="262">
        <v>2023</v>
      </c>
      <c r="F483" s="263">
        <v>12</v>
      </c>
      <c r="G483" s="260" t="s">
        <v>32</v>
      </c>
      <c r="H483" s="260" t="s">
        <v>4076</v>
      </c>
      <c r="I483" s="260">
        <v>204</v>
      </c>
      <c r="J483" s="260"/>
      <c r="K483" s="262">
        <v>14</v>
      </c>
    </row>
    <row r="484" spans="1:11" ht="13">
      <c r="A484" s="272" t="s">
        <v>4255</v>
      </c>
      <c r="B484" s="260" t="s">
        <v>4857</v>
      </c>
      <c r="C484" s="262" t="s">
        <v>4850</v>
      </c>
      <c r="D484" s="261" t="s">
        <v>4858</v>
      </c>
      <c r="E484" s="262">
        <v>2023</v>
      </c>
      <c r="F484" s="263">
        <v>12</v>
      </c>
      <c r="G484" s="260" t="s">
        <v>32</v>
      </c>
      <c r="H484" s="260" t="s">
        <v>4168</v>
      </c>
      <c r="I484" s="260">
        <v>156</v>
      </c>
      <c r="J484" s="260"/>
      <c r="K484" s="262">
        <v>14</v>
      </c>
    </row>
    <row r="485" spans="1:11" ht="13">
      <c r="A485" s="272" t="s">
        <v>4255</v>
      </c>
      <c r="B485" s="260" t="s">
        <v>1769</v>
      </c>
      <c r="C485" s="262" t="s">
        <v>4850</v>
      </c>
      <c r="D485" s="260" t="s">
        <v>4859</v>
      </c>
      <c r="E485" s="262">
        <v>2023</v>
      </c>
      <c r="F485" s="263">
        <v>12</v>
      </c>
      <c r="G485" s="260" t="s">
        <v>32</v>
      </c>
      <c r="H485" s="260" t="s">
        <v>4860</v>
      </c>
      <c r="I485" s="260">
        <v>144</v>
      </c>
      <c r="J485" s="260"/>
      <c r="K485" s="262">
        <v>13.5</v>
      </c>
    </row>
    <row r="486" spans="1:11" ht="13">
      <c r="A486" s="272" t="s">
        <v>4255</v>
      </c>
      <c r="B486" s="260" t="s">
        <v>124</v>
      </c>
      <c r="C486" s="260" t="s">
        <v>4861</v>
      </c>
      <c r="D486" s="260" t="s">
        <v>4862</v>
      </c>
      <c r="E486" s="262">
        <v>2022</v>
      </c>
      <c r="F486" s="263">
        <v>12</v>
      </c>
      <c r="G486" s="260" t="s">
        <v>32</v>
      </c>
      <c r="H486" s="260" t="s">
        <v>4165</v>
      </c>
      <c r="I486" s="260">
        <v>168</v>
      </c>
      <c r="J486" s="260"/>
      <c r="K486" s="262">
        <v>13</v>
      </c>
    </row>
    <row r="487" spans="1:11" ht="13">
      <c r="A487" s="272" t="s">
        <v>4255</v>
      </c>
      <c r="B487" s="260" t="s">
        <v>121</v>
      </c>
      <c r="C487" s="262" t="s">
        <v>4861</v>
      </c>
      <c r="D487" s="261" t="s">
        <v>4862</v>
      </c>
      <c r="E487" s="262">
        <v>2023</v>
      </c>
      <c r="F487" s="263">
        <v>12</v>
      </c>
      <c r="G487" s="260" t="s">
        <v>32</v>
      </c>
      <c r="H487" s="260" t="s">
        <v>4863</v>
      </c>
      <c r="I487" s="260">
        <v>180</v>
      </c>
      <c r="J487" s="260"/>
      <c r="K487" s="262">
        <v>13</v>
      </c>
    </row>
    <row r="488" spans="1:11" ht="13">
      <c r="A488" s="272" t="s">
        <v>4255</v>
      </c>
      <c r="B488" s="260" t="s">
        <v>125</v>
      </c>
      <c r="C488" s="260" t="s">
        <v>4861</v>
      </c>
      <c r="D488" s="260" t="s">
        <v>126</v>
      </c>
      <c r="E488" s="262">
        <v>2023</v>
      </c>
      <c r="F488" s="263">
        <v>12</v>
      </c>
      <c r="G488" s="260" t="s">
        <v>32</v>
      </c>
      <c r="H488" s="260" t="s">
        <v>4696</v>
      </c>
      <c r="I488" s="260">
        <v>156</v>
      </c>
      <c r="J488" s="260"/>
      <c r="K488" s="262">
        <v>13</v>
      </c>
    </row>
    <row r="489" spans="1:11" ht="13">
      <c r="A489" s="272" t="s">
        <v>4255</v>
      </c>
      <c r="B489" s="260" t="s">
        <v>119</v>
      </c>
      <c r="C489" s="260" t="s">
        <v>4861</v>
      </c>
      <c r="D489" s="260" t="s">
        <v>4864</v>
      </c>
      <c r="E489" s="262">
        <v>2023</v>
      </c>
      <c r="F489" s="263">
        <v>12</v>
      </c>
      <c r="G489" s="260" t="s">
        <v>32</v>
      </c>
      <c r="H489" s="260" t="s">
        <v>4865</v>
      </c>
      <c r="I489" s="260">
        <v>156</v>
      </c>
      <c r="J489" s="260"/>
      <c r="K489" s="262">
        <v>13</v>
      </c>
    </row>
    <row r="490" spans="1:11" ht="13">
      <c r="A490" s="272" t="s">
        <v>4255</v>
      </c>
      <c r="B490" s="260" t="s">
        <v>80</v>
      </c>
      <c r="C490" s="260" t="s">
        <v>4866</v>
      </c>
      <c r="D490" s="261" t="s">
        <v>4867</v>
      </c>
      <c r="E490" s="262">
        <v>2020</v>
      </c>
      <c r="F490" s="263">
        <v>6</v>
      </c>
      <c r="G490" s="260" t="s">
        <v>32</v>
      </c>
      <c r="H490" s="260" t="s">
        <v>4076</v>
      </c>
      <c r="I490" s="260">
        <v>144</v>
      </c>
      <c r="J490" s="260"/>
      <c r="K490" s="262">
        <v>15</v>
      </c>
    </row>
    <row r="491" spans="1:11" ht="13">
      <c r="A491" s="272" t="s">
        <v>4255</v>
      </c>
      <c r="B491" s="260" t="s">
        <v>73</v>
      </c>
      <c r="C491" s="260" t="s">
        <v>4866</v>
      </c>
      <c r="D491" s="261" t="s">
        <v>4868</v>
      </c>
      <c r="E491" s="262">
        <v>2020</v>
      </c>
      <c r="F491" s="263">
        <v>6</v>
      </c>
      <c r="G491" s="260" t="s">
        <v>32</v>
      </c>
      <c r="H491" s="260" t="s">
        <v>4869</v>
      </c>
      <c r="I491" s="260">
        <v>102</v>
      </c>
      <c r="J491" s="260"/>
      <c r="K491" s="262">
        <v>13</v>
      </c>
    </row>
    <row r="492" spans="1:11" ht="13">
      <c r="A492" s="272" t="s">
        <v>4255</v>
      </c>
      <c r="B492" s="260" t="s">
        <v>76</v>
      </c>
      <c r="C492" s="260" t="s">
        <v>4866</v>
      </c>
      <c r="D492" s="261" t="s">
        <v>4870</v>
      </c>
      <c r="E492" s="262" t="s">
        <v>5</v>
      </c>
      <c r="F492" s="263">
        <v>6</v>
      </c>
      <c r="G492" s="260" t="s">
        <v>32</v>
      </c>
      <c r="H492" s="260" t="s">
        <v>4871</v>
      </c>
      <c r="I492" s="260">
        <v>120</v>
      </c>
      <c r="J492" s="260"/>
      <c r="K492" s="262">
        <v>14.5</v>
      </c>
    </row>
    <row r="493" spans="1:11" ht="13">
      <c r="A493" s="272" t="s">
        <v>4255</v>
      </c>
      <c r="B493" s="260" t="s">
        <v>4872</v>
      </c>
      <c r="C493" s="262" t="s">
        <v>4873</v>
      </c>
      <c r="D493" s="261" t="s">
        <v>4874</v>
      </c>
      <c r="E493" s="262">
        <v>2023</v>
      </c>
      <c r="F493" s="263">
        <v>12</v>
      </c>
      <c r="G493" s="260" t="s">
        <v>32</v>
      </c>
      <c r="H493" s="260" t="s">
        <v>4197</v>
      </c>
      <c r="I493" s="260">
        <v>180</v>
      </c>
      <c r="J493" s="260"/>
      <c r="K493" s="262">
        <v>11.5</v>
      </c>
    </row>
    <row r="494" spans="1:11" ht="13">
      <c r="A494" s="272" t="s">
        <v>4255</v>
      </c>
      <c r="B494" s="260" t="s">
        <v>1114</v>
      </c>
      <c r="C494" s="262" t="s">
        <v>4875</v>
      </c>
      <c r="D494" s="261" t="s">
        <v>4876</v>
      </c>
      <c r="E494" s="262">
        <v>2022</v>
      </c>
      <c r="F494" s="263">
        <v>6</v>
      </c>
      <c r="G494" s="260" t="s">
        <v>32</v>
      </c>
      <c r="H494" s="260" t="s">
        <v>4877</v>
      </c>
      <c r="I494" s="260">
        <v>123</v>
      </c>
      <c r="J494" s="260"/>
      <c r="K494" s="262">
        <v>12.5</v>
      </c>
    </row>
    <row r="495" spans="1:11" ht="13">
      <c r="A495" s="272" t="s">
        <v>4255</v>
      </c>
      <c r="B495" s="260" t="s">
        <v>498</v>
      </c>
      <c r="C495" s="261" t="s">
        <v>4878</v>
      </c>
      <c r="D495" s="261" t="s">
        <v>4879</v>
      </c>
      <c r="E495" s="262">
        <v>2023</v>
      </c>
      <c r="F495" s="263">
        <v>12</v>
      </c>
      <c r="G495" s="260" t="s">
        <v>32</v>
      </c>
      <c r="H495" s="260" t="s">
        <v>4202</v>
      </c>
      <c r="I495" s="260">
        <v>246</v>
      </c>
      <c r="J495" s="260"/>
      <c r="K495" s="262">
        <v>12.5</v>
      </c>
    </row>
    <row r="496" spans="1:11" ht="13">
      <c r="A496" s="272" t="s">
        <v>4255</v>
      </c>
      <c r="B496" s="260" t="s">
        <v>4880</v>
      </c>
      <c r="C496" s="261" t="s">
        <v>4881</v>
      </c>
      <c r="D496" s="261" t="s">
        <v>4882</v>
      </c>
      <c r="E496" s="262">
        <v>2024</v>
      </c>
      <c r="F496" s="263">
        <v>12</v>
      </c>
      <c r="G496" s="260" t="s">
        <v>32</v>
      </c>
      <c r="H496" s="260" t="s">
        <v>4042</v>
      </c>
      <c r="I496" s="260">
        <v>216</v>
      </c>
      <c r="J496" s="260"/>
      <c r="K496" s="262">
        <v>14</v>
      </c>
    </row>
    <row r="497" spans="1:11" ht="13">
      <c r="A497" s="272" t="s">
        <v>4255</v>
      </c>
      <c r="B497" s="260" t="s">
        <v>1921</v>
      </c>
      <c r="C497" s="261" t="s">
        <v>4883</v>
      </c>
      <c r="D497" s="261" t="s">
        <v>1922</v>
      </c>
      <c r="E497" s="262">
        <v>2022</v>
      </c>
      <c r="F497" s="263">
        <v>12</v>
      </c>
      <c r="G497" s="260" t="s">
        <v>32</v>
      </c>
      <c r="H497" s="260" t="s">
        <v>4295</v>
      </c>
      <c r="I497" s="260">
        <v>300</v>
      </c>
      <c r="J497" s="260"/>
      <c r="K497" s="262">
        <v>11</v>
      </c>
    </row>
    <row r="498" spans="1:11" ht="13">
      <c r="A498" s="272" t="s">
        <v>4255</v>
      </c>
      <c r="B498" s="260" t="s">
        <v>1924</v>
      </c>
      <c r="C498" s="261" t="s">
        <v>4883</v>
      </c>
      <c r="D498" s="261" t="s">
        <v>1922</v>
      </c>
      <c r="E498" s="262">
        <v>2022</v>
      </c>
      <c r="F498" s="263">
        <v>3</v>
      </c>
      <c r="G498" s="260" t="s">
        <v>3979</v>
      </c>
      <c r="H498" s="260" t="s">
        <v>4238</v>
      </c>
      <c r="I498" s="260">
        <v>162</v>
      </c>
      <c r="J498" s="260"/>
      <c r="K498" s="262">
        <v>11</v>
      </c>
    </row>
    <row r="499" spans="1:11" ht="13">
      <c r="A499" s="272" t="s">
        <v>4255</v>
      </c>
      <c r="B499" s="260" t="s">
        <v>1905</v>
      </c>
      <c r="C499" s="260" t="s">
        <v>4883</v>
      </c>
      <c r="D499" s="261" t="s">
        <v>4884</v>
      </c>
      <c r="E499" s="262">
        <v>2021</v>
      </c>
      <c r="F499" s="263">
        <v>12</v>
      </c>
      <c r="G499" s="260" t="s">
        <v>32</v>
      </c>
      <c r="H499" s="260" t="s">
        <v>4328</v>
      </c>
      <c r="I499" s="260">
        <v>252</v>
      </c>
      <c r="J499" s="260"/>
      <c r="K499" s="262">
        <v>12.5</v>
      </c>
    </row>
    <row r="500" spans="1:11" ht="13">
      <c r="A500" s="272" t="s">
        <v>4255</v>
      </c>
      <c r="B500" s="260" t="s">
        <v>1903</v>
      </c>
      <c r="C500" s="261" t="s">
        <v>4883</v>
      </c>
      <c r="D500" s="261" t="s">
        <v>4884</v>
      </c>
      <c r="E500" s="262">
        <v>2022</v>
      </c>
      <c r="F500" s="263">
        <v>12</v>
      </c>
      <c r="G500" s="260" t="s">
        <v>32</v>
      </c>
      <c r="H500" s="260" t="s">
        <v>4346</v>
      </c>
      <c r="I500" s="260">
        <v>288</v>
      </c>
      <c r="J500" s="260"/>
      <c r="K500" s="262">
        <v>12.5</v>
      </c>
    </row>
    <row r="501" spans="1:11" ht="13">
      <c r="A501" s="272" t="s">
        <v>4255</v>
      </c>
      <c r="B501" s="260" t="s">
        <v>1917</v>
      </c>
      <c r="C501" s="261" t="s">
        <v>4883</v>
      </c>
      <c r="D501" s="261" t="s">
        <v>4885</v>
      </c>
      <c r="E501" s="262">
        <v>2021</v>
      </c>
      <c r="F501" s="263">
        <v>12</v>
      </c>
      <c r="G501" s="260" t="s">
        <v>32</v>
      </c>
      <c r="H501" s="260" t="s">
        <v>4715</v>
      </c>
      <c r="I501" s="260">
        <v>300</v>
      </c>
      <c r="J501" s="260"/>
      <c r="K501" s="262">
        <v>14</v>
      </c>
    </row>
    <row r="502" spans="1:11" ht="13">
      <c r="A502" s="272" t="s">
        <v>4255</v>
      </c>
      <c r="B502" s="260" t="s">
        <v>1909</v>
      </c>
      <c r="C502" s="261" t="s">
        <v>4883</v>
      </c>
      <c r="D502" s="261" t="s">
        <v>1908</v>
      </c>
      <c r="E502" s="262">
        <v>2021</v>
      </c>
      <c r="F502" s="263">
        <v>12</v>
      </c>
      <c r="G502" s="260" t="s">
        <v>32</v>
      </c>
      <c r="H502" s="260" t="s">
        <v>4010</v>
      </c>
      <c r="I502" s="260">
        <v>264</v>
      </c>
      <c r="J502" s="260"/>
      <c r="K502" s="262">
        <v>12.5</v>
      </c>
    </row>
    <row r="503" spans="1:11" ht="13">
      <c r="A503" s="272" t="s">
        <v>4255</v>
      </c>
      <c r="B503" s="262" t="s">
        <v>1907</v>
      </c>
      <c r="C503" s="261" t="s">
        <v>4883</v>
      </c>
      <c r="D503" s="261" t="s">
        <v>1908</v>
      </c>
      <c r="E503" s="262">
        <v>2022</v>
      </c>
      <c r="F503" s="263">
        <v>12</v>
      </c>
      <c r="G503" s="260" t="s">
        <v>32</v>
      </c>
      <c r="H503" s="260" t="s">
        <v>4715</v>
      </c>
      <c r="I503" s="260">
        <v>270</v>
      </c>
      <c r="J503" s="260"/>
      <c r="K503" s="262">
        <v>12.5</v>
      </c>
    </row>
    <row r="504" spans="1:11" ht="13">
      <c r="A504" s="272" t="s">
        <v>4255</v>
      </c>
      <c r="B504" s="260" t="s">
        <v>1895</v>
      </c>
      <c r="C504" s="260" t="s">
        <v>4883</v>
      </c>
      <c r="D504" s="261" t="s">
        <v>4886</v>
      </c>
      <c r="E504" s="262">
        <v>2022</v>
      </c>
      <c r="F504" s="263">
        <v>12</v>
      </c>
      <c r="G504" s="260" t="s">
        <v>32</v>
      </c>
      <c r="H504" s="260" t="s">
        <v>4522</v>
      </c>
      <c r="I504" s="260">
        <v>282</v>
      </c>
      <c r="J504" s="260"/>
      <c r="K504" s="262">
        <v>11.5</v>
      </c>
    </row>
    <row r="505" spans="1:11" ht="13">
      <c r="A505" s="264"/>
      <c r="B505" s="264"/>
      <c r="C505" s="264"/>
      <c r="D505" s="265"/>
      <c r="E505" s="266"/>
      <c r="F505" s="267"/>
      <c r="G505" s="264"/>
      <c r="H505" s="264"/>
      <c r="I505" s="264"/>
      <c r="J505" s="264"/>
      <c r="K505" s="266"/>
    </row>
    <row r="506" spans="1:11" ht="13">
      <c r="A506" s="273" t="s">
        <v>4887</v>
      </c>
      <c r="B506" s="260" t="s">
        <v>2428</v>
      </c>
      <c r="C506" s="261" t="s">
        <v>4888</v>
      </c>
      <c r="D506" s="261" t="s">
        <v>4889</v>
      </c>
      <c r="E506" s="262">
        <v>2019</v>
      </c>
      <c r="F506" s="263">
        <v>12</v>
      </c>
      <c r="G506" s="260" t="s">
        <v>32</v>
      </c>
      <c r="H506" s="260" t="s">
        <v>4890</v>
      </c>
      <c r="I506" s="260">
        <v>180</v>
      </c>
      <c r="J506" s="260"/>
      <c r="K506" s="262">
        <v>12</v>
      </c>
    </row>
    <row r="507" spans="1:11" ht="13">
      <c r="A507" s="273" t="s">
        <v>4887</v>
      </c>
      <c r="B507" s="260" t="s">
        <v>4891</v>
      </c>
      <c r="C507" s="261" t="s">
        <v>4888</v>
      </c>
      <c r="D507" s="261" t="s">
        <v>4892</v>
      </c>
      <c r="E507" s="262">
        <v>2020</v>
      </c>
      <c r="F507" s="263">
        <v>12</v>
      </c>
      <c r="G507" s="260" t="s">
        <v>32</v>
      </c>
      <c r="H507" s="260" t="s">
        <v>4015</v>
      </c>
      <c r="I507" s="260">
        <v>168</v>
      </c>
      <c r="J507" s="260"/>
      <c r="K507" s="262">
        <v>10.5</v>
      </c>
    </row>
    <row r="508" spans="1:11" ht="13">
      <c r="A508" s="273" t="s">
        <v>4887</v>
      </c>
      <c r="B508" s="260" t="s">
        <v>4893</v>
      </c>
      <c r="C508" s="260" t="s">
        <v>4888</v>
      </c>
      <c r="D508" s="261" t="s">
        <v>4894</v>
      </c>
      <c r="E508" s="262">
        <v>2020</v>
      </c>
      <c r="F508" s="263">
        <v>12</v>
      </c>
      <c r="G508" s="260" t="s">
        <v>32</v>
      </c>
      <c r="H508" s="260" t="s">
        <v>4163</v>
      </c>
      <c r="I508" s="260">
        <v>180</v>
      </c>
      <c r="J508" s="260"/>
      <c r="K508" s="262">
        <v>12</v>
      </c>
    </row>
    <row r="509" spans="1:11" ht="13">
      <c r="A509" s="273" t="s">
        <v>4887</v>
      </c>
      <c r="B509" s="260" t="s">
        <v>2404</v>
      </c>
      <c r="C509" s="261" t="s">
        <v>4888</v>
      </c>
      <c r="D509" s="261" t="s">
        <v>4895</v>
      </c>
      <c r="E509" s="262">
        <v>2020</v>
      </c>
      <c r="F509" s="263">
        <v>12</v>
      </c>
      <c r="G509" s="260" t="s">
        <v>32</v>
      </c>
      <c r="H509" s="260" t="s">
        <v>4896</v>
      </c>
      <c r="I509" s="260">
        <v>138</v>
      </c>
      <c r="J509" s="260"/>
      <c r="K509" s="262">
        <v>10.5</v>
      </c>
    </row>
    <row r="510" spans="1:11" ht="13">
      <c r="A510" s="273" t="s">
        <v>4887</v>
      </c>
      <c r="B510" s="260" t="s">
        <v>2400</v>
      </c>
      <c r="C510" s="261" t="s">
        <v>4888</v>
      </c>
      <c r="D510" s="261" t="s">
        <v>4897</v>
      </c>
      <c r="E510" s="262">
        <v>2020</v>
      </c>
      <c r="F510" s="263">
        <v>12</v>
      </c>
      <c r="G510" s="260" t="s">
        <v>32</v>
      </c>
      <c r="H510" s="260" t="s">
        <v>4723</v>
      </c>
      <c r="I510" s="260">
        <v>96</v>
      </c>
      <c r="J510" s="260"/>
      <c r="K510" s="262">
        <v>10.5</v>
      </c>
    </row>
    <row r="511" spans="1:11" ht="13">
      <c r="A511" s="273" t="s">
        <v>4887</v>
      </c>
      <c r="B511" s="260" t="s">
        <v>2391</v>
      </c>
      <c r="C511" s="261" t="s">
        <v>4888</v>
      </c>
      <c r="D511" s="261" t="s">
        <v>4898</v>
      </c>
      <c r="E511" s="262">
        <v>2020</v>
      </c>
      <c r="F511" s="263">
        <v>12</v>
      </c>
      <c r="G511" s="260" t="s">
        <v>32</v>
      </c>
      <c r="H511" s="260" t="s">
        <v>4699</v>
      </c>
      <c r="I511" s="260">
        <v>96</v>
      </c>
      <c r="J511" s="260"/>
      <c r="K511" s="262">
        <v>11.5</v>
      </c>
    </row>
    <row r="512" spans="1:11" ht="13">
      <c r="A512" s="273" t="s">
        <v>4887</v>
      </c>
      <c r="B512" s="260" t="s">
        <v>2397</v>
      </c>
      <c r="C512" s="261" t="s">
        <v>4888</v>
      </c>
      <c r="D512" s="261" t="s">
        <v>4899</v>
      </c>
      <c r="E512" s="262">
        <v>2020</v>
      </c>
      <c r="F512" s="263">
        <v>12</v>
      </c>
      <c r="G512" s="260" t="s">
        <v>32</v>
      </c>
      <c r="H512" s="260" t="s">
        <v>4684</v>
      </c>
      <c r="I512" s="260">
        <v>138</v>
      </c>
      <c r="J512" s="260"/>
      <c r="K512" s="262">
        <v>11.5</v>
      </c>
    </row>
    <row r="513" spans="1:11" ht="13">
      <c r="A513" s="273" t="s">
        <v>4887</v>
      </c>
      <c r="B513" s="260" t="s">
        <v>2425</v>
      </c>
      <c r="C513" s="262" t="s">
        <v>4888</v>
      </c>
      <c r="D513" s="260" t="s">
        <v>4900</v>
      </c>
      <c r="E513" s="262">
        <v>2020</v>
      </c>
      <c r="F513" s="263">
        <v>12</v>
      </c>
      <c r="G513" s="260" t="s">
        <v>32</v>
      </c>
      <c r="H513" s="260" t="s">
        <v>4403</v>
      </c>
      <c r="I513" s="260">
        <v>168</v>
      </c>
      <c r="J513" s="260"/>
      <c r="K513" s="262">
        <v>12.5</v>
      </c>
    </row>
    <row r="514" spans="1:11" ht="13">
      <c r="A514" s="273" t="s">
        <v>4887</v>
      </c>
      <c r="B514" s="260" t="s">
        <v>2411</v>
      </c>
      <c r="C514" s="261" t="s">
        <v>4888</v>
      </c>
      <c r="D514" s="260" t="s">
        <v>4901</v>
      </c>
      <c r="E514" s="262">
        <v>2021</v>
      </c>
      <c r="F514" s="263">
        <v>12</v>
      </c>
      <c r="G514" s="260" t="s">
        <v>32</v>
      </c>
      <c r="H514" s="260" t="s">
        <v>4076</v>
      </c>
      <c r="I514" s="260">
        <v>168</v>
      </c>
      <c r="J514" s="260"/>
      <c r="K514" s="262">
        <v>12</v>
      </c>
    </row>
    <row r="515" spans="1:11" ht="13">
      <c r="A515" s="273" t="s">
        <v>4887</v>
      </c>
      <c r="B515" s="260" t="s">
        <v>2320</v>
      </c>
      <c r="C515" s="261" t="s">
        <v>4902</v>
      </c>
      <c r="D515" s="261" t="s">
        <v>4903</v>
      </c>
      <c r="E515" s="262">
        <v>2021</v>
      </c>
      <c r="F515" s="263">
        <v>12</v>
      </c>
      <c r="G515" s="260" t="s">
        <v>32</v>
      </c>
      <c r="H515" s="260" t="s">
        <v>4904</v>
      </c>
      <c r="I515" s="260">
        <v>150</v>
      </c>
      <c r="J515" s="260"/>
      <c r="K515" s="262">
        <v>11</v>
      </c>
    </row>
    <row r="516" spans="1:11" ht="13">
      <c r="A516" s="273" t="s">
        <v>4887</v>
      </c>
      <c r="B516" s="260" t="s">
        <v>2342</v>
      </c>
      <c r="C516" s="262" t="s">
        <v>4902</v>
      </c>
      <c r="D516" s="261" t="s">
        <v>4905</v>
      </c>
      <c r="E516" s="262">
        <v>2020</v>
      </c>
      <c r="F516" s="263">
        <v>12</v>
      </c>
      <c r="G516" s="260" t="s">
        <v>4141</v>
      </c>
      <c r="H516" s="260" t="s">
        <v>3966</v>
      </c>
      <c r="I516" s="260">
        <v>120</v>
      </c>
      <c r="J516" s="260"/>
      <c r="K516" s="262">
        <v>12</v>
      </c>
    </row>
    <row r="517" spans="1:11" ht="13">
      <c r="A517" s="273" t="s">
        <v>4887</v>
      </c>
      <c r="B517" s="260" t="s">
        <v>2383</v>
      </c>
      <c r="C517" s="260" t="s">
        <v>4902</v>
      </c>
      <c r="D517" s="261" t="s">
        <v>4906</v>
      </c>
      <c r="E517" s="262">
        <v>2019</v>
      </c>
      <c r="F517" s="263">
        <v>12</v>
      </c>
      <c r="G517" s="260" t="s">
        <v>32</v>
      </c>
      <c r="H517" s="260" t="s">
        <v>4042</v>
      </c>
      <c r="I517" s="260">
        <v>204</v>
      </c>
      <c r="J517" s="260"/>
      <c r="K517" s="262">
        <v>12.5</v>
      </c>
    </row>
    <row r="518" spans="1:11" ht="13">
      <c r="A518" s="273" t="s">
        <v>4887</v>
      </c>
      <c r="B518" s="260" t="s">
        <v>2386</v>
      </c>
      <c r="C518" s="260" t="s">
        <v>4902</v>
      </c>
      <c r="D518" s="261" t="s">
        <v>4906</v>
      </c>
      <c r="E518" s="262">
        <v>2020</v>
      </c>
      <c r="F518" s="263">
        <v>12</v>
      </c>
      <c r="G518" s="260" t="s">
        <v>32</v>
      </c>
      <c r="H518" s="260" t="s">
        <v>4907</v>
      </c>
      <c r="I518" s="260">
        <v>204</v>
      </c>
      <c r="J518" s="260"/>
      <c r="K518" s="262">
        <v>12.5</v>
      </c>
    </row>
    <row r="519" spans="1:11" ht="13">
      <c r="A519" s="264"/>
      <c r="B519" s="264"/>
      <c r="C519" s="264"/>
      <c r="D519" s="265"/>
      <c r="E519" s="266"/>
      <c r="F519" s="267"/>
      <c r="G519" s="264"/>
      <c r="H519" s="264"/>
      <c r="I519" s="264"/>
      <c r="J519" s="264"/>
      <c r="K519" s="266"/>
    </row>
    <row r="520" spans="1:11" ht="13">
      <c r="A520" s="274" t="s">
        <v>4908</v>
      </c>
      <c r="B520" s="260" t="s">
        <v>3675</v>
      </c>
      <c r="C520" s="261" t="s">
        <v>4909</v>
      </c>
      <c r="D520" s="261" t="s">
        <v>4910</v>
      </c>
      <c r="E520" s="262">
        <v>2020</v>
      </c>
      <c r="F520" s="263">
        <v>6</v>
      </c>
      <c r="G520" s="260" t="s">
        <v>32</v>
      </c>
      <c r="H520" s="260" t="s">
        <v>4189</v>
      </c>
      <c r="I520" s="260">
        <v>138</v>
      </c>
      <c r="J520" s="260"/>
      <c r="K520" s="262">
        <v>13.5</v>
      </c>
    </row>
    <row r="521" spans="1:11" ht="13">
      <c r="A521" s="274" t="s">
        <v>4908</v>
      </c>
      <c r="B521" s="260" t="s">
        <v>3651</v>
      </c>
      <c r="C521" s="261" t="s">
        <v>4909</v>
      </c>
      <c r="D521" s="261" t="s">
        <v>3652</v>
      </c>
      <c r="E521" s="262">
        <v>2022</v>
      </c>
      <c r="F521" s="263">
        <v>12</v>
      </c>
      <c r="G521" s="260" t="s">
        <v>32</v>
      </c>
      <c r="H521" s="260" t="s">
        <v>4228</v>
      </c>
      <c r="I521" s="260">
        <v>156</v>
      </c>
      <c r="J521" s="260"/>
      <c r="K521" s="262">
        <v>12</v>
      </c>
    </row>
    <row r="522" spans="1:11" ht="13">
      <c r="A522" s="264"/>
      <c r="B522" s="264"/>
      <c r="C522" s="264"/>
      <c r="D522" s="265"/>
      <c r="E522" s="266"/>
      <c r="F522" s="267"/>
      <c r="G522" s="264"/>
      <c r="H522" s="264"/>
      <c r="I522" s="264"/>
      <c r="J522" s="264"/>
      <c r="K522" s="266"/>
    </row>
    <row r="523" spans="1:11" ht="13">
      <c r="A523" s="275" t="s">
        <v>4911</v>
      </c>
      <c r="B523" s="260" t="s">
        <v>4912</v>
      </c>
      <c r="C523" s="262" t="s">
        <v>4913</v>
      </c>
      <c r="D523" s="261" t="s">
        <v>4914</v>
      </c>
      <c r="E523" s="262">
        <v>2023</v>
      </c>
      <c r="F523" s="263">
        <v>12</v>
      </c>
      <c r="G523" s="260" t="s">
        <v>32</v>
      </c>
      <c r="H523" s="260" t="s">
        <v>4690</v>
      </c>
      <c r="I523" s="260">
        <v>180</v>
      </c>
      <c r="J523" s="260"/>
      <c r="K523" s="262">
        <v>12.5</v>
      </c>
    </row>
    <row r="524" spans="1:11" ht="13">
      <c r="A524" s="275" t="s">
        <v>4911</v>
      </c>
      <c r="B524" s="260" t="s">
        <v>4915</v>
      </c>
      <c r="C524" s="260" t="s">
        <v>4913</v>
      </c>
      <c r="D524" s="261" t="s">
        <v>4916</v>
      </c>
      <c r="E524" s="262">
        <v>2023</v>
      </c>
      <c r="F524" s="263">
        <v>12</v>
      </c>
      <c r="G524" s="260" t="s">
        <v>32</v>
      </c>
      <c r="H524" s="260" t="s">
        <v>4917</v>
      </c>
      <c r="I524" s="260">
        <v>162</v>
      </c>
      <c r="J524" s="260"/>
      <c r="K524" s="262">
        <v>12.5</v>
      </c>
    </row>
    <row r="525" spans="1:11" ht="13">
      <c r="A525" s="275" t="s">
        <v>4911</v>
      </c>
      <c r="B525" s="260" t="s">
        <v>4918</v>
      </c>
      <c r="C525" s="261" t="s">
        <v>4919</v>
      </c>
      <c r="D525" s="261" t="s">
        <v>4920</v>
      </c>
      <c r="E525" s="262">
        <v>2023</v>
      </c>
      <c r="F525" s="263">
        <v>12</v>
      </c>
      <c r="G525" s="260" t="s">
        <v>32</v>
      </c>
      <c r="H525" s="260" t="s">
        <v>4921</v>
      </c>
      <c r="I525" s="260">
        <v>126</v>
      </c>
      <c r="J525" s="260"/>
      <c r="K525" s="262">
        <v>12</v>
      </c>
    </row>
    <row r="526" spans="1:11" ht="13">
      <c r="A526" s="275" t="s">
        <v>4911</v>
      </c>
      <c r="B526" s="260" t="s">
        <v>4922</v>
      </c>
      <c r="C526" s="261" t="s">
        <v>4919</v>
      </c>
      <c r="D526" s="261" t="s">
        <v>4923</v>
      </c>
      <c r="E526" s="262">
        <v>2022</v>
      </c>
      <c r="F526" s="263">
        <v>12</v>
      </c>
      <c r="G526" s="260" t="s">
        <v>32</v>
      </c>
      <c r="H526" s="260" t="s">
        <v>4924</v>
      </c>
      <c r="I526" s="260">
        <v>162</v>
      </c>
      <c r="J526" s="260"/>
      <c r="K526" s="262">
        <v>13</v>
      </c>
    </row>
    <row r="527" spans="1:11" ht="13">
      <c r="A527" s="275" t="s">
        <v>4911</v>
      </c>
      <c r="B527" s="260" t="s">
        <v>4925</v>
      </c>
      <c r="C527" s="261" t="s">
        <v>4919</v>
      </c>
      <c r="D527" s="261" t="s">
        <v>4926</v>
      </c>
      <c r="E527" s="262">
        <v>2021</v>
      </c>
      <c r="F527" s="263">
        <v>12</v>
      </c>
      <c r="G527" s="260" t="s">
        <v>32</v>
      </c>
      <c r="H527" s="260" t="s">
        <v>4927</v>
      </c>
      <c r="I527" s="260">
        <v>138</v>
      </c>
      <c r="J527" s="260"/>
      <c r="K527" s="262">
        <v>13</v>
      </c>
    </row>
    <row r="528" spans="1:11" ht="13">
      <c r="A528" s="275" t="s">
        <v>4911</v>
      </c>
      <c r="B528" s="260" t="s">
        <v>2740</v>
      </c>
      <c r="C528" s="260" t="s">
        <v>4919</v>
      </c>
      <c r="D528" s="261" t="s">
        <v>4928</v>
      </c>
      <c r="E528" s="262">
        <v>2021</v>
      </c>
      <c r="F528" s="263">
        <v>12</v>
      </c>
      <c r="G528" s="260" t="s">
        <v>32</v>
      </c>
      <c r="H528" s="260" t="s">
        <v>4048</v>
      </c>
      <c r="I528" s="260">
        <v>204</v>
      </c>
      <c r="J528" s="260"/>
      <c r="K528" s="262">
        <v>12</v>
      </c>
    </row>
    <row r="529" spans="1:11" ht="13">
      <c r="A529" s="275" t="s">
        <v>4911</v>
      </c>
      <c r="B529" s="260" t="s">
        <v>4929</v>
      </c>
      <c r="C529" s="261" t="s">
        <v>4919</v>
      </c>
      <c r="D529" s="261" t="s">
        <v>4928</v>
      </c>
      <c r="E529" s="262">
        <v>2021</v>
      </c>
      <c r="F529" s="263">
        <v>12</v>
      </c>
      <c r="G529" s="260" t="s">
        <v>32</v>
      </c>
      <c r="H529" s="260" t="s">
        <v>4269</v>
      </c>
      <c r="I529" s="260">
        <v>186</v>
      </c>
      <c r="J529" s="260"/>
      <c r="K529" s="262">
        <v>12</v>
      </c>
    </row>
    <row r="530" spans="1:11" ht="13">
      <c r="A530" s="275" t="s">
        <v>4911</v>
      </c>
      <c r="B530" s="260" t="s">
        <v>4930</v>
      </c>
      <c r="C530" s="261" t="s">
        <v>4919</v>
      </c>
      <c r="D530" s="261" t="s">
        <v>4931</v>
      </c>
      <c r="E530" s="262">
        <v>2022</v>
      </c>
      <c r="F530" s="263">
        <v>12</v>
      </c>
      <c r="G530" s="260" t="s">
        <v>32</v>
      </c>
      <c r="H530" s="260" t="s">
        <v>4932</v>
      </c>
      <c r="I530" s="260">
        <v>132</v>
      </c>
      <c r="J530" s="260"/>
      <c r="K530" s="262">
        <v>12</v>
      </c>
    </row>
    <row r="531" spans="1:11" ht="13">
      <c r="A531" s="275" t="s">
        <v>4911</v>
      </c>
      <c r="B531" s="260" t="s">
        <v>2737</v>
      </c>
      <c r="C531" s="261" t="s">
        <v>4919</v>
      </c>
      <c r="D531" s="261" t="s">
        <v>4933</v>
      </c>
      <c r="E531" s="262">
        <v>2021</v>
      </c>
      <c r="F531" s="263">
        <v>12</v>
      </c>
      <c r="G531" s="260" t="s">
        <v>32</v>
      </c>
      <c r="H531" s="260" t="s">
        <v>4076</v>
      </c>
      <c r="I531" s="260">
        <v>108</v>
      </c>
      <c r="J531" s="260"/>
      <c r="K531" s="262">
        <v>12</v>
      </c>
    </row>
    <row r="532" spans="1:11" ht="13">
      <c r="A532" s="275" t="s">
        <v>4911</v>
      </c>
      <c r="B532" s="260" t="s">
        <v>4934</v>
      </c>
      <c r="C532" s="261" t="s">
        <v>4919</v>
      </c>
      <c r="D532" s="261" t="s">
        <v>4933</v>
      </c>
      <c r="E532" s="262">
        <v>2022</v>
      </c>
      <c r="F532" s="263">
        <v>12</v>
      </c>
      <c r="G532" s="260" t="s">
        <v>32</v>
      </c>
      <c r="H532" s="260" t="s">
        <v>4935</v>
      </c>
      <c r="I532" s="260">
        <v>120</v>
      </c>
      <c r="J532" s="260"/>
      <c r="K532" s="262">
        <v>12</v>
      </c>
    </row>
    <row r="533" spans="1:11" ht="13">
      <c r="A533" s="275" t="s">
        <v>4911</v>
      </c>
      <c r="B533" s="260" t="s">
        <v>2751</v>
      </c>
      <c r="C533" s="260" t="s">
        <v>4919</v>
      </c>
      <c r="D533" s="261" t="s">
        <v>4936</v>
      </c>
      <c r="E533" s="262">
        <v>2022</v>
      </c>
      <c r="F533" s="263">
        <v>12</v>
      </c>
      <c r="G533" s="260" t="s">
        <v>32</v>
      </c>
      <c r="H533" s="260" t="s">
        <v>4937</v>
      </c>
      <c r="I533" s="260">
        <v>120</v>
      </c>
      <c r="J533" s="260"/>
      <c r="K533" s="262">
        <v>13</v>
      </c>
    </row>
    <row r="534" spans="1:11" ht="13">
      <c r="A534" s="275" t="s">
        <v>4911</v>
      </c>
      <c r="B534" s="260" t="s">
        <v>4938</v>
      </c>
      <c r="C534" s="261" t="s">
        <v>4919</v>
      </c>
      <c r="D534" s="261" t="s">
        <v>4936</v>
      </c>
      <c r="E534" s="262">
        <v>2023</v>
      </c>
      <c r="F534" s="263">
        <v>12</v>
      </c>
      <c r="G534" s="260" t="s">
        <v>32</v>
      </c>
      <c r="H534" s="260" t="s">
        <v>4860</v>
      </c>
      <c r="I534" s="260">
        <v>120</v>
      </c>
      <c r="J534" s="260"/>
      <c r="K534" s="262">
        <v>13</v>
      </c>
    </row>
    <row r="535" spans="1:11" ht="13">
      <c r="A535" s="275" t="s">
        <v>4911</v>
      </c>
      <c r="B535" s="260" t="s">
        <v>2710</v>
      </c>
      <c r="C535" s="261" t="s">
        <v>4077</v>
      </c>
      <c r="D535" s="261" t="s">
        <v>4939</v>
      </c>
      <c r="E535" s="262">
        <v>2022</v>
      </c>
      <c r="F535" s="263">
        <v>12</v>
      </c>
      <c r="G535" s="260" t="s">
        <v>32</v>
      </c>
      <c r="H535" s="260" t="s">
        <v>4094</v>
      </c>
      <c r="I535" s="260">
        <v>144</v>
      </c>
      <c r="J535" s="260"/>
      <c r="K535" s="262">
        <v>11.5</v>
      </c>
    </row>
    <row r="536" spans="1:11" ht="13">
      <c r="A536" s="264"/>
      <c r="B536" s="264"/>
      <c r="C536" s="264"/>
      <c r="D536" s="265"/>
      <c r="E536" s="266"/>
      <c r="F536" s="267"/>
      <c r="G536" s="264"/>
      <c r="H536" s="264"/>
      <c r="I536" s="264"/>
      <c r="J536" s="264"/>
      <c r="K536" s="266"/>
    </row>
    <row r="537" spans="1:11" ht="13">
      <c r="A537" s="276" t="s">
        <v>4940</v>
      </c>
      <c r="B537" s="260" t="s">
        <v>4941</v>
      </c>
      <c r="C537" s="260" t="s">
        <v>4942</v>
      </c>
      <c r="D537" s="261" t="s">
        <v>4943</v>
      </c>
      <c r="E537" s="262">
        <v>2021</v>
      </c>
      <c r="F537" s="263">
        <v>12</v>
      </c>
      <c r="G537" s="260" t="s">
        <v>32</v>
      </c>
      <c r="H537" s="260" t="s">
        <v>4723</v>
      </c>
      <c r="I537" s="260">
        <v>246</v>
      </c>
      <c r="J537" s="260"/>
      <c r="K537" s="262">
        <v>14</v>
      </c>
    </row>
    <row r="538" spans="1:11" ht="13">
      <c r="A538" s="276" t="s">
        <v>4940</v>
      </c>
      <c r="B538" s="260" t="s">
        <v>4944</v>
      </c>
      <c r="C538" s="262" t="s">
        <v>4942</v>
      </c>
      <c r="D538" s="261" t="s">
        <v>4945</v>
      </c>
      <c r="E538" s="262">
        <v>2022</v>
      </c>
      <c r="F538" s="263">
        <v>12</v>
      </c>
      <c r="G538" s="260" t="s">
        <v>32</v>
      </c>
      <c r="H538" s="260" t="s">
        <v>4320</v>
      </c>
      <c r="I538" s="260">
        <v>192</v>
      </c>
      <c r="J538" s="260"/>
      <c r="K538" s="262">
        <v>12</v>
      </c>
    </row>
    <row r="539" spans="1:11" ht="13">
      <c r="A539" s="276" t="s">
        <v>4940</v>
      </c>
      <c r="B539" s="260" t="s">
        <v>3305</v>
      </c>
      <c r="C539" s="261" t="s">
        <v>4942</v>
      </c>
      <c r="D539" s="261" t="s">
        <v>4945</v>
      </c>
      <c r="E539" s="262">
        <v>2021</v>
      </c>
      <c r="F539" s="263">
        <v>12</v>
      </c>
      <c r="G539" s="260" t="s">
        <v>32</v>
      </c>
      <c r="H539" s="260" t="s">
        <v>4946</v>
      </c>
      <c r="I539" s="260">
        <v>174</v>
      </c>
      <c r="J539" s="260"/>
      <c r="K539" s="262">
        <v>12</v>
      </c>
    </row>
    <row r="540" spans="1:11" ht="13">
      <c r="A540" s="276" t="s">
        <v>4940</v>
      </c>
      <c r="B540" s="260" t="s">
        <v>3309</v>
      </c>
      <c r="C540" s="262" t="s">
        <v>4942</v>
      </c>
      <c r="D540" s="261" t="s">
        <v>4947</v>
      </c>
      <c r="E540" s="262">
        <v>2020</v>
      </c>
      <c r="F540" s="263">
        <v>12</v>
      </c>
      <c r="G540" s="260" t="s">
        <v>32</v>
      </c>
      <c r="H540" s="260" t="s">
        <v>4948</v>
      </c>
      <c r="I540" s="260">
        <v>222</v>
      </c>
      <c r="J540" s="260"/>
      <c r="K540" s="262">
        <v>14</v>
      </c>
    </row>
    <row r="541" spans="1:11" ht="13">
      <c r="A541" s="276" t="s">
        <v>4940</v>
      </c>
      <c r="B541" s="260" t="s">
        <v>4949</v>
      </c>
      <c r="C541" s="260" t="s">
        <v>4942</v>
      </c>
      <c r="D541" s="261" t="s">
        <v>4950</v>
      </c>
      <c r="E541" s="262">
        <v>2022</v>
      </c>
      <c r="F541" s="263">
        <v>12</v>
      </c>
      <c r="G541" s="260" t="s">
        <v>32</v>
      </c>
      <c r="H541" s="260" t="s">
        <v>4759</v>
      </c>
      <c r="I541" s="260">
        <v>192</v>
      </c>
      <c r="J541" s="260"/>
      <c r="K541" s="262">
        <v>12</v>
      </c>
    </row>
    <row r="542" spans="1:11" ht="13">
      <c r="A542" s="276" t="s">
        <v>4940</v>
      </c>
      <c r="B542" s="260" t="s">
        <v>3300</v>
      </c>
      <c r="C542" s="261" t="s">
        <v>4942</v>
      </c>
      <c r="D542" s="261" t="s">
        <v>4950</v>
      </c>
      <c r="E542" s="262">
        <v>2021</v>
      </c>
      <c r="F542" s="263">
        <v>12</v>
      </c>
      <c r="G542" s="260" t="s">
        <v>32</v>
      </c>
      <c r="H542" s="260" t="s">
        <v>4951</v>
      </c>
      <c r="I542" s="260">
        <v>174</v>
      </c>
      <c r="J542" s="260"/>
      <c r="K542" s="262">
        <v>12</v>
      </c>
    </row>
    <row r="543" spans="1:11" ht="13">
      <c r="A543" s="276" t="s">
        <v>4940</v>
      </c>
      <c r="B543" s="260" t="s">
        <v>4952</v>
      </c>
      <c r="C543" s="261" t="s">
        <v>4942</v>
      </c>
      <c r="D543" s="261" t="s">
        <v>4953</v>
      </c>
      <c r="E543" s="262">
        <v>2022</v>
      </c>
      <c r="F543" s="263">
        <v>12</v>
      </c>
      <c r="G543" s="260" t="s">
        <v>32</v>
      </c>
      <c r="H543" s="260" t="s">
        <v>4954</v>
      </c>
      <c r="I543" s="260">
        <v>144</v>
      </c>
      <c r="J543" s="260"/>
      <c r="K543" s="262">
        <v>13.5</v>
      </c>
    </row>
    <row r="544" spans="1:11" ht="13">
      <c r="A544" s="276" t="s">
        <v>4940</v>
      </c>
      <c r="B544" s="260" t="s">
        <v>4955</v>
      </c>
      <c r="C544" s="260" t="s">
        <v>4942</v>
      </c>
      <c r="D544" s="261" t="s">
        <v>4956</v>
      </c>
      <c r="E544" s="262">
        <v>2023</v>
      </c>
      <c r="F544" s="263">
        <v>12</v>
      </c>
      <c r="G544" s="260" t="s">
        <v>32</v>
      </c>
      <c r="H544" s="260" t="s">
        <v>4957</v>
      </c>
      <c r="I544" s="260">
        <v>144</v>
      </c>
      <c r="J544" s="260"/>
      <c r="K544" s="262">
        <v>11.5</v>
      </c>
    </row>
    <row r="545" spans="1:11" ht="13">
      <c r="A545" s="276" t="s">
        <v>4940</v>
      </c>
      <c r="B545" s="260" t="s">
        <v>3317</v>
      </c>
      <c r="C545" s="261" t="s">
        <v>4958</v>
      </c>
      <c r="D545" s="261" t="s">
        <v>3318</v>
      </c>
      <c r="E545" s="262" t="s">
        <v>5</v>
      </c>
      <c r="F545" s="263">
        <v>12</v>
      </c>
      <c r="G545" s="260" t="s">
        <v>32</v>
      </c>
      <c r="H545" s="260" t="s">
        <v>4197</v>
      </c>
      <c r="I545" s="260">
        <v>132</v>
      </c>
      <c r="J545" s="260"/>
      <c r="K545" s="262">
        <v>12</v>
      </c>
    </row>
    <row r="546" spans="1:11" ht="13">
      <c r="A546" s="276" t="s">
        <v>4940</v>
      </c>
      <c r="B546" s="260" t="s">
        <v>3315</v>
      </c>
      <c r="C546" s="262" t="s">
        <v>4958</v>
      </c>
      <c r="D546" s="261" t="s">
        <v>3316</v>
      </c>
      <c r="E546" s="262" t="s">
        <v>5</v>
      </c>
      <c r="F546" s="263">
        <v>12</v>
      </c>
      <c r="G546" s="260" t="s">
        <v>32</v>
      </c>
      <c r="H546" s="260" t="s">
        <v>4959</v>
      </c>
      <c r="I546" s="260">
        <v>132</v>
      </c>
      <c r="J546" s="260"/>
      <c r="K546" s="262">
        <v>10.5</v>
      </c>
    </row>
    <row r="547" spans="1:11" ht="13">
      <c r="A547" s="276" t="s">
        <v>4940</v>
      </c>
      <c r="B547" s="260" t="s">
        <v>3328</v>
      </c>
      <c r="C547" s="261" t="s">
        <v>4958</v>
      </c>
      <c r="D547" s="260" t="s">
        <v>4960</v>
      </c>
      <c r="E547" s="262">
        <v>2021</v>
      </c>
      <c r="F547" s="263">
        <v>12</v>
      </c>
      <c r="G547" s="260" t="s">
        <v>32</v>
      </c>
      <c r="H547" s="260" t="s">
        <v>4076</v>
      </c>
      <c r="I547" s="260">
        <v>108</v>
      </c>
      <c r="J547" s="260"/>
      <c r="K547" s="262">
        <v>12.5</v>
      </c>
    </row>
    <row r="548" spans="1:11" ht="13">
      <c r="A548" s="276" t="s">
        <v>4940</v>
      </c>
      <c r="B548" s="260" t="s">
        <v>3345</v>
      </c>
      <c r="C548" s="260" t="s">
        <v>4958</v>
      </c>
      <c r="D548" s="261" t="s">
        <v>4961</v>
      </c>
      <c r="E548" s="262">
        <v>2023</v>
      </c>
      <c r="F548" s="263">
        <v>12</v>
      </c>
      <c r="G548" s="260" t="s">
        <v>32</v>
      </c>
      <c r="H548" s="260" t="s">
        <v>4350</v>
      </c>
      <c r="I548" s="260">
        <v>204</v>
      </c>
      <c r="J548" s="260"/>
      <c r="K548" s="262">
        <v>12.5</v>
      </c>
    </row>
    <row r="549" spans="1:11" ht="13">
      <c r="A549" s="276" t="s">
        <v>4940</v>
      </c>
      <c r="B549" s="260" t="s">
        <v>4962</v>
      </c>
      <c r="C549" s="262" t="s">
        <v>4958</v>
      </c>
      <c r="D549" s="261" t="s">
        <v>4963</v>
      </c>
      <c r="E549" s="262">
        <v>2024</v>
      </c>
      <c r="F549" s="263">
        <v>12</v>
      </c>
      <c r="G549" s="260" t="s">
        <v>32</v>
      </c>
      <c r="H549" s="260" t="s">
        <v>4964</v>
      </c>
      <c r="I549" s="260">
        <v>120</v>
      </c>
      <c r="J549" s="260"/>
      <c r="K549" s="262">
        <v>13</v>
      </c>
    </row>
    <row r="550" spans="1:11" ht="13">
      <c r="A550" s="276" t="s">
        <v>4940</v>
      </c>
      <c r="B550" s="260" t="s">
        <v>3347</v>
      </c>
      <c r="C550" s="261" t="s">
        <v>4958</v>
      </c>
      <c r="D550" s="261" t="s">
        <v>4965</v>
      </c>
      <c r="E550" s="262">
        <v>2021</v>
      </c>
      <c r="F550" s="263">
        <v>12</v>
      </c>
      <c r="G550" s="260" t="s">
        <v>32</v>
      </c>
      <c r="H550" s="260" t="s">
        <v>4428</v>
      </c>
      <c r="I550" s="260">
        <v>192</v>
      </c>
      <c r="J550" s="260"/>
      <c r="K550" s="262">
        <v>13</v>
      </c>
    </row>
    <row r="551" spans="1:11" ht="13">
      <c r="A551" s="276" t="s">
        <v>4940</v>
      </c>
      <c r="B551" s="260" t="s">
        <v>3349</v>
      </c>
      <c r="C551" s="261" t="s">
        <v>4958</v>
      </c>
      <c r="D551" s="261" t="s">
        <v>4965</v>
      </c>
      <c r="E551" s="262">
        <v>2022</v>
      </c>
      <c r="F551" s="263">
        <v>12</v>
      </c>
      <c r="G551" s="260" t="s">
        <v>32</v>
      </c>
      <c r="H551" s="260" t="s">
        <v>4284</v>
      </c>
      <c r="I551" s="260">
        <v>204</v>
      </c>
      <c r="J551" s="260"/>
      <c r="K551" s="262">
        <v>13</v>
      </c>
    </row>
    <row r="552" spans="1:11" ht="13">
      <c r="A552" s="276" t="s">
        <v>4940</v>
      </c>
      <c r="B552" s="260" t="s">
        <v>4966</v>
      </c>
      <c r="C552" s="261" t="s">
        <v>4958</v>
      </c>
      <c r="D552" s="261" t="s">
        <v>4967</v>
      </c>
      <c r="E552" s="262" t="s">
        <v>5</v>
      </c>
      <c r="F552" s="263">
        <v>12</v>
      </c>
      <c r="G552" s="260" t="s">
        <v>32</v>
      </c>
      <c r="H552" s="260" t="s">
        <v>4968</v>
      </c>
      <c r="I552" s="260">
        <v>126</v>
      </c>
      <c r="J552" s="260"/>
      <c r="K552" s="262">
        <v>12</v>
      </c>
    </row>
    <row r="553" spans="1:11" ht="13">
      <c r="A553" s="276" t="s">
        <v>4940</v>
      </c>
      <c r="B553" s="262" t="s">
        <v>3343</v>
      </c>
      <c r="C553" s="261" t="s">
        <v>4958</v>
      </c>
      <c r="D553" s="261" t="s">
        <v>4969</v>
      </c>
      <c r="E553" s="262">
        <v>2021</v>
      </c>
      <c r="F553" s="263">
        <v>12</v>
      </c>
      <c r="G553" s="260" t="s">
        <v>32</v>
      </c>
      <c r="H553" s="260" t="s">
        <v>4328</v>
      </c>
      <c r="I553" s="260">
        <v>192</v>
      </c>
      <c r="J553" s="260"/>
      <c r="K553" s="262">
        <v>14</v>
      </c>
    </row>
    <row r="554" spans="1:11" ht="13">
      <c r="A554" s="276" t="s">
        <v>4940</v>
      </c>
      <c r="B554" s="260" t="s">
        <v>4970</v>
      </c>
      <c r="C554" s="260" t="s">
        <v>4958</v>
      </c>
      <c r="D554" s="261" t="s">
        <v>4971</v>
      </c>
      <c r="E554" s="262">
        <v>2024</v>
      </c>
      <c r="F554" s="263">
        <v>12</v>
      </c>
      <c r="G554" s="260" t="s">
        <v>32</v>
      </c>
      <c r="H554" s="260" t="s">
        <v>4972</v>
      </c>
      <c r="I554" s="260">
        <v>114</v>
      </c>
      <c r="J554" s="260"/>
      <c r="K554" s="262">
        <v>12</v>
      </c>
    </row>
    <row r="555" spans="1:11" ht="13">
      <c r="A555" s="276" t="s">
        <v>4940</v>
      </c>
      <c r="B555" s="260" t="s">
        <v>4973</v>
      </c>
      <c r="C555" s="261" t="s">
        <v>4958</v>
      </c>
      <c r="D555" s="261" t="s">
        <v>4974</v>
      </c>
      <c r="E555" s="262">
        <v>2022</v>
      </c>
      <c r="F555" s="263">
        <v>12</v>
      </c>
      <c r="G555" s="260" t="s">
        <v>32</v>
      </c>
      <c r="H555" s="260" t="s">
        <v>4272</v>
      </c>
      <c r="I555" s="260">
        <v>114</v>
      </c>
      <c r="J555" s="260"/>
      <c r="K555" s="262">
        <v>12</v>
      </c>
    </row>
    <row r="556" spans="1:11" ht="13">
      <c r="A556" s="276" t="s">
        <v>4940</v>
      </c>
      <c r="B556" s="260" t="s">
        <v>3323</v>
      </c>
      <c r="C556" s="261" t="s">
        <v>4958</v>
      </c>
      <c r="D556" s="261" t="s">
        <v>4974</v>
      </c>
      <c r="E556" s="262">
        <v>2024</v>
      </c>
      <c r="F556" s="263">
        <v>12</v>
      </c>
      <c r="G556" s="260" t="s">
        <v>32</v>
      </c>
      <c r="H556" s="260" t="s">
        <v>4975</v>
      </c>
      <c r="I556" s="260">
        <v>120</v>
      </c>
      <c r="J556" s="260"/>
      <c r="K556" s="262">
        <v>12</v>
      </c>
    </row>
    <row r="557" spans="1:11" ht="13">
      <c r="A557" s="276" t="s">
        <v>4940</v>
      </c>
      <c r="B557" s="262" t="s">
        <v>3341</v>
      </c>
      <c r="C557" s="261" t="s">
        <v>4958</v>
      </c>
      <c r="D557" s="260" t="s">
        <v>4976</v>
      </c>
      <c r="E557" s="262">
        <v>2022</v>
      </c>
      <c r="F557" s="263">
        <v>12</v>
      </c>
      <c r="G557" s="260" t="s">
        <v>32</v>
      </c>
      <c r="H557" s="260" t="s">
        <v>4055</v>
      </c>
      <c r="I557" s="260">
        <v>204</v>
      </c>
      <c r="J557" s="260"/>
      <c r="K557" s="262">
        <v>13.5</v>
      </c>
    </row>
    <row r="558" spans="1:11" ht="13">
      <c r="A558" s="276" t="s">
        <v>4940</v>
      </c>
      <c r="B558" s="260" t="s">
        <v>3330</v>
      </c>
      <c r="C558" s="261" t="s">
        <v>4958</v>
      </c>
      <c r="D558" s="260" t="s">
        <v>3331</v>
      </c>
      <c r="E558" s="262" t="s">
        <v>5</v>
      </c>
      <c r="F558" s="263">
        <v>12</v>
      </c>
      <c r="G558" s="260" t="s">
        <v>32</v>
      </c>
      <c r="H558" s="260" t="s">
        <v>4977</v>
      </c>
      <c r="I558" s="260">
        <v>90</v>
      </c>
      <c r="J558" s="260"/>
      <c r="K558" s="262">
        <v>12.5</v>
      </c>
    </row>
    <row r="559" spans="1:11" ht="13">
      <c r="A559" s="276" t="s">
        <v>4940</v>
      </c>
      <c r="B559" s="260" t="s">
        <v>3319</v>
      </c>
      <c r="C559" s="261" t="s">
        <v>4958</v>
      </c>
      <c r="D559" s="261" t="s">
        <v>4978</v>
      </c>
      <c r="E559" s="262" t="s">
        <v>5</v>
      </c>
      <c r="F559" s="263">
        <v>12</v>
      </c>
      <c r="G559" s="260" t="s">
        <v>32</v>
      </c>
      <c r="H559" s="260" t="s">
        <v>4979</v>
      </c>
      <c r="I559" s="260">
        <v>90</v>
      </c>
      <c r="J559" s="260"/>
      <c r="K559" s="262">
        <v>12</v>
      </c>
    </row>
    <row r="560" spans="1:11" ht="13">
      <c r="A560" s="276" t="s">
        <v>4940</v>
      </c>
      <c r="B560" s="260" t="s">
        <v>3321</v>
      </c>
      <c r="C560" s="261" t="s">
        <v>4958</v>
      </c>
      <c r="D560" s="261" t="s">
        <v>4980</v>
      </c>
      <c r="E560" s="262" t="s">
        <v>5</v>
      </c>
      <c r="F560" s="263">
        <v>1</v>
      </c>
      <c r="G560" s="260" t="s">
        <v>4981</v>
      </c>
      <c r="H560" s="260" t="s">
        <v>4031</v>
      </c>
      <c r="I560" s="260">
        <v>120</v>
      </c>
      <c r="J560" s="260"/>
      <c r="K560" s="262">
        <v>12</v>
      </c>
    </row>
    <row r="561" spans="1:11" ht="13">
      <c r="A561" s="276" t="s">
        <v>4940</v>
      </c>
      <c r="B561" s="260" t="s">
        <v>3631</v>
      </c>
      <c r="C561" s="260" t="s">
        <v>4982</v>
      </c>
      <c r="D561" s="261" t="s">
        <v>4983</v>
      </c>
      <c r="E561" s="262">
        <v>2022</v>
      </c>
      <c r="F561" s="263">
        <v>6</v>
      </c>
      <c r="G561" s="260" t="s">
        <v>32</v>
      </c>
      <c r="H561" s="260" t="s">
        <v>4650</v>
      </c>
      <c r="I561" s="260">
        <v>1092</v>
      </c>
      <c r="J561" s="260"/>
      <c r="K561" s="262">
        <v>12.5</v>
      </c>
    </row>
    <row r="562" spans="1:11" ht="13">
      <c r="A562" s="276" t="s">
        <v>4940</v>
      </c>
      <c r="B562" s="260" t="s">
        <v>3614</v>
      </c>
      <c r="C562" s="261" t="s">
        <v>4982</v>
      </c>
      <c r="D562" s="261" t="s">
        <v>4984</v>
      </c>
      <c r="E562" s="262">
        <v>2022</v>
      </c>
      <c r="F562" s="263">
        <v>12</v>
      </c>
      <c r="G562" s="260" t="s">
        <v>32</v>
      </c>
      <c r="H562" s="260" t="s">
        <v>4985</v>
      </c>
      <c r="I562" s="260">
        <v>690</v>
      </c>
      <c r="J562" s="260"/>
      <c r="K562" s="262">
        <v>11.5</v>
      </c>
    </row>
    <row r="563" spans="1:11" ht="13">
      <c r="A563" s="276" t="s">
        <v>4940</v>
      </c>
      <c r="B563" s="260" t="s">
        <v>3611</v>
      </c>
      <c r="C563" s="261" t="s">
        <v>4982</v>
      </c>
      <c r="D563" s="260" t="s">
        <v>4984</v>
      </c>
      <c r="E563" s="262">
        <v>2023</v>
      </c>
      <c r="F563" s="263">
        <v>12</v>
      </c>
      <c r="G563" s="260" t="s">
        <v>32</v>
      </c>
      <c r="H563" s="260" t="s">
        <v>4986</v>
      </c>
      <c r="I563" s="260">
        <v>744</v>
      </c>
      <c r="J563" s="260"/>
      <c r="K563" s="262">
        <v>11.5</v>
      </c>
    </row>
    <row r="564" spans="1:11" ht="13">
      <c r="A564" s="276" t="s">
        <v>4940</v>
      </c>
      <c r="B564" s="260" t="s">
        <v>3615</v>
      </c>
      <c r="C564" s="260" t="s">
        <v>4982</v>
      </c>
      <c r="D564" s="261" t="s">
        <v>4987</v>
      </c>
      <c r="E564" s="262">
        <v>2023</v>
      </c>
      <c r="F564" s="263">
        <v>12</v>
      </c>
      <c r="G564" s="260" t="s">
        <v>32</v>
      </c>
      <c r="H564" s="260" t="s">
        <v>4044</v>
      </c>
      <c r="I564" s="260">
        <v>1104</v>
      </c>
      <c r="J564" s="260"/>
      <c r="K564" s="262">
        <v>12.5</v>
      </c>
    </row>
    <row r="565" spans="1:11" ht="13">
      <c r="A565" s="276" t="s">
        <v>4940</v>
      </c>
      <c r="B565" s="260" t="s">
        <v>3617</v>
      </c>
      <c r="C565" s="261" t="s">
        <v>4982</v>
      </c>
      <c r="D565" s="261" t="s">
        <v>4988</v>
      </c>
      <c r="E565" s="262">
        <v>2021</v>
      </c>
      <c r="F565" s="263">
        <v>1</v>
      </c>
      <c r="G565" s="260" t="s">
        <v>3979</v>
      </c>
      <c r="H565" s="260" t="s">
        <v>4286</v>
      </c>
      <c r="I565" s="260">
        <v>968</v>
      </c>
      <c r="J565" s="260"/>
      <c r="K565" s="262">
        <v>12.5</v>
      </c>
    </row>
    <row r="566" spans="1:11" ht="13">
      <c r="A566" s="276" t="s">
        <v>4940</v>
      </c>
      <c r="B566" s="260" t="s">
        <v>3620</v>
      </c>
      <c r="C566" s="260" t="s">
        <v>4982</v>
      </c>
      <c r="D566" s="261" t="s">
        <v>4989</v>
      </c>
      <c r="E566" s="262">
        <v>2023</v>
      </c>
      <c r="F566" s="263">
        <v>12</v>
      </c>
      <c r="G566" s="260" t="s">
        <v>32</v>
      </c>
      <c r="H566" s="260" t="s">
        <v>4990</v>
      </c>
      <c r="I566" s="260">
        <v>1104</v>
      </c>
      <c r="J566" s="260"/>
      <c r="K566" s="262">
        <v>13.5</v>
      </c>
    </row>
    <row r="567" spans="1:11" ht="13">
      <c r="A567" s="276" t="s">
        <v>4940</v>
      </c>
      <c r="B567" s="262" t="s">
        <v>3624</v>
      </c>
      <c r="C567" s="260" t="s">
        <v>4982</v>
      </c>
      <c r="D567" s="261" t="s">
        <v>4991</v>
      </c>
      <c r="E567" s="262">
        <v>2023</v>
      </c>
      <c r="F567" s="263">
        <v>12</v>
      </c>
      <c r="G567" s="260" t="s">
        <v>32</v>
      </c>
      <c r="H567" s="260" t="s">
        <v>4992</v>
      </c>
      <c r="I567" s="260">
        <v>2364</v>
      </c>
      <c r="J567" s="260"/>
      <c r="K567" s="262">
        <v>12.5</v>
      </c>
    </row>
    <row r="568" spans="1:11" ht="13">
      <c r="A568" s="276" t="s">
        <v>4940</v>
      </c>
      <c r="B568" s="262" t="s">
        <v>3626</v>
      </c>
      <c r="C568" s="262" t="s">
        <v>4982</v>
      </c>
      <c r="D568" s="261" t="s">
        <v>4993</v>
      </c>
      <c r="E568" s="262">
        <v>2023</v>
      </c>
      <c r="F568" s="263">
        <v>12</v>
      </c>
      <c r="G568" s="260" t="s">
        <v>32</v>
      </c>
      <c r="H568" s="260" t="s">
        <v>4756</v>
      </c>
      <c r="I568" s="260">
        <v>2364</v>
      </c>
      <c r="J568" s="260"/>
      <c r="K568" s="262">
        <v>12.5</v>
      </c>
    </row>
    <row r="569" spans="1:11" ht="13">
      <c r="A569" s="276" t="s">
        <v>4940</v>
      </c>
      <c r="B569" s="260" t="s">
        <v>3622</v>
      </c>
      <c r="C569" s="260" t="s">
        <v>4982</v>
      </c>
      <c r="D569" s="261" t="s">
        <v>4994</v>
      </c>
      <c r="E569" s="262">
        <v>2022</v>
      </c>
      <c r="F569" s="263">
        <v>12</v>
      </c>
      <c r="G569" s="260" t="s">
        <v>32</v>
      </c>
      <c r="H569" s="260" t="s">
        <v>4328</v>
      </c>
      <c r="I569" s="260">
        <v>2364</v>
      </c>
      <c r="J569" s="260"/>
      <c r="K569" s="262">
        <v>12</v>
      </c>
    </row>
    <row r="570" spans="1:11" ht="13">
      <c r="A570" s="276" t="s">
        <v>4940</v>
      </c>
      <c r="B570" s="260" t="s">
        <v>3628</v>
      </c>
      <c r="C570" s="261" t="s">
        <v>4982</v>
      </c>
      <c r="D570" s="261" t="s">
        <v>4995</v>
      </c>
      <c r="E570" s="262">
        <v>2023</v>
      </c>
      <c r="F570" s="263">
        <v>12</v>
      </c>
      <c r="G570" s="260" t="s">
        <v>32</v>
      </c>
      <c r="H570" s="260" t="s">
        <v>4008</v>
      </c>
      <c r="I570" s="260">
        <v>2364</v>
      </c>
      <c r="J570" s="260"/>
      <c r="K570" s="262">
        <v>12.5</v>
      </c>
    </row>
    <row r="571" spans="1:11" ht="13">
      <c r="A571" s="276" t="s">
        <v>4940</v>
      </c>
      <c r="B571" s="260" t="s">
        <v>3608</v>
      </c>
      <c r="C571" s="261" t="s">
        <v>4982</v>
      </c>
      <c r="D571" s="260" t="s">
        <v>4996</v>
      </c>
      <c r="E571" s="262">
        <v>2023</v>
      </c>
      <c r="F571" s="263">
        <v>12</v>
      </c>
      <c r="G571" s="260" t="s">
        <v>32</v>
      </c>
      <c r="H571" s="260" t="s">
        <v>4302</v>
      </c>
      <c r="I571" s="260">
        <v>744</v>
      </c>
      <c r="J571" s="260"/>
      <c r="K571" s="262">
        <v>12</v>
      </c>
    </row>
    <row r="572" spans="1:11" ht="13">
      <c r="A572" s="276" t="s">
        <v>4940</v>
      </c>
      <c r="B572" s="260" t="s">
        <v>3491</v>
      </c>
      <c r="C572" s="261" t="s">
        <v>4997</v>
      </c>
      <c r="D572" s="261" t="s">
        <v>4998</v>
      </c>
      <c r="E572" s="262">
        <v>2019</v>
      </c>
      <c r="F572" s="263">
        <v>12</v>
      </c>
      <c r="G572" s="260" t="s">
        <v>32</v>
      </c>
      <c r="H572" s="260" t="s">
        <v>4406</v>
      </c>
      <c r="I572" s="260">
        <v>240</v>
      </c>
      <c r="J572" s="260"/>
      <c r="K572" s="262">
        <v>12.5</v>
      </c>
    </row>
    <row r="573" spans="1:11" ht="13">
      <c r="A573" s="276" t="s">
        <v>4940</v>
      </c>
      <c r="B573" s="260" t="s">
        <v>4999</v>
      </c>
      <c r="C573" s="261" t="s">
        <v>4997</v>
      </c>
      <c r="D573" s="261" t="s">
        <v>5000</v>
      </c>
      <c r="E573" s="262">
        <v>2024</v>
      </c>
      <c r="F573" s="263">
        <v>12</v>
      </c>
      <c r="G573" s="260" t="s">
        <v>32</v>
      </c>
      <c r="H573" s="260" t="s">
        <v>5001</v>
      </c>
      <c r="I573" s="260">
        <v>132</v>
      </c>
      <c r="J573" s="260"/>
      <c r="K573" s="262">
        <v>13.5</v>
      </c>
    </row>
    <row r="574" spans="1:11" ht="13">
      <c r="A574" s="276" t="s">
        <v>4940</v>
      </c>
      <c r="B574" s="260" t="s">
        <v>3475</v>
      </c>
      <c r="C574" s="261" t="s">
        <v>4997</v>
      </c>
      <c r="D574" s="261" t="s">
        <v>5002</v>
      </c>
      <c r="E574" s="262" t="s">
        <v>5</v>
      </c>
      <c r="F574" s="263">
        <v>12</v>
      </c>
      <c r="G574" s="260" t="s">
        <v>32</v>
      </c>
      <c r="H574" s="260" t="s">
        <v>4547</v>
      </c>
      <c r="I574" s="260">
        <v>144</v>
      </c>
      <c r="J574" s="260"/>
      <c r="K574" s="262">
        <v>13</v>
      </c>
    </row>
    <row r="575" spans="1:11" ht="13">
      <c r="A575" s="276" t="s">
        <v>4940</v>
      </c>
      <c r="B575" s="260" t="s">
        <v>3473</v>
      </c>
      <c r="C575" s="261" t="s">
        <v>4997</v>
      </c>
      <c r="D575" s="261" t="s">
        <v>5003</v>
      </c>
      <c r="E575" s="262" t="s">
        <v>5</v>
      </c>
      <c r="F575" s="263">
        <v>12</v>
      </c>
      <c r="G575" s="260" t="s">
        <v>32</v>
      </c>
      <c r="H575" s="260" t="s">
        <v>5004</v>
      </c>
      <c r="I575" s="260">
        <v>144</v>
      </c>
      <c r="J575" s="260"/>
      <c r="K575" s="262">
        <v>14</v>
      </c>
    </row>
    <row r="576" spans="1:11" ht="13">
      <c r="A576" s="276" t="s">
        <v>4940</v>
      </c>
      <c r="B576" s="260" t="s">
        <v>5005</v>
      </c>
      <c r="C576" s="261" t="s">
        <v>4997</v>
      </c>
      <c r="D576" s="261" t="s">
        <v>5006</v>
      </c>
      <c r="E576" s="262">
        <v>2021</v>
      </c>
      <c r="F576" s="263">
        <v>12</v>
      </c>
      <c r="G576" s="260" t="s">
        <v>32</v>
      </c>
      <c r="H576" s="260" t="s">
        <v>4554</v>
      </c>
      <c r="I576" s="260">
        <v>138</v>
      </c>
      <c r="J576" s="260"/>
      <c r="K576" s="262">
        <v>12.5</v>
      </c>
    </row>
    <row r="577" spans="1:11" ht="13">
      <c r="A577" s="276" t="s">
        <v>4940</v>
      </c>
      <c r="B577" s="260" t="s">
        <v>5007</v>
      </c>
      <c r="C577" s="262" t="s">
        <v>4997</v>
      </c>
      <c r="D577" s="261" t="s">
        <v>5008</v>
      </c>
      <c r="E577" s="262">
        <v>2020</v>
      </c>
      <c r="F577" s="263">
        <v>12</v>
      </c>
      <c r="G577" s="260" t="s">
        <v>32</v>
      </c>
      <c r="H577" s="260" t="s">
        <v>4272</v>
      </c>
      <c r="I577" s="260">
        <v>114</v>
      </c>
      <c r="J577" s="260"/>
      <c r="K577" s="262">
        <v>14</v>
      </c>
    </row>
    <row r="578" spans="1:11" ht="13">
      <c r="A578" s="276" t="s">
        <v>4940</v>
      </c>
      <c r="B578" s="260" t="s">
        <v>3483</v>
      </c>
      <c r="C578" s="260" t="s">
        <v>4997</v>
      </c>
      <c r="D578" s="261" t="s">
        <v>5008</v>
      </c>
      <c r="E578" s="262">
        <v>2021</v>
      </c>
      <c r="F578" s="263">
        <v>12</v>
      </c>
      <c r="G578" s="260" t="s">
        <v>32</v>
      </c>
      <c r="H578" s="260" t="s">
        <v>5009</v>
      </c>
      <c r="I578" s="260">
        <v>114</v>
      </c>
      <c r="J578" s="260"/>
      <c r="K578" s="262">
        <v>14</v>
      </c>
    </row>
    <row r="579" spans="1:11" ht="13">
      <c r="A579" s="276" t="s">
        <v>4940</v>
      </c>
      <c r="B579" s="260" t="s">
        <v>3485</v>
      </c>
      <c r="C579" s="260" t="s">
        <v>4997</v>
      </c>
      <c r="D579" s="261" t="s">
        <v>5010</v>
      </c>
      <c r="E579" s="262">
        <v>2021</v>
      </c>
      <c r="F579" s="263">
        <v>1</v>
      </c>
      <c r="G579" s="260" t="s">
        <v>4019</v>
      </c>
      <c r="H579" s="260" t="s">
        <v>4038</v>
      </c>
      <c r="I579" s="260">
        <v>150</v>
      </c>
      <c r="J579" s="260"/>
      <c r="K579" s="262">
        <v>12.5</v>
      </c>
    </row>
    <row r="580" spans="1:11" ht="13">
      <c r="A580" s="276" t="s">
        <v>4940</v>
      </c>
      <c r="B580" s="260" t="s">
        <v>3478</v>
      </c>
      <c r="C580" s="260" t="s">
        <v>4997</v>
      </c>
      <c r="D580" s="260" t="s">
        <v>5011</v>
      </c>
      <c r="E580" s="262">
        <v>2024</v>
      </c>
      <c r="F580" s="263">
        <v>12</v>
      </c>
      <c r="G580" s="260" t="s">
        <v>32</v>
      </c>
      <c r="H580" s="260" t="s">
        <v>5012</v>
      </c>
      <c r="I580" s="260">
        <v>114</v>
      </c>
      <c r="J580" s="260"/>
      <c r="K580" s="262">
        <v>13</v>
      </c>
    </row>
    <row r="581" spans="1:11" ht="13">
      <c r="A581" s="276" t="s">
        <v>4940</v>
      </c>
      <c r="B581" s="260" t="s">
        <v>3481</v>
      </c>
      <c r="C581" s="260" t="s">
        <v>4997</v>
      </c>
      <c r="D581" s="260" t="s">
        <v>5013</v>
      </c>
      <c r="E581" s="262">
        <v>2024</v>
      </c>
      <c r="F581" s="263">
        <v>1</v>
      </c>
      <c r="G581" s="260" t="s">
        <v>4019</v>
      </c>
      <c r="H581" s="260" t="s">
        <v>5014</v>
      </c>
      <c r="I581" s="260">
        <v>150</v>
      </c>
      <c r="J581" s="260"/>
      <c r="K581" s="262">
        <v>12.5</v>
      </c>
    </row>
    <row r="582" spans="1:11" ht="13">
      <c r="A582" s="276" t="s">
        <v>4940</v>
      </c>
      <c r="B582" s="262" t="s">
        <v>3259</v>
      </c>
      <c r="C582" s="260" t="s">
        <v>5015</v>
      </c>
      <c r="D582" s="260" t="s">
        <v>5016</v>
      </c>
      <c r="E582" s="262">
        <v>2020</v>
      </c>
      <c r="F582" s="263">
        <v>12</v>
      </c>
      <c r="G582" s="260" t="s">
        <v>32</v>
      </c>
      <c r="H582" s="260" t="s">
        <v>4262</v>
      </c>
      <c r="I582" s="260">
        <v>360</v>
      </c>
      <c r="J582" s="260"/>
      <c r="K582" s="262">
        <v>13.5</v>
      </c>
    </row>
    <row r="583" spans="1:11" ht="13">
      <c r="A583" s="276" t="s">
        <v>4940</v>
      </c>
      <c r="B583" s="260" t="s">
        <v>3245</v>
      </c>
      <c r="C583" s="260" t="s">
        <v>5015</v>
      </c>
      <c r="D583" s="261" t="s">
        <v>5017</v>
      </c>
      <c r="E583" s="262" t="s">
        <v>5</v>
      </c>
      <c r="F583" s="263">
        <v>12</v>
      </c>
      <c r="G583" s="260" t="s">
        <v>32</v>
      </c>
      <c r="H583" s="260" t="s">
        <v>5018</v>
      </c>
      <c r="I583" s="260">
        <v>246</v>
      </c>
      <c r="J583" s="260"/>
      <c r="K583" s="262">
        <v>13</v>
      </c>
    </row>
    <row r="584" spans="1:11" ht="13">
      <c r="A584" s="276" t="s">
        <v>4940</v>
      </c>
      <c r="B584" s="260" t="s">
        <v>3255</v>
      </c>
      <c r="C584" s="260" t="s">
        <v>5015</v>
      </c>
      <c r="D584" s="261" t="s">
        <v>5019</v>
      </c>
      <c r="E584" s="262">
        <v>2020</v>
      </c>
      <c r="F584" s="263">
        <v>12</v>
      </c>
      <c r="G584" s="260" t="s">
        <v>32</v>
      </c>
      <c r="H584" s="260" t="s">
        <v>4322</v>
      </c>
      <c r="I584" s="260">
        <v>360</v>
      </c>
      <c r="J584" s="260"/>
      <c r="K584" s="262">
        <v>13.5</v>
      </c>
    </row>
    <row r="585" spans="1:11" ht="13">
      <c r="A585" s="276" t="s">
        <v>4940</v>
      </c>
      <c r="B585" s="260" t="s">
        <v>3258</v>
      </c>
      <c r="C585" s="261" t="s">
        <v>5015</v>
      </c>
      <c r="D585" s="261" t="s">
        <v>5019</v>
      </c>
      <c r="E585" s="262">
        <v>2018</v>
      </c>
      <c r="F585" s="263">
        <v>12</v>
      </c>
      <c r="G585" s="260" t="s">
        <v>32</v>
      </c>
      <c r="H585" s="260" t="s">
        <v>5020</v>
      </c>
      <c r="I585" s="260">
        <v>366</v>
      </c>
      <c r="J585" s="260"/>
      <c r="K585" s="262">
        <v>13.5</v>
      </c>
    </row>
    <row r="586" spans="1:11" ht="13">
      <c r="A586" s="276" t="s">
        <v>4940</v>
      </c>
      <c r="B586" s="260" t="s">
        <v>3252</v>
      </c>
      <c r="C586" s="260" t="s">
        <v>5015</v>
      </c>
      <c r="D586" s="261" t="s">
        <v>5021</v>
      </c>
      <c r="E586" s="262">
        <v>2019</v>
      </c>
      <c r="F586" s="263">
        <v>12</v>
      </c>
      <c r="G586" s="260" t="s">
        <v>32</v>
      </c>
      <c r="H586" s="260" t="s">
        <v>5022</v>
      </c>
      <c r="I586" s="260">
        <v>348</v>
      </c>
      <c r="J586" s="260"/>
      <c r="K586" s="262">
        <v>12.5</v>
      </c>
    </row>
    <row r="587" spans="1:11" ht="13">
      <c r="A587" s="276" t="s">
        <v>4940</v>
      </c>
      <c r="B587" s="260" t="s">
        <v>3250</v>
      </c>
      <c r="C587" s="262" t="s">
        <v>5015</v>
      </c>
      <c r="D587" s="260" t="s">
        <v>5023</v>
      </c>
      <c r="E587" s="262">
        <v>2019</v>
      </c>
      <c r="F587" s="263">
        <v>12</v>
      </c>
      <c r="G587" s="260" t="s">
        <v>32</v>
      </c>
      <c r="H587" s="260" t="s">
        <v>4042</v>
      </c>
      <c r="I587" s="260">
        <v>396</v>
      </c>
      <c r="J587" s="260"/>
      <c r="K587" s="262">
        <v>13</v>
      </c>
    </row>
    <row r="588" spans="1:11" ht="13">
      <c r="A588" s="276" t="s">
        <v>4940</v>
      </c>
      <c r="B588" s="260" t="s">
        <v>3261</v>
      </c>
      <c r="C588" s="262" t="s">
        <v>5015</v>
      </c>
      <c r="D588" s="261" t="s">
        <v>5024</v>
      </c>
      <c r="E588" s="262">
        <v>2020</v>
      </c>
      <c r="F588" s="263">
        <v>12</v>
      </c>
      <c r="G588" s="260" t="s">
        <v>32</v>
      </c>
      <c r="H588" s="260" t="s">
        <v>5022</v>
      </c>
      <c r="I588" s="260">
        <v>360</v>
      </c>
      <c r="J588" s="260"/>
      <c r="K588" s="262">
        <v>12.5</v>
      </c>
    </row>
    <row r="589" spans="1:11" ht="13">
      <c r="A589" s="276" t="s">
        <v>4940</v>
      </c>
      <c r="B589" s="260" t="s">
        <v>3263</v>
      </c>
      <c r="C589" s="260" t="s">
        <v>5015</v>
      </c>
      <c r="D589" s="261" t="s">
        <v>5024</v>
      </c>
      <c r="E589" s="262">
        <v>2018</v>
      </c>
      <c r="F589" s="263">
        <v>12</v>
      </c>
      <c r="G589" s="260" t="s">
        <v>32</v>
      </c>
      <c r="H589" s="260" t="s">
        <v>3983</v>
      </c>
      <c r="I589" s="260">
        <v>366</v>
      </c>
      <c r="J589" s="260"/>
      <c r="K589" s="262">
        <v>12.5</v>
      </c>
    </row>
    <row r="590" spans="1:11" ht="13">
      <c r="A590" s="276" t="s">
        <v>4940</v>
      </c>
      <c r="B590" s="260" t="s">
        <v>3224</v>
      </c>
      <c r="C590" s="261" t="s">
        <v>3972</v>
      </c>
      <c r="D590" s="261" t="s">
        <v>5025</v>
      </c>
      <c r="E590" s="262" t="s">
        <v>5</v>
      </c>
      <c r="F590" s="263">
        <v>24</v>
      </c>
      <c r="G590" s="260" t="s">
        <v>6</v>
      </c>
      <c r="H590" s="260" t="s">
        <v>4684</v>
      </c>
      <c r="I590" s="260">
        <v>60</v>
      </c>
      <c r="J590" s="260"/>
      <c r="K590" s="262">
        <v>13.5</v>
      </c>
    </row>
    <row r="591" spans="1:11" ht="13">
      <c r="A591" s="276" t="s">
        <v>4940</v>
      </c>
      <c r="B591" s="260" t="s">
        <v>3537</v>
      </c>
      <c r="C591" s="261" t="s">
        <v>5026</v>
      </c>
      <c r="D591" s="260" t="s">
        <v>5027</v>
      </c>
      <c r="E591" s="262">
        <v>2020</v>
      </c>
      <c r="F591" s="263">
        <v>12</v>
      </c>
      <c r="G591" s="260" t="s">
        <v>32</v>
      </c>
      <c r="H591" s="260" t="s">
        <v>5028</v>
      </c>
      <c r="I591" s="260">
        <v>600</v>
      </c>
      <c r="J591" s="260"/>
      <c r="K591" s="262">
        <v>15</v>
      </c>
    </row>
    <row r="592" spans="1:11" ht="13">
      <c r="A592" s="276" t="s">
        <v>4940</v>
      </c>
      <c r="B592" s="260" t="s">
        <v>3565</v>
      </c>
      <c r="C592" s="260" t="s">
        <v>5026</v>
      </c>
      <c r="D592" s="261" t="s">
        <v>5029</v>
      </c>
      <c r="E592" s="262" t="s">
        <v>5</v>
      </c>
      <c r="F592" s="263">
        <v>12</v>
      </c>
      <c r="G592" s="260" t="s">
        <v>32</v>
      </c>
      <c r="H592" s="260" t="s">
        <v>4076</v>
      </c>
      <c r="I592" s="260">
        <v>600</v>
      </c>
      <c r="J592" s="260"/>
      <c r="K592" s="262">
        <v>15</v>
      </c>
    </row>
    <row r="593" spans="1:11" ht="13">
      <c r="A593" s="276" t="s">
        <v>4940</v>
      </c>
      <c r="B593" s="260" t="s">
        <v>3567</v>
      </c>
      <c r="C593" s="262" t="s">
        <v>5026</v>
      </c>
      <c r="D593" s="261" t="s">
        <v>5029</v>
      </c>
      <c r="E593" s="262" t="s">
        <v>5</v>
      </c>
      <c r="F593" s="263">
        <v>6</v>
      </c>
      <c r="G593" s="260" t="s">
        <v>3979</v>
      </c>
      <c r="H593" s="260" t="s">
        <v>4262</v>
      </c>
      <c r="I593" s="260">
        <v>618</v>
      </c>
      <c r="J593" s="260"/>
      <c r="K593" s="262">
        <v>14.5</v>
      </c>
    </row>
    <row r="594" spans="1:11" ht="13">
      <c r="A594" s="276" t="s">
        <v>4940</v>
      </c>
      <c r="B594" s="260" t="s">
        <v>3513</v>
      </c>
      <c r="C594" s="261" t="s">
        <v>5026</v>
      </c>
      <c r="D594" s="261" t="s">
        <v>5030</v>
      </c>
      <c r="E594" s="262">
        <v>2022</v>
      </c>
      <c r="F594" s="263">
        <v>12</v>
      </c>
      <c r="G594" s="260" t="s">
        <v>32</v>
      </c>
      <c r="H594" s="260" t="s">
        <v>5031</v>
      </c>
      <c r="I594" s="260">
        <v>324</v>
      </c>
      <c r="J594" s="260"/>
      <c r="K594" s="262">
        <v>12.5</v>
      </c>
    </row>
    <row r="595" spans="1:11" ht="13">
      <c r="A595" s="276" t="s">
        <v>4940</v>
      </c>
      <c r="B595" s="260" t="s">
        <v>5032</v>
      </c>
      <c r="C595" s="261" t="s">
        <v>5026</v>
      </c>
      <c r="D595" s="261" t="s">
        <v>5030</v>
      </c>
      <c r="E595" s="262">
        <v>2023</v>
      </c>
      <c r="F595" s="263">
        <v>12</v>
      </c>
      <c r="G595" s="260" t="s">
        <v>32</v>
      </c>
      <c r="H595" s="260" t="s">
        <v>4428</v>
      </c>
      <c r="I595" s="260">
        <v>270</v>
      </c>
      <c r="J595" s="260"/>
      <c r="K595" s="262">
        <v>12.5</v>
      </c>
    </row>
    <row r="596" spans="1:11" ht="13">
      <c r="A596" s="276" t="s">
        <v>4940</v>
      </c>
      <c r="B596" s="260" t="s">
        <v>5033</v>
      </c>
      <c r="C596" s="260" t="s">
        <v>5026</v>
      </c>
      <c r="D596" s="261" t="s">
        <v>5034</v>
      </c>
      <c r="E596" s="262">
        <v>2019</v>
      </c>
      <c r="F596" s="263">
        <v>12</v>
      </c>
      <c r="G596" s="260" t="s">
        <v>32</v>
      </c>
      <c r="H596" s="260" t="s">
        <v>4272</v>
      </c>
      <c r="I596" s="260">
        <v>600</v>
      </c>
      <c r="J596" s="260"/>
      <c r="K596" s="262">
        <v>14</v>
      </c>
    </row>
    <row r="597" spans="1:11" ht="13">
      <c r="A597" s="276" t="s">
        <v>4940</v>
      </c>
      <c r="B597" s="260" t="s">
        <v>3561</v>
      </c>
      <c r="C597" s="261" t="s">
        <v>5026</v>
      </c>
      <c r="D597" s="261" t="s">
        <v>5034</v>
      </c>
      <c r="E597" s="262">
        <v>2020</v>
      </c>
      <c r="F597" s="263">
        <v>12</v>
      </c>
      <c r="G597" s="260" t="s">
        <v>32</v>
      </c>
      <c r="H597" s="260" t="s">
        <v>4797</v>
      </c>
      <c r="I597" s="260">
        <v>600</v>
      </c>
      <c r="J597" s="260"/>
      <c r="K597" s="262">
        <v>14</v>
      </c>
    </row>
    <row r="598" spans="1:11" ht="13">
      <c r="A598" s="276" t="s">
        <v>4940</v>
      </c>
      <c r="B598" s="260" t="s">
        <v>5035</v>
      </c>
      <c r="C598" s="260" t="s">
        <v>5026</v>
      </c>
      <c r="D598" s="261" t="s">
        <v>5036</v>
      </c>
      <c r="E598" s="262">
        <v>2019</v>
      </c>
      <c r="F598" s="263">
        <v>6</v>
      </c>
      <c r="G598" s="260" t="s">
        <v>3979</v>
      </c>
      <c r="H598" s="260" t="s">
        <v>4581</v>
      </c>
      <c r="I598" s="260">
        <v>618</v>
      </c>
      <c r="J598" s="260"/>
      <c r="K598" s="262">
        <v>12</v>
      </c>
    </row>
    <row r="599" spans="1:11" ht="13">
      <c r="A599" s="276" t="s">
        <v>4940</v>
      </c>
      <c r="B599" s="260" t="s">
        <v>3522</v>
      </c>
      <c r="C599" s="260" t="s">
        <v>5026</v>
      </c>
      <c r="D599" s="261" t="s">
        <v>5036</v>
      </c>
      <c r="E599" s="262">
        <v>2020</v>
      </c>
      <c r="F599" s="263">
        <v>6</v>
      </c>
      <c r="G599" s="260" t="s">
        <v>3979</v>
      </c>
      <c r="H599" s="260" t="s">
        <v>4896</v>
      </c>
      <c r="I599" s="260">
        <v>618</v>
      </c>
      <c r="J599" s="260"/>
      <c r="K599" s="262">
        <v>12</v>
      </c>
    </row>
    <row r="600" spans="1:11" ht="13">
      <c r="A600" s="276" t="s">
        <v>4940</v>
      </c>
      <c r="B600" s="260" t="s">
        <v>5037</v>
      </c>
      <c r="C600" s="260" t="s">
        <v>5038</v>
      </c>
      <c r="D600" s="261" t="s">
        <v>5039</v>
      </c>
      <c r="E600" s="262">
        <v>2022</v>
      </c>
      <c r="F600" s="263">
        <v>12</v>
      </c>
      <c r="G600" s="260" t="s">
        <v>32</v>
      </c>
      <c r="H600" s="260" t="s">
        <v>4684</v>
      </c>
      <c r="I600" s="260">
        <v>192</v>
      </c>
      <c r="J600" s="260"/>
      <c r="K600" s="262">
        <v>11</v>
      </c>
    </row>
    <row r="601" spans="1:11" ht="13">
      <c r="A601" s="276" t="s">
        <v>4940</v>
      </c>
      <c r="B601" s="260" t="s">
        <v>3460</v>
      </c>
      <c r="C601" s="260" t="s">
        <v>5038</v>
      </c>
      <c r="D601" s="261" t="s">
        <v>5039</v>
      </c>
      <c r="E601" s="262">
        <v>2023</v>
      </c>
      <c r="F601" s="263">
        <v>12</v>
      </c>
      <c r="G601" s="260" t="s">
        <v>32</v>
      </c>
      <c r="H601" s="260" t="s">
        <v>5040</v>
      </c>
      <c r="I601" s="260">
        <v>192</v>
      </c>
      <c r="J601" s="260"/>
      <c r="K601" s="262">
        <v>11</v>
      </c>
    </row>
    <row r="602" spans="1:11" ht="13">
      <c r="A602" s="276" t="s">
        <v>4940</v>
      </c>
      <c r="B602" s="260" t="s">
        <v>3468</v>
      </c>
      <c r="C602" s="260" t="s">
        <v>5038</v>
      </c>
      <c r="D602" s="261" t="s">
        <v>5041</v>
      </c>
      <c r="E602" s="262">
        <v>2022</v>
      </c>
      <c r="F602" s="263">
        <v>12</v>
      </c>
      <c r="G602" s="260" t="s">
        <v>32</v>
      </c>
      <c r="H602" s="260" t="s">
        <v>4992</v>
      </c>
      <c r="I602" s="260">
        <v>180</v>
      </c>
      <c r="J602" s="260"/>
      <c r="K602" s="262">
        <v>11.2</v>
      </c>
    </row>
    <row r="603" spans="1:11" ht="13">
      <c r="A603" s="276" t="s">
        <v>4940</v>
      </c>
      <c r="B603" s="260" t="s">
        <v>3445</v>
      </c>
      <c r="C603" s="260" t="s">
        <v>5038</v>
      </c>
      <c r="D603" s="261" t="s">
        <v>5042</v>
      </c>
      <c r="E603" s="262">
        <v>2023</v>
      </c>
      <c r="F603" s="263">
        <v>12</v>
      </c>
      <c r="G603" s="260" t="s">
        <v>32</v>
      </c>
      <c r="H603" s="260" t="s">
        <v>4076</v>
      </c>
      <c r="I603" s="260">
        <v>144</v>
      </c>
      <c r="J603" s="260"/>
      <c r="K603" s="262">
        <v>10.5</v>
      </c>
    </row>
    <row r="604" spans="1:11" ht="13">
      <c r="A604" s="276" t="s">
        <v>4940</v>
      </c>
      <c r="B604" s="260" t="s">
        <v>3438</v>
      </c>
      <c r="C604" s="260" t="s">
        <v>5043</v>
      </c>
      <c r="D604" s="261" t="s">
        <v>5044</v>
      </c>
      <c r="E604" s="262">
        <v>2020</v>
      </c>
      <c r="F604" s="263">
        <v>12</v>
      </c>
      <c r="G604" s="260" t="s">
        <v>32</v>
      </c>
      <c r="H604" s="260" t="s">
        <v>4772</v>
      </c>
      <c r="I604" s="260">
        <v>168</v>
      </c>
      <c r="J604" s="260"/>
      <c r="K604" s="262">
        <v>13.5</v>
      </c>
    </row>
    <row r="605" spans="1:11" ht="13">
      <c r="A605" s="276" t="s">
        <v>4940</v>
      </c>
      <c r="B605" s="260" t="s">
        <v>3441</v>
      </c>
      <c r="C605" s="260" t="s">
        <v>5043</v>
      </c>
      <c r="D605" s="261" t="s">
        <v>5045</v>
      </c>
      <c r="E605" s="262">
        <v>2019</v>
      </c>
      <c r="F605" s="263">
        <v>12</v>
      </c>
      <c r="G605" s="260" t="s">
        <v>32</v>
      </c>
      <c r="H605" s="260" t="s">
        <v>4008</v>
      </c>
      <c r="I605" s="260">
        <v>168</v>
      </c>
      <c r="J605" s="260"/>
      <c r="K605" s="262">
        <v>13.5</v>
      </c>
    </row>
    <row r="606" spans="1:11" ht="13">
      <c r="A606" s="276" t="s">
        <v>4940</v>
      </c>
      <c r="B606" s="260" t="s">
        <v>3418</v>
      </c>
      <c r="C606" s="260" t="s">
        <v>5043</v>
      </c>
      <c r="D606" s="261" t="s">
        <v>5046</v>
      </c>
      <c r="E606" s="262">
        <v>2022</v>
      </c>
      <c r="F606" s="263">
        <v>12</v>
      </c>
      <c r="G606" s="260" t="s">
        <v>32</v>
      </c>
      <c r="H606" s="260" t="s">
        <v>5047</v>
      </c>
      <c r="I606" s="260">
        <v>150</v>
      </c>
      <c r="J606" s="260"/>
      <c r="K606" s="262">
        <v>12.5</v>
      </c>
    </row>
    <row r="607" spans="1:11" ht="13">
      <c r="A607" s="276" t="s">
        <v>4940</v>
      </c>
      <c r="B607" s="260" t="s">
        <v>3421</v>
      </c>
      <c r="C607" s="260" t="s">
        <v>5043</v>
      </c>
      <c r="D607" s="261" t="s">
        <v>5048</v>
      </c>
      <c r="E607" s="262">
        <v>2020</v>
      </c>
      <c r="F607" s="263">
        <v>12</v>
      </c>
      <c r="G607" s="260" t="s">
        <v>32</v>
      </c>
      <c r="H607" s="260" t="s">
        <v>4382</v>
      </c>
      <c r="I607" s="260">
        <v>168</v>
      </c>
      <c r="J607" s="260"/>
      <c r="K607" s="262">
        <v>13.5</v>
      </c>
    </row>
    <row r="608" spans="1:11" ht="13">
      <c r="A608" s="276" t="s">
        <v>4940</v>
      </c>
      <c r="B608" s="260" t="s">
        <v>3415</v>
      </c>
      <c r="C608" s="261" t="s">
        <v>5043</v>
      </c>
      <c r="D608" s="261" t="s">
        <v>5049</v>
      </c>
      <c r="E608" s="262">
        <v>2023</v>
      </c>
      <c r="F608" s="263">
        <v>12</v>
      </c>
      <c r="G608" s="260" t="s">
        <v>32</v>
      </c>
      <c r="H608" s="260" t="s">
        <v>5050</v>
      </c>
      <c r="I608" s="260">
        <v>150</v>
      </c>
      <c r="J608" s="260"/>
      <c r="K608" s="262">
        <v>13.5</v>
      </c>
    </row>
    <row r="609" spans="1:11" ht="13">
      <c r="A609" s="276" t="s">
        <v>4940</v>
      </c>
      <c r="B609" s="260" t="s">
        <v>3431</v>
      </c>
      <c r="C609" s="262" t="s">
        <v>5043</v>
      </c>
      <c r="D609" s="261" t="s">
        <v>5051</v>
      </c>
      <c r="E609" s="262">
        <v>2020</v>
      </c>
      <c r="F609" s="263">
        <v>12</v>
      </c>
      <c r="G609" s="260" t="s">
        <v>32</v>
      </c>
      <c r="H609" s="260" t="s">
        <v>4581</v>
      </c>
      <c r="I609" s="260">
        <v>174</v>
      </c>
      <c r="J609" s="260"/>
      <c r="K609" s="262">
        <v>14</v>
      </c>
    </row>
    <row r="610" spans="1:11" ht="13">
      <c r="A610" s="276" t="s">
        <v>4940</v>
      </c>
      <c r="B610" s="260" t="s">
        <v>3425</v>
      </c>
      <c r="C610" s="262" t="s">
        <v>5043</v>
      </c>
      <c r="D610" s="261" t="s">
        <v>5052</v>
      </c>
      <c r="E610" s="262">
        <v>2018</v>
      </c>
      <c r="F610" s="263">
        <v>12</v>
      </c>
      <c r="G610" s="260" t="s">
        <v>32</v>
      </c>
      <c r="H610" s="260" t="s">
        <v>4535</v>
      </c>
      <c r="I610" s="260">
        <v>186</v>
      </c>
      <c r="J610" s="260"/>
      <c r="K610" s="262">
        <v>11</v>
      </c>
    </row>
    <row r="611" spans="1:11" ht="13">
      <c r="A611" s="276" t="s">
        <v>4940</v>
      </c>
      <c r="B611" s="260" t="s">
        <v>3427</v>
      </c>
      <c r="C611" s="261" t="s">
        <v>5043</v>
      </c>
      <c r="D611" s="261" t="s">
        <v>5053</v>
      </c>
      <c r="E611" s="262">
        <v>2021</v>
      </c>
      <c r="F611" s="263">
        <v>12</v>
      </c>
      <c r="G611" s="260" t="s">
        <v>32</v>
      </c>
      <c r="H611" s="260" t="s">
        <v>4328</v>
      </c>
      <c r="I611" s="260">
        <v>174</v>
      </c>
      <c r="J611" s="260"/>
      <c r="K611" s="262">
        <v>12.5</v>
      </c>
    </row>
    <row r="612" spans="1:11" ht="13">
      <c r="A612" s="276" t="s">
        <v>4940</v>
      </c>
      <c r="B612" s="260" t="s">
        <v>3584</v>
      </c>
      <c r="C612" s="262" t="s">
        <v>5054</v>
      </c>
      <c r="D612" s="261" t="s">
        <v>3585</v>
      </c>
      <c r="E612" s="262">
        <v>2022</v>
      </c>
      <c r="F612" s="263">
        <v>6</v>
      </c>
      <c r="G612" s="260" t="s">
        <v>32</v>
      </c>
      <c r="H612" s="260" t="s">
        <v>5055</v>
      </c>
      <c r="I612" s="260">
        <v>162</v>
      </c>
      <c r="J612" s="260"/>
      <c r="K612" s="262">
        <v>13</v>
      </c>
    </row>
    <row r="613" spans="1:11" ht="13">
      <c r="A613" s="276" t="s">
        <v>4940</v>
      </c>
      <c r="B613" s="260" t="s">
        <v>3582</v>
      </c>
      <c r="C613" s="260" t="s">
        <v>5054</v>
      </c>
      <c r="D613" s="260" t="s">
        <v>5056</v>
      </c>
      <c r="E613" s="262">
        <v>2022</v>
      </c>
      <c r="F613" s="263">
        <v>6</v>
      </c>
      <c r="G613" s="260" t="s">
        <v>32</v>
      </c>
      <c r="H613" s="260" t="s">
        <v>4774</v>
      </c>
      <c r="I613" s="260">
        <v>138</v>
      </c>
      <c r="J613" s="260"/>
      <c r="K613" s="262">
        <v>13</v>
      </c>
    </row>
    <row r="614" spans="1:11" ht="13">
      <c r="A614" s="276" t="s">
        <v>4940</v>
      </c>
      <c r="B614" s="260" t="s">
        <v>3354</v>
      </c>
      <c r="C614" s="260" t="s">
        <v>5057</v>
      </c>
      <c r="D614" s="261" t="s">
        <v>3355</v>
      </c>
      <c r="E614" s="262">
        <v>2023</v>
      </c>
      <c r="F614" s="263">
        <v>12</v>
      </c>
      <c r="G614" s="260" t="s">
        <v>32</v>
      </c>
      <c r="H614" s="260" t="s">
        <v>4702</v>
      </c>
      <c r="I614" s="260">
        <v>144</v>
      </c>
      <c r="J614" s="260"/>
      <c r="K614" s="262">
        <v>9.5</v>
      </c>
    </row>
    <row r="615" spans="1:11" ht="13">
      <c r="A615" s="276" t="s">
        <v>4940</v>
      </c>
      <c r="B615" s="260" t="s">
        <v>3356</v>
      </c>
      <c r="C615" s="261" t="s">
        <v>5057</v>
      </c>
      <c r="D615" s="261" t="s">
        <v>3357</v>
      </c>
      <c r="E615" s="262">
        <v>2023</v>
      </c>
      <c r="F615" s="263">
        <v>12</v>
      </c>
      <c r="G615" s="260" t="s">
        <v>32</v>
      </c>
      <c r="H615" s="260" t="s">
        <v>4752</v>
      </c>
      <c r="I615" s="260">
        <v>144</v>
      </c>
      <c r="J615" s="260"/>
      <c r="K615" s="262">
        <v>11</v>
      </c>
    </row>
    <row r="616" spans="1:11" ht="13">
      <c r="A616" s="276" t="s">
        <v>4940</v>
      </c>
      <c r="B616" s="260" t="s">
        <v>3374</v>
      </c>
      <c r="C616" s="261" t="s">
        <v>5057</v>
      </c>
      <c r="D616" s="260" t="s">
        <v>5058</v>
      </c>
      <c r="E616" s="262">
        <v>2021</v>
      </c>
      <c r="F616" s="263">
        <v>12</v>
      </c>
      <c r="G616" s="260" t="s">
        <v>32</v>
      </c>
      <c r="H616" s="260" t="s">
        <v>4045</v>
      </c>
      <c r="I616" s="260">
        <v>144</v>
      </c>
      <c r="J616" s="260"/>
      <c r="K616" s="262">
        <v>10</v>
      </c>
    </row>
    <row r="617" spans="1:11" ht="13">
      <c r="A617" s="276" t="s">
        <v>4940</v>
      </c>
      <c r="B617" s="260" t="s">
        <v>3386</v>
      </c>
      <c r="C617" s="260" t="s">
        <v>5057</v>
      </c>
      <c r="D617" s="261" t="s">
        <v>5059</v>
      </c>
      <c r="E617" s="262">
        <v>2022</v>
      </c>
      <c r="F617" s="263">
        <v>12</v>
      </c>
      <c r="G617" s="260" t="s">
        <v>32</v>
      </c>
      <c r="H617" s="260" t="s">
        <v>4752</v>
      </c>
      <c r="I617" s="260">
        <v>144</v>
      </c>
      <c r="J617" s="260"/>
      <c r="K617" s="262">
        <v>11</v>
      </c>
    </row>
    <row r="618" spans="1:11" ht="13">
      <c r="A618" s="276" t="s">
        <v>4940</v>
      </c>
      <c r="B618" s="260" t="s">
        <v>3402</v>
      </c>
      <c r="C618" s="260" t="s">
        <v>5057</v>
      </c>
      <c r="D618" s="261" t="s">
        <v>5060</v>
      </c>
      <c r="E618" s="262">
        <v>2022</v>
      </c>
      <c r="F618" s="263">
        <v>12</v>
      </c>
      <c r="G618" s="260" t="s">
        <v>32</v>
      </c>
      <c r="H618" s="260" t="s">
        <v>5061</v>
      </c>
      <c r="I618" s="260">
        <v>180</v>
      </c>
      <c r="J618" s="260"/>
      <c r="K618" s="262">
        <v>12.5</v>
      </c>
    </row>
    <row r="619" spans="1:11" ht="13">
      <c r="A619" s="276" t="s">
        <v>4940</v>
      </c>
      <c r="B619" s="260" t="s">
        <v>3367</v>
      </c>
      <c r="C619" s="260" t="s">
        <v>5057</v>
      </c>
      <c r="D619" s="260" t="s">
        <v>5062</v>
      </c>
      <c r="E619" s="262">
        <v>2021</v>
      </c>
      <c r="F619" s="263">
        <v>12</v>
      </c>
      <c r="G619" s="260" t="s">
        <v>32</v>
      </c>
      <c r="H619" s="260" t="s">
        <v>5063</v>
      </c>
      <c r="I619" s="260">
        <v>96</v>
      </c>
      <c r="J619" s="260"/>
      <c r="K619" s="262">
        <v>11.5</v>
      </c>
    </row>
    <row r="620" spans="1:11" ht="13">
      <c r="A620" s="276" t="s">
        <v>4940</v>
      </c>
      <c r="B620" s="260" t="s">
        <v>3400</v>
      </c>
      <c r="C620" s="260" t="s">
        <v>5057</v>
      </c>
      <c r="D620" s="261" t="s">
        <v>5064</v>
      </c>
      <c r="E620" s="262">
        <v>2021</v>
      </c>
      <c r="F620" s="263">
        <v>12</v>
      </c>
      <c r="G620" s="260" t="s">
        <v>32</v>
      </c>
      <c r="H620" s="260" t="s">
        <v>4787</v>
      </c>
      <c r="I620" s="260">
        <v>156</v>
      </c>
      <c r="J620" s="260"/>
      <c r="K620" s="262">
        <v>12.5</v>
      </c>
    </row>
    <row r="621" spans="1:11" ht="13">
      <c r="A621" s="276" t="s">
        <v>4940</v>
      </c>
      <c r="B621" s="260" t="s">
        <v>3396</v>
      </c>
      <c r="C621" s="260" t="s">
        <v>5057</v>
      </c>
      <c r="D621" s="261" t="s">
        <v>5065</v>
      </c>
      <c r="E621" s="262">
        <v>2021</v>
      </c>
      <c r="F621" s="263">
        <v>12</v>
      </c>
      <c r="G621" s="260" t="s">
        <v>32</v>
      </c>
      <c r="H621" s="260" t="s">
        <v>5066</v>
      </c>
      <c r="I621" s="260">
        <v>138</v>
      </c>
      <c r="J621" s="260"/>
      <c r="K621" s="262">
        <v>12</v>
      </c>
    </row>
    <row r="622" spans="1:11" ht="13">
      <c r="A622" s="276" t="s">
        <v>4940</v>
      </c>
      <c r="B622" s="260" t="s">
        <v>3384</v>
      </c>
      <c r="C622" s="260" t="s">
        <v>5057</v>
      </c>
      <c r="D622" s="261" t="s">
        <v>5067</v>
      </c>
      <c r="E622" s="262">
        <v>2020</v>
      </c>
      <c r="F622" s="263">
        <v>12</v>
      </c>
      <c r="G622" s="260" t="s">
        <v>32</v>
      </c>
      <c r="H622" s="260" t="s">
        <v>4048</v>
      </c>
      <c r="I622" s="260">
        <v>120</v>
      </c>
      <c r="J622" s="260"/>
      <c r="K622" s="262">
        <v>11</v>
      </c>
    </row>
    <row r="623" spans="1:11" ht="13">
      <c r="A623" s="276" t="s">
        <v>4940</v>
      </c>
      <c r="B623" s="260" t="s">
        <v>3376</v>
      </c>
      <c r="C623" s="260" t="s">
        <v>5057</v>
      </c>
      <c r="D623" s="261" t="s">
        <v>5068</v>
      </c>
      <c r="E623" s="262">
        <v>2021</v>
      </c>
      <c r="F623" s="263">
        <v>12</v>
      </c>
      <c r="G623" s="260" t="s">
        <v>32</v>
      </c>
      <c r="H623" s="260" t="s">
        <v>4740</v>
      </c>
      <c r="I623" s="260">
        <v>144</v>
      </c>
      <c r="J623" s="260"/>
      <c r="K623" s="262">
        <v>11</v>
      </c>
    </row>
    <row r="624" spans="1:11" ht="13">
      <c r="A624" s="276" t="s">
        <v>4940</v>
      </c>
      <c r="B624" s="260" t="s">
        <v>5069</v>
      </c>
      <c r="C624" s="260" t="s">
        <v>5070</v>
      </c>
      <c r="D624" s="260" t="s">
        <v>5071</v>
      </c>
      <c r="E624" s="262">
        <v>2024</v>
      </c>
      <c r="F624" s="263">
        <v>12</v>
      </c>
      <c r="G624" s="260" t="s">
        <v>32</v>
      </c>
      <c r="H624" s="260" t="s">
        <v>5072</v>
      </c>
      <c r="I624" s="260">
        <v>120</v>
      </c>
      <c r="J624" s="260"/>
      <c r="K624" s="262">
        <v>12</v>
      </c>
    </row>
    <row r="625" spans="1:11" ht="13">
      <c r="A625" s="276" t="s">
        <v>4940</v>
      </c>
      <c r="B625" s="260" t="s">
        <v>5073</v>
      </c>
      <c r="C625" s="261" t="s">
        <v>5070</v>
      </c>
      <c r="D625" s="261" t="s">
        <v>5074</v>
      </c>
      <c r="E625" s="262">
        <v>2024</v>
      </c>
      <c r="F625" s="263">
        <v>12</v>
      </c>
      <c r="G625" s="260" t="s">
        <v>32</v>
      </c>
      <c r="H625" s="260" t="s">
        <v>5075</v>
      </c>
      <c r="I625" s="260">
        <v>120</v>
      </c>
      <c r="J625" s="260"/>
      <c r="K625" s="262">
        <v>12.5</v>
      </c>
    </row>
    <row r="626" spans="1:11" ht="13">
      <c r="A626" s="276" t="s">
        <v>4940</v>
      </c>
      <c r="B626" s="260" t="s">
        <v>5076</v>
      </c>
      <c r="C626" s="260" t="s">
        <v>5070</v>
      </c>
      <c r="D626" s="261" t="s">
        <v>5077</v>
      </c>
      <c r="E626" s="262">
        <v>2023</v>
      </c>
      <c r="F626" s="263">
        <v>12</v>
      </c>
      <c r="G626" s="260" t="s">
        <v>32</v>
      </c>
      <c r="H626" s="260" t="s">
        <v>5078</v>
      </c>
      <c r="I626" s="260">
        <v>114</v>
      </c>
      <c r="J626" s="260"/>
      <c r="K626" s="262">
        <v>12</v>
      </c>
    </row>
    <row r="627" spans="1:11" ht="13">
      <c r="A627" s="276" t="s">
        <v>4940</v>
      </c>
      <c r="B627" s="260" t="s">
        <v>3277</v>
      </c>
      <c r="C627" s="261" t="s">
        <v>5079</v>
      </c>
      <c r="D627" s="261" t="s">
        <v>5080</v>
      </c>
      <c r="E627" s="262">
        <v>2021</v>
      </c>
      <c r="F627" s="263">
        <v>12</v>
      </c>
      <c r="G627" s="260" t="s">
        <v>32</v>
      </c>
      <c r="H627" s="260" t="s">
        <v>5081</v>
      </c>
      <c r="I627" s="260">
        <v>180</v>
      </c>
      <c r="J627" s="260"/>
      <c r="K627" s="262">
        <v>11.5</v>
      </c>
    </row>
    <row r="628" spans="1:11" ht="13">
      <c r="A628" s="276" t="s">
        <v>4940</v>
      </c>
      <c r="B628" s="260" t="s">
        <v>3270</v>
      </c>
      <c r="C628" s="261" t="s">
        <v>5079</v>
      </c>
      <c r="D628" s="261" t="s">
        <v>3271</v>
      </c>
      <c r="E628" s="262">
        <v>2023</v>
      </c>
      <c r="F628" s="263">
        <v>12</v>
      </c>
      <c r="G628" s="260" t="s">
        <v>32</v>
      </c>
      <c r="H628" s="260" t="s">
        <v>4197</v>
      </c>
      <c r="I628" s="260">
        <v>156</v>
      </c>
      <c r="J628" s="260"/>
      <c r="K628" s="262">
        <v>12</v>
      </c>
    </row>
    <row r="629" spans="1:11" ht="13">
      <c r="A629" s="276" t="s">
        <v>4940</v>
      </c>
      <c r="B629" s="260" t="s">
        <v>3598</v>
      </c>
      <c r="C629" s="261" t="s">
        <v>5082</v>
      </c>
      <c r="D629" s="261" t="s">
        <v>5083</v>
      </c>
      <c r="E629" s="262">
        <v>2021</v>
      </c>
      <c r="F629" s="263">
        <v>12</v>
      </c>
      <c r="G629" s="260" t="s">
        <v>32</v>
      </c>
      <c r="H629" s="260" t="s">
        <v>5081</v>
      </c>
      <c r="I629" s="260">
        <v>162</v>
      </c>
      <c r="J629" s="260"/>
      <c r="K629" s="262">
        <v>13</v>
      </c>
    </row>
    <row r="630" spans="1:11" ht="13">
      <c r="A630" s="276" t="s">
        <v>4940</v>
      </c>
      <c r="B630" s="260" t="s">
        <v>3600</v>
      </c>
      <c r="C630" s="260" t="s">
        <v>5082</v>
      </c>
      <c r="D630" s="261" t="s">
        <v>5084</v>
      </c>
      <c r="E630" s="262">
        <v>2018</v>
      </c>
      <c r="F630" s="263">
        <v>12</v>
      </c>
      <c r="G630" s="260" t="s">
        <v>32</v>
      </c>
      <c r="H630" s="260" t="s">
        <v>4189</v>
      </c>
      <c r="I630" s="260">
        <v>192</v>
      </c>
      <c r="J630" s="260"/>
      <c r="K630" s="262">
        <v>13</v>
      </c>
    </row>
    <row r="631" spans="1:11" ht="13">
      <c r="A631" s="276" t="s">
        <v>4940</v>
      </c>
      <c r="B631" s="260" t="s">
        <v>3596</v>
      </c>
      <c r="C631" s="260" t="s">
        <v>5082</v>
      </c>
      <c r="D631" s="260" t="s">
        <v>5085</v>
      </c>
      <c r="E631" s="262">
        <v>2021</v>
      </c>
      <c r="F631" s="263">
        <v>12</v>
      </c>
      <c r="G631" s="260" t="s">
        <v>32</v>
      </c>
      <c r="H631" s="260" t="s">
        <v>5086</v>
      </c>
      <c r="I631" s="260">
        <v>162</v>
      </c>
      <c r="J631" s="260"/>
      <c r="K631" s="262">
        <v>11.5</v>
      </c>
    </row>
    <row r="632" spans="1:11" ht="13">
      <c r="A632" s="264"/>
      <c r="B632" s="264"/>
      <c r="C632" s="264"/>
      <c r="D632" s="265"/>
      <c r="E632" s="266"/>
      <c r="F632" s="267"/>
      <c r="G632" s="264"/>
      <c r="H632" s="264"/>
      <c r="I632" s="264"/>
      <c r="J632" s="264"/>
      <c r="K632" s="266"/>
    </row>
    <row r="633" spans="1:11" ht="13">
      <c r="A633" s="259" t="s">
        <v>5087</v>
      </c>
      <c r="B633" s="260" t="s">
        <v>3774</v>
      </c>
      <c r="C633" s="260" t="s">
        <v>5088</v>
      </c>
      <c r="D633" s="261" t="s">
        <v>3775</v>
      </c>
      <c r="E633" s="262">
        <v>2022</v>
      </c>
      <c r="F633" s="263">
        <v>12</v>
      </c>
      <c r="G633" s="260" t="s">
        <v>32</v>
      </c>
      <c r="H633" s="260" t="s">
        <v>5089</v>
      </c>
      <c r="I633" s="260">
        <v>252</v>
      </c>
      <c r="J633" s="260"/>
      <c r="K633" s="262">
        <v>11.5</v>
      </c>
    </row>
    <row r="634" spans="1:11" ht="13">
      <c r="A634" s="259" t="s">
        <v>5087</v>
      </c>
      <c r="B634" s="260" t="s">
        <v>3770</v>
      </c>
      <c r="C634" s="260" t="s">
        <v>5088</v>
      </c>
      <c r="D634" s="261" t="s">
        <v>3771</v>
      </c>
      <c r="E634" s="262">
        <v>2022</v>
      </c>
      <c r="F634" s="263">
        <v>12</v>
      </c>
      <c r="G634" s="260" t="s">
        <v>32</v>
      </c>
      <c r="H634" s="260" t="s">
        <v>4389</v>
      </c>
      <c r="I634" s="260">
        <v>252</v>
      </c>
      <c r="J634" s="260"/>
      <c r="K634" s="262">
        <v>12</v>
      </c>
    </row>
    <row r="635" spans="1:11" ht="13">
      <c r="A635" s="259" t="s">
        <v>5087</v>
      </c>
      <c r="B635" s="260" t="s">
        <v>3806</v>
      </c>
      <c r="C635" s="260" t="s">
        <v>5090</v>
      </c>
      <c r="D635" s="261" t="s">
        <v>5091</v>
      </c>
      <c r="E635" s="262">
        <v>2022</v>
      </c>
      <c r="F635" s="263">
        <v>12</v>
      </c>
      <c r="G635" s="260" t="s">
        <v>32</v>
      </c>
      <c r="H635" s="260" t="s">
        <v>4015</v>
      </c>
      <c r="I635" s="260">
        <v>564</v>
      </c>
      <c r="J635" s="260"/>
      <c r="K635" s="262">
        <v>11.5</v>
      </c>
    </row>
    <row r="636" spans="1:11" ht="13">
      <c r="A636" s="264"/>
      <c r="B636" s="264"/>
      <c r="C636" s="264"/>
      <c r="D636" s="265"/>
      <c r="E636" s="266"/>
      <c r="F636" s="267"/>
      <c r="G636" s="264"/>
      <c r="H636" s="264"/>
      <c r="I636" s="264"/>
      <c r="J636" s="264"/>
      <c r="K636" s="266"/>
    </row>
    <row r="637" spans="1:11" ht="13">
      <c r="A637" s="268" t="s">
        <v>5092</v>
      </c>
      <c r="B637" s="260" t="s">
        <v>5093</v>
      </c>
      <c r="C637" s="260" t="s">
        <v>5094</v>
      </c>
      <c r="D637" s="261" t="s">
        <v>5095</v>
      </c>
      <c r="E637" s="262" t="s">
        <v>5</v>
      </c>
      <c r="F637" s="263">
        <v>6</v>
      </c>
      <c r="G637" s="260" t="s">
        <v>32</v>
      </c>
      <c r="H637" s="260" t="s">
        <v>4687</v>
      </c>
      <c r="I637" s="260">
        <v>0</v>
      </c>
      <c r="J637" s="260"/>
      <c r="K637" s="262">
        <v>47</v>
      </c>
    </row>
    <row r="638" spans="1:11" ht="13">
      <c r="A638" s="268" t="s">
        <v>5092</v>
      </c>
      <c r="B638" s="260" t="s">
        <v>5096</v>
      </c>
      <c r="C638" s="260" t="s">
        <v>5094</v>
      </c>
      <c r="D638" s="261" t="s">
        <v>5097</v>
      </c>
      <c r="E638" s="262" t="s">
        <v>5</v>
      </c>
      <c r="F638" s="263">
        <v>6</v>
      </c>
      <c r="G638" s="260" t="s">
        <v>32</v>
      </c>
      <c r="H638" s="260" t="s">
        <v>4364</v>
      </c>
      <c r="I638" s="260">
        <v>0</v>
      </c>
      <c r="J638" s="260"/>
      <c r="K638" s="262">
        <v>47</v>
      </c>
    </row>
    <row r="639" spans="1:11" ht="13">
      <c r="A639" s="268" t="s">
        <v>5092</v>
      </c>
      <c r="B639" s="260" t="s">
        <v>5098</v>
      </c>
      <c r="C639" s="261" t="s">
        <v>5094</v>
      </c>
      <c r="D639" s="261" t="s">
        <v>5099</v>
      </c>
      <c r="E639" s="262" t="s">
        <v>5</v>
      </c>
      <c r="F639" s="263">
        <v>12</v>
      </c>
      <c r="G639" s="260" t="s">
        <v>5100</v>
      </c>
      <c r="H639" s="260" t="s">
        <v>4183</v>
      </c>
      <c r="I639" s="260">
        <v>0</v>
      </c>
      <c r="J639" s="260"/>
      <c r="K639" s="262">
        <v>30</v>
      </c>
    </row>
    <row r="640" spans="1:11" ht="13">
      <c r="A640" s="268" t="s">
        <v>5092</v>
      </c>
      <c r="B640" s="260" t="s">
        <v>5101</v>
      </c>
      <c r="C640" s="260" t="s">
        <v>5094</v>
      </c>
      <c r="D640" s="260" t="s">
        <v>5102</v>
      </c>
      <c r="E640" s="262" t="s">
        <v>5</v>
      </c>
      <c r="F640" s="263">
        <v>12</v>
      </c>
      <c r="G640" s="260" t="s">
        <v>5100</v>
      </c>
      <c r="H640" s="260" t="s">
        <v>4044</v>
      </c>
      <c r="I640" s="260">
        <v>0</v>
      </c>
      <c r="J640" s="260"/>
      <c r="K640" s="262">
        <v>30</v>
      </c>
    </row>
    <row r="641" spans="1:11" ht="13">
      <c r="A641" s="268" t="s">
        <v>5092</v>
      </c>
      <c r="B641" s="260" t="s">
        <v>5103</v>
      </c>
      <c r="C641" s="260" t="s">
        <v>5104</v>
      </c>
      <c r="D641" s="260" t="s">
        <v>5105</v>
      </c>
      <c r="E641" s="262">
        <v>2023</v>
      </c>
      <c r="F641" s="263">
        <v>12</v>
      </c>
      <c r="G641" s="260" t="s">
        <v>32</v>
      </c>
      <c r="H641" s="260" t="s">
        <v>4015</v>
      </c>
      <c r="I641" s="260">
        <v>216</v>
      </c>
      <c r="J641" s="260"/>
      <c r="K641" s="262">
        <v>12</v>
      </c>
    </row>
    <row r="642" spans="1:11" ht="13">
      <c r="A642" s="268" t="s">
        <v>5092</v>
      </c>
      <c r="B642" s="260" t="s">
        <v>5106</v>
      </c>
      <c r="C642" s="261" t="s">
        <v>5104</v>
      </c>
      <c r="D642" s="261" t="s">
        <v>5107</v>
      </c>
      <c r="E642" s="262">
        <v>2024</v>
      </c>
      <c r="F642" s="263">
        <v>12</v>
      </c>
      <c r="G642" s="260" t="s">
        <v>32</v>
      </c>
      <c r="H642" s="260" t="s">
        <v>4238</v>
      </c>
      <c r="I642" s="260">
        <v>204</v>
      </c>
      <c r="J642" s="260"/>
      <c r="K642" s="262">
        <v>12</v>
      </c>
    </row>
    <row r="643" spans="1:11" ht="13">
      <c r="A643" s="268" t="s">
        <v>5092</v>
      </c>
      <c r="B643" s="260" t="s">
        <v>5108</v>
      </c>
      <c r="C643" s="260" t="s">
        <v>5104</v>
      </c>
      <c r="D643" s="260" t="s">
        <v>5109</v>
      </c>
      <c r="E643" s="262">
        <v>2024</v>
      </c>
      <c r="F643" s="263">
        <v>12</v>
      </c>
      <c r="G643" s="260" t="s">
        <v>32</v>
      </c>
      <c r="H643" s="260" t="s">
        <v>3966</v>
      </c>
      <c r="I643" s="260">
        <v>192</v>
      </c>
      <c r="J643" s="260"/>
      <c r="K643" s="262">
        <v>12</v>
      </c>
    </row>
    <row r="644" spans="1:11" ht="13">
      <c r="A644" s="268" t="s">
        <v>5092</v>
      </c>
      <c r="B644" s="260" t="s">
        <v>5110</v>
      </c>
      <c r="C644" s="260" t="s">
        <v>5104</v>
      </c>
      <c r="D644" s="261" t="s">
        <v>5111</v>
      </c>
      <c r="E644" s="262">
        <v>2024</v>
      </c>
      <c r="F644" s="263">
        <v>12</v>
      </c>
      <c r="G644" s="260" t="s">
        <v>32</v>
      </c>
      <c r="H644" s="260" t="s">
        <v>4403</v>
      </c>
      <c r="I644" s="260">
        <v>204</v>
      </c>
      <c r="J644" s="260"/>
      <c r="K644" s="262">
        <v>12</v>
      </c>
    </row>
    <row r="645" spans="1:11" ht="13">
      <c r="A645" s="268" t="s">
        <v>5092</v>
      </c>
      <c r="B645" s="260" t="s">
        <v>5112</v>
      </c>
      <c r="C645" s="261" t="s">
        <v>5104</v>
      </c>
      <c r="D645" s="261" t="s">
        <v>5113</v>
      </c>
      <c r="E645" s="262">
        <v>2024</v>
      </c>
      <c r="F645" s="263">
        <v>12</v>
      </c>
      <c r="G645" s="260" t="s">
        <v>32</v>
      </c>
      <c r="H645" s="260" t="s">
        <v>4832</v>
      </c>
      <c r="I645" s="260">
        <v>210</v>
      </c>
      <c r="J645" s="260"/>
      <c r="K645" s="262">
        <v>12</v>
      </c>
    </row>
    <row r="646" spans="1:11" ht="13">
      <c r="A646" s="264"/>
      <c r="B646" s="264"/>
      <c r="C646" s="264"/>
      <c r="D646" s="265"/>
      <c r="E646" s="266"/>
      <c r="F646" s="267"/>
      <c r="G646" s="264"/>
      <c r="H646" s="264"/>
      <c r="I646" s="264"/>
      <c r="J646" s="264"/>
      <c r="K646" s="266"/>
    </row>
    <row r="647" spans="1:11" ht="13">
      <c r="A647" s="269" t="s">
        <v>5114</v>
      </c>
      <c r="B647" s="260" t="s">
        <v>5115</v>
      </c>
      <c r="C647" s="261" t="s">
        <v>5116</v>
      </c>
      <c r="D647" s="261" t="s">
        <v>5117</v>
      </c>
      <c r="E647" s="262">
        <v>2020</v>
      </c>
      <c r="F647" s="263">
        <v>12</v>
      </c>
      <c r="G647" s="260" t="s">
        <v>32</v>
      </c>
      <c r="H647" s="260" t="s">
        <v>5118</v>
      </c>
      <c r="I647" s="260">
        <v>216</v>
      </c>
      <c r="J647" s="260"/>
      <c r="K647" s="262">
        <v>13.5</v>
      </c>
    </row>
    <row r="648" spans="1:11" ht="13">
      <c r="A648" s="264"/>
      <c r="B648" s="264"/>
      <c r="C648" s="264"/>
      <c r="D648" s="265"/>
      <c r="E648" s="266"/>
      <c r="F648" s="267"/>
      <c r="G648" s="264"/>
      <c r="H648" s="264"/>
      <c r="I648" s="264"/>
      <c r="J648" s="264"/>
      <c r="K648" s="266"/>
    </row>
    <row r="649" spans="1:11" ht="13">
      <c r="A649" s="270" t="s">
        <v>5119</v>
      </c>
      <c r="B649" s="260" t="s">
        <v>2861</v>
      </c>
      <c r="C649" s="261" t="s">
        <v>5120</v>
      </c>
      <c r="D649" s="261" t="s">
        <v>5121</v>
      </c>
      <c r="E649" s="262">
        <v>2022</v>
      </c>
      <c r="F649" s="263">
        <v>12</v>
      </c>
      <c r="G649" s="260" t="s">
        <v>32</v>
      </c>
      <c r="H649" s="260" t="s">
        <v>4547</v>
      </c>
      <c r="I649" s="260">
        <v>216</v>
      </c>
      <c r="J649" s="260"/>
      <c r="K649" s="262">
        <v>12.5</v>
      </c>
    </row>
    <row r="650" spans="1:11" ht="13">
      <c r="A650" s="270" t="s">
        <v>5119</v>
      </c>
      <c r="B650" s="260" t="s">
        <v>2863</v>
      </c>
      <c r="C650" s="260" t="s">
        <v>5120</v>
      </c>
      <c r="D650" s="261" t="s">
        <v>5122</v>
      </c>
      <c r="E650" s="262">
        <v>2021</v>
      </c>
      <c r="F650" s="263">
        <v>12</v>
      </c>
      <c r="G650" s="260" t="s">
        <v>32</v>
      </c>
      <c r="H650" s="260" t="s">
        <v>5123</v>
      </c>
      <c r="I650" s="260">
        <v>216</v>
      </c>
      <c r="J650" s="260"/>
      <c r="K650" s="262">
        <v>12</v>
      </c>
    </row>
    <row r="651" spans="1:11" ht="13">
      <c r="A651" s="270" t="s">
        <v>5119</v>
      </c>
      <c r="B651" s="260" t="s">
        <v>5124</v>
      </c>
      <c r="C651" s="260" t="s">
        <v>5120</v>
      </c>
      <c r="D651" s="261" t="s">
        <v>5125</v>
      </c>
      <c r="E651" s="262">
        <v>2024</v>
      </c>
      <c r="F651" s="263">
        <v>12</v>
      </c>
      <c r="G651" s="260" t="s">
        <v>32</v>
      </c>
      <c r="H651" s="260" t="s">
        <v>4227</v>
      </c>
      <c r="I651" s="260">
        <v>156</v>
      </c>
      <c r="J651" s="260"/>
      <c r="K651" s="262">
        <v>12</v>
      </c>
    </row>
    <row r="652" spans="1:11" ht="13">
      <c r="A652" s="270" t="s">
        <v>5119</v>
      </c>
      <c r="B652" s="260" t="s">
        <v>2876</v>
      </c>
      <c r="C652" s="260" t="s">
        <v>5120</v>
      </c>
      <c r="D652" s="261" t="s">
        <v>5126</v>
      </c>
      <c r="E652" s="262">
        <v>2022</v>
      </c>
      <c r="F652" s="263">
        <v>12</v>
      </c>
      <c r="G652" s="260" t="s">
        <v>32</v>
      </c>
      <c r="H652" s="260" t="s">
        <v>4685</v>
      </c>
      <c r="I652" s="260">
        <v>216</v>
      </c>
      <c r="J652" s="260"/>
      <c r="K652" s="262">
        <v>12.5</v>
      </c>
    </row>
    <row r="653" spans="1:11" ht="13">
      <c r="A653" s="270" t="s">
        <v>5119</v>
      </c>
      <c r="B653" s="260" t="s">
        <v>2870</v>
      </c>
      <c r="C653" s="261" t="s">
        <v>5120</v>
      </c>
      <c r="D653" s="261" t="s">
        <v>5127</v>
      </c>
      <c r="E653" s="262">
        <v>2024</v>
      </c>
      <c r="F653" s="263">
        <v>12</v>
      </c>
      <c r="G653" s="260" t="s">
        <v>32</v>
      </c>
      <c r="H653" s="260" t="s">
        <v>4387</v>
      </c>
      <c r="I653" s="260">
        <v>150</v>
      </c>
      <c r="J653" s="260"/>
      <c r="K653" s="262">
        <v>11.5</v>
      </c>
    </row>
    <row r="654" spans="1:11" ht="13">
      <c r="A654" s="270" t="s">
        <v>5119</v>
      </c>
      <c r="B654" s="260" t="s">
        <v>2944</v>
      </c>
      <c r="C654" s="261" t="s">
        <v>5128</v>
      </c>
      <c r="D654" s="261" t="s">
        <v>5129</v>
      </c>
      <c r="E654" s="262">
        <v>2022</v>
      </c>
      <c r="F654" s="263">
        <v>12</v>
      </c>
      <c r="G654" s="260" t="s">
        <v>32</v>
      </c>
      <c r="H654" s="260" t="s">
        <v>4699</v>
      </c>
      <c r="I654" s="260">
        <v>150</v>
      </c>
      <c r="J654" s="260"/>
      <c r="K654" s="262">
        <v>13.5</v>
      </c>
    </row>
    <row r="655" spans="1:11" ht="13">
      <c r="A655" s="270" t="s">
        <v>5119</v>
      </c>
      <c r="B655" s="260" t="s">
        <v>2947</v>
      </c>
      <c r="C655" s="261" t="s">
        <v>5128</v>
      </c>
      <c r="D655" s="261" t="s">
        <v>5130</v>
      </c>
      <c r="E655" s="262" t="s">
        <v>5</v>
      </c>
      <c r="F655" s="263">
        <v>12</v>
      </c>
      <c r="G655" s="260" t="s">
        <v>32</v>
      </c>
      <c r="H655" s="260" t="s">
        <v>4440</v>
      </c>
      <c r="I655" s="260">
        <v>204</v>
      </c>
      <c r="J655" s="260"/>
      <c r="K655" s="262">
        <v>13.5</v>
      </c>
    </row>
    <row r="656" spans="1:11" ht="13">
      <c r="A656" s="270" t="s">
        <v>5119</v>
      </c>
      <c r="B656" s="260" t="s">
        <v>2957</v>
      </c>
      <c r="C656" s="261" t="s">
        <v>5128</v>
      </c>
      <c r="D656" s="261" t="s">
        <v>5131</v>
      </c>
      <c r="E656" s="262">
        <v>2020</v>
      </c>
      <c r="F656" s="263">
        <v>12</v>
      </c>
      <c r="G656" s="260" t="s">
        <v>32</v>
      </c>
      <c r="H656" s="260" t="s">
        <v>4010</v>
      </c>
      <c r="I656" s="260">
        <v>156</v>
      </c>
      <c r="J656" s="260"/>
      <c r="K656" s="262">
        <v>12</v>
      </c>
    </row>
    <row r="657" spans="1:11" ht="13">
      <c r="A657" s="270" t="s">
        <v>5119</v>
      </c>
      <c r="B657" s="260" t="s">
        <v>2960</v>
      </c>
      <c r="C657" s="260" t="s">
        <v>5128</v>
      </c>
      <c r="D657" s="261" t="s">
        <v>5132</v>
      </c>
      <c r="E657" s="262">
        <v>2019</v>
      </c>
      <c r="F657" s="263">
        <v>12</v>
      </c>
      <c r="G657" s="260" t="s">
        <v>32</v>
      </c>
      <c r="H657" s="260" t="s">
        <v>4547</v>
      </c>
      <c r="I657" s="260">
        <v>204</v>
      </c>
      <c r="J657" s="260"/>
      <c r="K657" s="262">
        <v>13</v>
      </c>
    </row>
    <row r="658" spans="1:11" ht="13">
      <c r="A658" s="270" t="s">
        <v>5119</v>
      </c>
      <c r="B658" s="260" t="s">
        <v>2966</v>
      </c>
      <c r="C658" s="261" t="s">
        <v>5128</v>
      </c>
      <c r="D658" s="261" t="s">
        <v>5133</v>
      </c>
      <c r="E658" s="262">
        <v>2018</v>
      </c>
      <c r="F658" s="263">
        <v>12</v>
      </c>
      <c r="G658" s="260" t="s">
        <v>32</v>
      </c>
      <c r="H658" s="260" t="s">
        <v>4202</v>
      </c>
      <c r="I658" s="260">
        <v>204</v>
      </c>
      <c r="J658" s="260"/>
      <c r="K658" s="262">
        <v>13.5</v>
      </c>
    </row>
    <row r="659" spans="1:11" ht="13">
      <c r="A659" s="270" t="s">
        <v>5119</v>
      </c>
      <c r="B659" s="260" t="s">
        <v>5134</v>
      </c>
      <c r="C659" s="260" t="s">
        <v>5135</v>
      </c>
      <c r="D659" s="261" t="s">
        <v>5136</v>
      </c>
      <c r="E659" s="262">
        <v>2020</v>
      </c>
      <c r="F659" s="263">
        <v>12</v>
      </c>
      <c r="G659" s="260" t="s">
        <v>32</v>
      </c>
      <c r="H659" s="260" t="s">
        <v>4842</v>
      </c>
      <c r="I659" s="260">
        <v>168</v>
      </c>
      <c r="J659" s="260"/>
      <c r="K659" s="262">
        <v>12.5</v>
      </c>
    </row>
    <row r="660" spans="1:11" ht="13">
      <c r="A660" s="270" t="s">
        <v>5119</v>
      </c>
      <c r="B660" s="260" t="s">
        <v>5137</v>
      </c>
      <c r="C660" s="260" t="s">
        <v>5135</v>
      </c>
      <c r="D660" s="261" t="s">
        <v>5138</v>
      </c>
      <c r="E660" s="262">
        <v>2021</v>
      </c>
      <c r="F660" s="263">
        <v>12</v>
      </c>
      <c r="G660" s="260" t="s">
        <v>32</v>
      </c>
      <c r="H660" s="260" t="s">
        <v>5139</v>
      </c>
      <c r="I660" s="260">
        <v>138</v>
      </c>
      <c r="J660" s="260"/>
      <c r="K660" s="262">
        <v>12.5</v>
      </c>
    </row>
    <row r="661" spans="1:11" ht="13">
      <c r="A661" s="270" t="s">
        <v>5119</v>
      </c>
      <c r="B661" s="260" t="s">
        <v>2931</v>
      </c>
      <c r="C661" s="260" t="s">
        <v>5135</v>
      </c>
      <c r="D661" s="261" t="s">
        <v>5140</v>
      </c>
      <c r="E661" s="262">
        <v>2020</v>
      </c>
      <c r="F661" s="263">
        <v>12</v>
      </c>
      <c r="G661" s="260" t="s">
        <v>32</v>
      </c>
      <c r="H661" s="260" t="s">
        <v>4706</v>
      </c>
      <c r="I661" s="260">
        <v>174</v>
      </c>
      <c r="J661" s="260"/>
      <c r="K661" s="262">
        <v>13</v>
      </c>
    </row>
    <row r="662" spans="1:11" ht="13">
      <c r="A662" s="270" t="s">
        <v>5119</v>
      </c>
      <c r="B662" s="260" t="s">
        <v>2934</v>
      </c>
      <c r="C662" s="261" t="s">
        <v>5135</v>
      </c>
      <c r="D662" s="261" t="s">
        <v>5141</v>
      </c>
      <c r="E662" s="262" t="s">
        <v>5</v>
      </c>
      <c r="F662" s="263">
        <v>12</v>
      </c>
      <c r="G662" s="260" t="s">
        <v>32</v>
      </c>
      <c r="H662" s="260" t="s">
        <v>5142</v>
      </c>
      <c r="I662" s="260">
        <v>126</v>
      </c>
      <c r="J662" s="260"/>
      <c r="K662" s="262">
        <v>12</v>
      </c>
    </row>
    <row r="663" spans="1:11" ht="13">
      <c r="A663" s="270" t="s">
        <v>5119</v>
      </c>
      <c r="B663" s="260" t="s">
        <v>5143</v>
      </c>
      <c r="C663" s="262" t="s">
        <v>5135</v>
      </c>
      <c r="D663" s="261" t="s">
        <v>5144</v>
      </c>
      <c r="E663" s="262" t="s">
        <v>5</v>
      </c>
      <c r="F663" s="263">
        <v>12</v>
      </c>
      <c r="G663" s="260" t="s">
        <v>32</v>
      </c>
      <c r="H663" s="260" t="s">
        <v>5001</v>
      </c>
      <c r="I663" s="260">
        <v>126</v>
      </c>
      <c r="J663" s="260"/>
      <c r="K663" s="262">
        <v>11.5</v>
      </c>
    </row>
    <row r="664" spans="1:11" ht="13">
      <c r="A664" s="270" t="s">
        <v>5119</v>
      </c>
      <c r="B664" s="260" t="s">
        <v>5145</v>
      </c>
      <c r="C664" s="261" t="s">
        <v>5135</v>
      </c>
      <c r="D664" s="260" t="s">
        <v>5146</v>
      </c>
      <c r="E664" s="262">
        <v>2024</v>
      </c>
      <c r="F664" s="263">
        <v>12</v>
      </c>
      <c r="G664" s="260" t="s">
        <v>32</v>
      </c>
      <c r="H664" s="260" t="s">
        <v>5147</v>
      </c>
      <c r="I664" s="260">
        <v>138</v>
      </c>
      <c r="J664" s="260"/>
      <c r="K664" s="262">
        <v>13</v>
      </c>
    </row>
    <row r="665" spans="1:11" ht="13">
      <c r="A665" s="270" t="s">
        <v>5119</v>
      </c>
      <c r="B665" s="260" t="s">
        <v>5148</v>
      </c>
      <c r="C665" s="260" t="s">
        <v>5135</v>
      </c>
      <c r="D665" s="261" t="s">
        <v>5149</v>
      </c>
      <c r="E665" s="262">
        <v>2021</v>
      </c>
      <c r="F665" s="263">
        <v>12</v>
      </c>
      <c r="G665" s="260" t="s">
        <v>32</v>
      </c>
      <c r="H665" s="260" t="s">
        <v>5150</v>
      </c>
      <c r="I665" s="260">
        <v>174</v>
      </c>
      <c r="J665" s="260"/>
      <c r="K665" s="262">
        <v>12</v>
      </c>
    </row>
    <row r="666" spans="1:11" ht="13">
      <c r="A666" s="270" t="s">
        <v>5119</v>
      </c>
      <c r="B666" s="260" t="s">
        <v>2922</v>
      </c>
      <c r="C666" s="260" t="s">
        <v>5135</v>
      </c>
      <c r="D666" s="260" t="s">
        <v>5151</v>
      </c>
      <c r="E666" s="262">
        <v>2021</v>
      </c>
      <c r="F666" s="263">
        <v>12</v>
      </c>
      <c r="G666" s="260" t="s">
        <v>32</v>
      </c>
      <c r="H666" s="260" t="s">
        <v>5152</v>
      </c>
      <c r="I666" s="260">
        <v>138</v>
      </c>
      <c r="J666" s="260"/>
      <c r="K666" s="262">
        <v>12.5</v>
      </c>
    </row>
    <row r="667" spans="1:11" ht="13">
      <c r="A667" s="270" t="s">
        <v>5119</v>
      </c>
      <c r="B667" s="260" t="s">
        <v>5153</v>
      </c>
      <c r="C667" s="261" t="s">
        <v>5135</v>
      </c>
      <c r="D667" s="261" t="s">
        <v>5154</v>
      </c>
      <c r="E667" s="262">
        <v>2022</v>
      </c>
      <c r="F667" s="263">
        <v>12</v>
      </c>
      <c r="G667" s="260" t="s">
        <v>32</v>
      </c>
      <c r="H667" s="260" t="s">
        <v>5155</v>
      </c>
      <c r="I667" s="260">
        <v>156</v>
      </c>
      <c r="J667" s="260"/>
      <c r="K667" s="262">
        <v>12</v>
      </c>
    </row>
    <row r="668" spans="1:11" ht="13">
      <c r="A668" s="270" t="s">
        <v>5119</v>
      </c>
      <c r="B668" s="260" t="s">
        <v>2893</v>
      </c>
      <c r="C668" s="260" t="s">
        <v>5135</v>
      </c>
      <c r="D668" s="261" t="s">
        <v>5156</v>
      </c>
      <c r="E668" s="262">
        <v>2022</v>
      </c>
      <c r="F668" s="263">
        <v>12</v>
      </c>
      <c r="G668" s="260" t="s">
        <v>32</v>
      </c>
      <c r="H668" s="260" t="s">
        <v>5157</v>
      </c>
      <c r="I668" s="260">
        <v>156</v>
      </c>
      <c r="J668" s="260"/>
      <c r="K668" s="262">
        <v>11.5</v>
      </c>
    </row>
    <row r="669" spans="1:11" ht="13">
      <c r="A669" s="264"/>
      <c r="B669" s="264"/>
      <c r="C669" s="264"/>
      <c r="D669" s="265"/>
      <c r="E669" s="266"/>
      <c r="F669" s="267"/>
      <c r="G669" s="264"/>
      <c r="H669" s="264"/>
      <c r="I669" s="264"/>
      <c r="J669" s="264"/>
      <c r="K669" s="266"/>
    </row>
    <row r="670" spans="1:11" ht="13">
      <c r="A670" s="271" t="s">
        <v>5158</v>
      </c>
      <c r="B670" s="260" t="s">
        <v>3176</v>
      </c>
      <c r="C670" s="260" t="s">
        <v>5159</v>
      </c>
      <c r="D670" s="261" t="s">
        <v>3177</v>
      </c>
      <c r="E670" s="262">
        <v>2023</v>
      </c>
      <c r="F670" s="263">
        <v>12</v>
      </c>
      <c r="G670" s="260" t="s">
        <v>32</v>
      </c>
      <c r="H670" s="260" t="s">
        <v>5160</v>
      </c>
      <c r="I670" s="260">
        <v>168</v>
      </c>
      <c r="J670" s="260"/>
      <c r="K670" s="262">
        <v>0</v>
      </c>
    </row>
    <row r="671" spans="1:11" ht="13">
      <c r="A671" s="271" t="s">
        <v>5158</v>
      </c>
      <c r="B671" s="260" t="s">
        <v>3178</v>
      </c>
      <c r="C671" s="260" t="s">
        <v>5159</v>
      </c>
      <c r="D671" s="261" t="s">
        <v>3179</v>
      </c>
      <c r="E671" s="262">
        <v>2022</v>
      </c>
      <c r="F671" s="263">
        <v>12</v>
      </c>
      <c r="G671" s="260" t="s">
        <v>32</v>
      </c>
      <c r="H671" s="260" t="s">
        <v>4826</v>
      </c>
      <c r="I671" s="260">
        <v>168</v>
      </c>
      <c r="J671" s="260"/>
      <c r="K671" s="262">
        <v>0</v>
      </c>
    </row>
    <row r="672" spans="1:11" ht="13">
      <c r="A672" s="271" t="s">
        <v>5158</v>
      </c>
      <c r="B672" s="260" t="s">
        <v>3114</v>
      </c>
      <c r="C672" s="261" t="s">
        <v>5161</v>
      </c>
      <c r="D672" s="261" t="s">
        <v>5162</v>
      </c>
      <c r="E672" s="262" t="s">
        <v>5</v>
      </c>
      <c r="F672" s="263">
        <v>12</v>
      </c>
      <c r="G672" s="260" t="s">
        <v>32</v>
      </c>
      <c r="H672" s="260" t="s">
        <v>5163</v>
      </c>
      <c r="I672" s="260">
        <v>198</v>
      </c>
      <c r="J672" s="260"/>
      <c r="K672" s="262">
        <v>12</v>
      </c>
    </row>
    <row r="673" spans="1:11" ht="13">
      <c r="A673" s="271" t="s">
        <v>5158</v>
      </c>
      <c r="B673" s="260" t="s">
        <v>3117</v>
      </c>
      <c r="C673" s="260" t="s">
        <v>5161</v>
      </c>
      <c r="D673" s="261" t="s">
        <v>5164</v>
      </c>
      <c r="E673" s="262" t="s">
        <v>5</v>
      </c>
      <c r="F673" s="263">
        <v>12</v>
      </c>
      <c r="G673" s="260" t="s">
        <v>32</v>
      </c>
      <c r="H673" s="260" t="s">
        <v>5165</v>
      </c>
      <c r="I673" s="260">
        <v>198</v>
      </c>
      <c r="J673" s="260"/>
      <c r="K673" s="262">
        <v>12</v>
      </c>
    </row>
    <row r="674" spans="1:11" ht="13">
      <c r="A674" s="271" t="s">
        <v>5158</v>
      </c>
      <c r="B674" s="260" t="s">
        <v>5166</v>
      </c>
      <c r="C674" s="260" t="s">
        <v>5161</v>
      </c>
      <c r="D674" s="261" t="s">
        <v>5167</v>
      </c>
      <c r="E674" s="262">
        <v>2024</v>
      </c>
      <c r="F674" s="263">
        <v>12</v>
      </c>
      <c r="G674" s="260" t="s">
        <v>32</v>
      </c>
      <c r="H674" s="260" t="s">
        <v>5168</v>
      </c>
      <c r="I674" s="260">
        <v>198</v>
      </c>
      <c r="J674" s="260"/>
      <c r="K674" s="262">
        <v>11.5</v>
      </c>
    </row>
    <row r="675" spans="1:11" ht="13">
      <c r="A675" s="271" t="s">
        <v>5158</v>
      </c>
      <c r="B675" s="260" t="s">
        <v>3137</v>
      </c>
      <c r="C675" s="260" t="s">
        <v>5161</v>
      </c>
      <c r="D675" s="261" t="s">
        <v>5169</v>
      </c>
      <c r="E675" s="262">
        <v>2018</v>
      </c>
      <c r="F675" s="263">
        <v>12</v>
      </c>
      <c r="G675" s="260" t="s">
        <v>32</v>
      </c>
      <c r="H675" s="260" t="s">
        <v>4189</v>
      </c>
      <c r="I675" s="260">
        <v>204</v>
      </c>
      <c r="J675" s="260"/>
      <c r="K675" s="262">
        <v>11</v>
      </c>
    </row>
    <row r="676" spans="1:11" ht="13">
      <c r="A676" s="271" t="s">
        <v>5158</v>
      </c>
      <c r="B676" s="260" t="s">
        <v>3130</v>
      </c>
      <c r="C676" s="260" t="s">
        <v>5161</v>
      </c>
      <c r="D676" s="261" t="s">
        <v>3131</v>
      </c>
      <c r="E676" s="262">
        <v>2021</v>
      </c>
      <c r="F676" s="263">
        <v>12</v>
      </c>
      <c r="G676" s="260" t="s">
        <v>32</v>
      </c>
      <c r="H676" s="260" t="s">
        <v>4581</v>
      </c>
      <c r="I676" s="260">
        <v>228</v>
      </c>
      <c r="J676" s="260"/>
      <c r="K676" s="262">
        <v>13</v>
      </c>
    </row>
    <row r="677" spans="1:11" ht="13">
      <c r="A677" s="271" t="s">
        <v>5158</v>
      </c>
      <c r="B677" s="260" t="s">
        <v>3127</v>
      </c>
      <c r="C677" s="260" t="s">
        <v>5161</v>
      </c>
      <c r="D677" s="261" t="s">
        <v>3128</v>
      </c>
      <c r="E677" s="262">
        <v>2022</v>
      </c>
      <c r="F677" s="263">
        <v>12</v>
      </c>
      <c r="G677" s="260" t="s">
        <v>32</v>
      </c>
      <c r="H677" s="260" t="s">
        <v>4545</v>
      </c>
      <c r="I677" s="260">
        <v>252</v>
      </c>
      <c r="J677" s="260"/>
      <c r="K677" s="262">
        <v>13.5</v>
      </c>
    </row>
    <row r="678" spans="1:11" ht="13">
      <c r="A678" s="271" t="s">
        <v>5158</v>
      </c>
      <c r="B678" s="260" t="s">
        <v>3125</v>
      </c>
      <c r="C678" s="260" t="s">
        <v>5161</v>
      </c>
      <c r="D678" s="261" t="s">
        <v>3126</v>
      </c>
      <c r="E678" s="262">
        <v>2023</v>
      </c>
      <c r="F678" s="263">
        <v>12</v>
      </c>
      <c r="G678" s="260" t="s">
        <v>32</v>
      </c>
      <c r="H678" s="260" t="s">
        <v>5170</v>
      </c>
      <c r="I678" s="260">
        <v>216</v>
      </c>
      <c r="J678" s="260"/>
      <c r="K678" s="262">
        <v>13</v>
      </c>
    </row>
    <row r="679" spans="1:11" ht="13">
      <c r="A679" s="271" t="s">
        <v>5158</v>
      </c>
      <c r="B679" s="260" t="s">
        <v>3119</v>
      </c>
      <c r="C679" s="260" t="s">
        <v>5161</v>
      </c>
      <c r="D679" s="261" t="s">
        <v>5171</v>
      </c>
      <c r="E679" s="262">
        <v>2022</v>
      </c>
      <c r="F679" s="263">
        <v>12</v>
      </c>
      <c r="G679" s="260" t="s">
        <v>32</v>
      </c>
      <c r="H679" s="260" t="s">
        <v>5172</v>
      </c>
      <c r="I679" s="260">
        <v>156</v>
      </c>
      <c r="J679" s="260"/>
      <c r="K679" s="262">
        <v>10.5</v>
      </c>
    </row>
    <row r="680" spans="1:11" ht="13">
      <c r="A680" s="271" t="s">
        <v>5158</v>
      </c>
      <c r="B680" s="260" t="s">
        <v>3205</v>
      </c>
      <c r="C680" s="260" t="s">
        <v>5173</v>
      </c>
      <c r="D680" s="261" t="s">
        <v>5174</v>
      </c>
      <c r="E680" s="262">
        <v>2019</v>
      </c>
      <c r="F680" s="263">
        <v>12</v>
      </c>
      <c r="G680" s="260" t="s">
        <v>32</v>
      </c>
      <c r="H680" s="260" t="s">
        <v>4228</v>
      </c>
      <c r="I680" s="260">
        <v>276</v>
      </c>
      <c r="J680" s="260"/>
      <c r="K680" s="262">
        <v>12.5</v>
      </c>
    </row>
    <row r="681" spans="1:11" ht="13">
      <c r="A681" s="271" t="s">
        <v>5158</v>
      </c>
      <c r="B681" s="260" t="s">
        <v>3207</v>
      </c>
      <c r="C681" s="261" t="s">
        <v>5173</v>
      </c>
      <c r="D681" s="261" t="s">
        <v>5175</v>
      </c>
      <c r="E681" s="262">
        <v>2019</v>
      </c>
      <c r="F681" s="263">
        <v>12</v>
      </c>
      <c r="G681" s="260" t="s">
        <v>32</v>
      </c>
      <c r="H681" s="260" t="s">
        <v>4240</v>
      </c>
      <c r="I681" s="260">
        <v>276</v>
      </c>
      <c r="J681" s="260"/>
      <c r="K681" s="262">
        <v>12.5</v>
      </c>
    </row>
    <row r="682" spans="1:11" ht="13">
      <c r="A682" s="271" t="s">
        <v>5158</v>
      </c>
      <c r="B682" s="260" t="s">
        <v>3145</v>
      </c>
      <c r="C682" s="260" t="s">
        <v>5176</v>
      </c>
      <c r="D682" s="261" t="s">
        <v>5177</v>
      </c>
      <c r="E682" s="262">
        <v>2021</v>
      </c>
      <c r="F682" s="263">
        <v>12</v>
      </c>
      <c r="G682" s="260" t="s">
        <v>32</v>
      </c>
      <c r="H682" s="260" t="s">
        <v>4168</v>
      </c>
      <c r="I682" s="260">
        <v>156</v>
      </c>
      <c r="J682" s="260"/>
      <c r="K682" s="262">
        <v>13.5</v>
      </c>
    </row>
    <row r="683" spans="1:11" ht="13">
      <c r="A683" s="271" t="s">
        <v>5158</v>
      </c>
      <c r="B683" s="260" t="s">
        <v>3159</v>
      </c>
      <c r="C683" s="260" t="s">
        <v>5176</v>
      </c>
      <c r="D683" s="261" t="s">
        <v>5178</v>
      </c>
      <c r="E683" s="262">
        <v>2021</v>
      </c>
      <c r="F683" s="263">
        <v>12</v>
      </c>
      <c r="G683" s="260" t="s">
        <v>32</v>
      </c>
      <c r="H683" s="260" t="s">
        <v>4322</v>
      </c>
      <c r="I683" s="260">
        <v>162</v>
      </c>
      <c r="J683" s="260"/>
      <c r="K683" s="262">
        <v>13.5</v>
      </c>
    </row>
    <row r="684" spans="1:11" ht="13">
      <c r="A684" s="271" t="s">
        <v>5158</v>
      </c>
      <c r="B684" s="260" t="s">
        <v>3172</v>
      </c>
      <c r="C684" s="260" t="s">
        <v>5179</v>
      </c>
      <c r="D684" s="261" t="s">
        <v>5180</v>
      </c>
      <c r="E684" s="262">
        <v>2020</v>
      </c>
      <c r="F684" s="263">
        <v>12</v>
      </c>
      <c r="G684" s="260" t="s">
        <v>32</v>
      </c>
      <c r="H684" s="260" t="s">
        <v>5181</v>
      </c>
      <c r="I684" s="260">
        <v>156</v>
      </c>
      <c r="J684" s="260"/>
      <c r="K684" s="262">
        <v>13.5</v>
      </c>
    </row>
    <row r="685" spans="1:11" ht="13">
      <c r="A685" s="271" t="s">
        <v>5158</v>
      </c>
      <c r="B685" s="260" t="s">
        <v>3169</v>
      </c>
      <c r="C685" s="260" t="s">
        <v>5179</v>
      </c>
      <c r="D685" s="261" t="s">
        <v>5182</v>
      </c>
      <c r="E685" s="262">
        <v>2020</v>
      </c>
      <c r="F685" s="263">
        <v>12</v>
      </c>
      <c r="G685" s="260" t="s">
        <v>32</v>
      </c>
      <c r="H685" s="260" t="s">
        <v>4238</v>
      </c>
      <c r="I685" s="260">
        <v>162</v>
      </c>
      <c r="J685" s="260"/>
      <c r="K685" s="262">
        <v>14</v>
      </c>
    </row>
    <row r="686" spans="1:11" ht="13">
      <c r="A686" s="271" t="s">
        <v>5158</v>
      </c>
      <c r="B686" s="260" t="s">
        <v>3166</v>
      </c>
      <c r="C686" s="260" t="s">
        <v>5179</v>
      </c>
      <c r="D686" s="261" t="s">
        <v>3167</v>
      </c>
      <c r="E686" s="262">
        <v>2022</v>
      </c>
      <c r="F686" s="263">
        <v>12</v>
      </c>
      <c r="G686" s="260" t="s">
        <v>32</v>
      </c>
      <c r="H686" s="260" t="s">
        <v>5183</v>
      </c>
      <c r="I686" s="260">
        <v>138</v>
      </c>
      <c r="J686" s="260"/>
      <c r="K686" s="262">
        <v>14</v>
      </c>
    </row>
    <row r="687" spans="1:11" ht="13">
      <c r="A687" s="264"/>
      <c r="B687" s="264"/>
      <c r="C687" s="264"/>
      <c r="D687" s="265"/>
      <c r="E687" s="266"/>
      <c r="F687" s="267"/>
      <c r="G687" s="264"/>
      <c r="H687" s="264"/>
      <c r="I687" s="264"/>
      <c r="J687" s="264"/>
      <c r="K687" s="266"/>
    </row>
    <row r="688" spans="1:11" ht="13">
      <c r="A688" s="276" t="s">
        <v>5184</v>
      </c>
      <c r="B688" s="260" t="s">
        <v>5185</v>
      </c>
      <c r="C688" s="262" t="s">
        <v>5186</v>
      </c>
      <c r="D688" s="261" t="s">
        <v>5187</v>
      </c>
      <c r="E688" s="262">
        <v>2021</v>
      </c>
      <c r="F688" s="263">
        <v>12</v>
      </c>
      <c r="G688" s="260" t="s">
        <v>32</v>
      </c>
      <c r="H688" s="260" t="s">
        <v>5188</v>
      </c>
      <c r="I688" s="260">
        <v>100.8</v>
      </c>
      <c r="J688" s="260"/>
      <c r="K688" s="262">
        <v>6</v>
      </c>
    </row>
    <row r="689" spans="1:11" ht="13">
      <c r="A689" s="276" t="s">
        <v>5184</v>
      </c>
      <c r="B689" s="260" t="s">
        <v>5189</v>
      </c>
      <c r="C689" s="260" t="s">
        <v>5186</v>
      </c>
      <c r="D689" s="261" t="s">
        <v>5190</v>
      </c>
      <c r="E689" s="262">
        <v>2021</v>
      </c>
      <c r="F689" s="263">
        <v>12</v>
      </c>
      <c r="G689" s="260" t="s">
        <v>32</v>
      </c>
      <c r="H689" s="260" t="s">
        <v>5191</v>
      </c>
      <c r="I689" s="260">
        <v>100.8</v>
      </c>
      <c r="J689" s="260"/>
      <c r="K689" s="262">
        <v>6</v>
      </c>
    </row>
    <row r="690" spans="1:11" ht="13">
      <c r="A690" s="276" t="s">
        <v>5184</v>
      </c>
      <c r="B690" s="260" t="s">
        <v>5192</v>
      </c>
      <c r="C690" s="260" t="s">
        <v>5186</v>
      </c>
      <c r="D690" s="261" t="s">
        <v>5193</v>
      </c>
      <c r="E690" s="262">
        <v>2021</v>
      </c>
      <c r="F690" s="263">
        <v>12</v>
      </c>
      <c r="G690" s="260" t="s">
        <v>32</v>
      </c>
      <c r="H690" s="260" t="s">
        <v>5194</v>
      </c>
      <c r="I690" s="260">
        <v>100.8</v>
      </c>
      <c r="J690" s="260"/>
      <c r="K690" s="262">
        <v>6.5</v>
      </c>
    </row>
    <row r="691" spans="1:11" ht="13">
      <c r="A691" s="277"/>
      <c r="B691" s="277"/>
      <c r="C691" s="277"/>
      <c r="D691" s="278"/>
      <c r="E691" s="279"/>
      <c r="F691" s="280"/>
      <c r="G691" s="277"/>
      <c r="H691" s="277"/>
      <c r="I691" s="277"/>
      <c r="J691" s="277"/>
      <c r="K691" s="279"/>
    </row>
    <row r="692" spans="1:11" ht="30">
      <c r="A692" s="738" t="s">
        <v>5195</v>
      </c>
      <c r="B692" s="725"/>
      <c r="C692" s="725"/>
      <c r="D692" s="725"/>
      <c r="E692" s="725"/>
      <c r="F692" s="725"/>
      <c r="G692" s="725"/>
      <c r="H692" s="725"/>
      <c r="I692" s="725"/>
      <c r="J692" s="725"/>
      <c r="K692" s="725"/>
    </row>
    <row r="693" spans="1:11" ht="13">
      <c r="A693" s="281" t="s">
        <v>3952</v>
      </c>
      <c r="B693" s="281" t="s">
        <v>3953</v>
      </c>
      <c r="C693" s="281" t="s">
        <v>3954</v>
      </c>
      <c r="D693" s="282" t="s">
        <v>3955</v>
      </c>
      <c r="E693" s="282" t="s">
        <v>3956</v>
      </c>
      <c r="F693" s="283" t="s">
        <v>3957</v>
      </c>
      <c r="G693" s="281" t="s">
        <v>3958</v>
      </c>
      <c r="H693" s="281" t="s">
        <v>3959</v>
      </c>
      <c r="I693" s="281" t="s">
        <v>3960</v>
      </c>
      <c r="J693" s="281" t="s">
        <v>3961</v>
      </c>
      <c r="K693" s="282" t="s">
        <v>3962</v>
      </c>
    </row>
    <row r="694" spans="1:11" ht="13">
      <c r="A694" s="259" t="s">
        <v>5196</v>
      </c>
      <c r="B694" s="260" t="s">
        <v>5197</v>
      </c>
      <c r="C694" s="260" t="s">
        <v>5198</v>
      </c>
      <c r="D694" s="262" t="s">
        <v>5199</v>
      </c>
      <c r="E694" s="262">
        <v>2023</v>
      </c>
      <c r="F694" s="263">
        <v>12</v>
      </c>
      <c r="G694" s="262" t="s">
        <v>32</v>
      </c>
      <c r="H694" s="260" t="s">
        <v>5200</v>
      </c>
      <c r="I694" s="260">
        <v>174</v>
      </c>
      <c r="J694" s="260"/>
      <c r="K694" s="262">
        <v>12.5</v>
      </c>
    </row>
    <row r="695" spans="1:11" ht="13">
      <c r="A695" s="259" t="s">
        <v>5196</v>
      </c>
      <c r="B695" s="260" t="s">
        <v>5201</v>
      </c>
      <c r="C695" s="260" t="s">
        <v>5198</v>
      </c>
      <c r="D695" s="262" t="s">
        <v>5202</v>
      </c>
      <c r="E695" s="262">
        <v>2023</v>
      </c>
      <c r="F695" s="263">
        <v>12</v>
      </c>
      <c r="G695" s="262" t="s">
        <v>32</v>
      </c>
      <c r="H695" s="260" t="s">
        <v>5203</v>
      </c>
      <c r="I695" s="260">
        <v>174</v>
      </c>
      <c r="J695" s="260"/>
      <c r="K695" s="262">
        <v>12.2</v>
      </c>
    </row>
    <row r="696" spans="1:11" ht="13">
      <c r="A696" s="259" t="s">
        <v>5196</v>
      </c>
      <c r="B696" s="260" t="s">
        <v>5204</v>
      </c>
      <c r="C696" s="260" t="s">
        <v>5198</v>
      </c>
      <c r="D696" s="262" t="s">
        <v>5205</v>
      </c>
      <c r="E696" s="262">
        <v>2022</v>
      </c>
      <c r="F696" s="263">
        <v>12</v>
      </c>
      <c r="G696" s="262" t="s">
        <v>32</v>
      </c>
      <c r="H696" s="260" t="s">
        <v>4715</v>
      </c>
      <c r="I696" s="260">
        <v>222</v>
      </c>
      <c r="J696" s="260"/>
      <c r="K696" s="262">
        <v>12</v>
      </c>
    </row>
    <row r="697" spans="1:11" ht="13">
      <c r="A697" s="259" t="s">
        <v>5196</v>
      </c>
      <c r="B697" s="260" t="s">
        <v>5206</v>
      </c>
      <c r="C697" s="260" t="s">
        <v>5198</v>
      </c>
      <c r="D697" s="262" t="s">
        <v>5207</v>
      </c>
      <c r="E697" s="262">
        <v>2022</v>
      </c>
      <c r="F697" s="263">
        <v>12</v>
      </c>
      <c r="G697" s="262" t="s">
        <v>32</v>
      </c>
      <c r="H697" s="260" t="s">
        <v>5208</v>
      </c>
      <c r="I697" s="260">
        <v>174</v>
      </c>
      <c r="J697" s="260"/>
      <c r="K697" s="262">
        <v>12.2</v>
      </c>
    </row>
    <row r="698" spans="1:11" ht="13">
      <c r="A698" s="259" t="s">
        <v>5196</v>
      </c>
      <c r="B698" s="260" t="s">
        <v>5209</v>
      </c>
      <c r="C698" s="260" t="s">
        <v>5198</v>
      </c>
      <c r="D698" s="262" t="s">
        <v>5210</v>
      </c>
      <c r="E698" s="262">
        <v>2022</v>
      </c>
      <c r="F698" s="263">
        <v>12</v>
      </c>
      <c r="G698" s="262" t="s">
        <v>32</v>
      </c>
      <c r="H698" s="260" t="s">
        <v>5211</v>
      </c>
      <c r="I698" s="260">
        <v>228</v>
      </c>
      <c r="J698" s="260"/>
      <c r="K698" s="262">
        <v>12.2</v>
      </c>
    </row>
    <row r="699" spans="1:11" ht="13">
      <c r="A699" s="259" t="s">
        <v>5196</v>
      </c>
      <c r="B699" s="260" t="s">
        <v>5212</v>
      </c>
      <c r="C699" s="260" t="s">
        <v>5213</v>
      </c>
      <c r="D699" s="262" t="s">
        <v>5214</v>
      </c>
      <c r="E699" s="262">
        <v>2022</v>
      </c>
      <c r="F699" s="263">
        <v>12</v>
      </c>
      <c r="G699" s="262" t="s">
        <v>32</v>
      </c>
      <c r="H699" s="260" t="s">
        <v>4547</v>
      </c>
      <c r="I699" s="260">
        <v>180</v>
      </c>
      <c r="J699" s="260"/>
      <c r="K699" s="262">
        <v>9.5</v>
      </c>
    </row>
    <row r="700" spans="1:11" ht="13">
      <c r="A700" s="259" t="s">
        <v>5196</v>
      </c>
      <c r="B700" s="260" t="s">
        <v>5215</v>
      </c>
      <c r="C700" s="260" t="s">
        <v>5213</v>
      </c>
      <c r="D700" s="262" t="s">
        <v>5216</v>
      </c>
      <c r="E700" s="262">
        <v>2022</v>
      </c>
      <c r="F700" s="263">
        <v>12</v>
      </c>
      <c r="G700" s="262" t="s">
        <v>32</v>
      </c>
      <c r="H700" s="260" t="s">
        <v>5118</v>
      </c>
      <c r="I700" s="260">
        <v>180</v>
      </c>
      <c r="J700" s="260"/>
      <c r="K700" s="262">
        <v>9.5</v>
      </c>
    </row>
    <row r="701" spans="1:11" ht="13">
      <c r="A701" s="259" t="s">
        <v>5196</v>
      </c>
      <c r="B701" s="260" t="s">
        <v>5217</v>
      </c>
      <c r="C701" s="260" t="s">
        <v>5213</v>
      </c>
      <c r="D701" s="262" t="s">
        <v>5218</v>
      </c>
      <c r="E701" s="262">
        <v>2022</v>
      </c>
      <c r="F701" s="263">
        <v>12</v>
      </c>
      <c r="G701" s="262" t="s">
        <v>32</v>
      </c>
      <c r="H701" s="260" t="s">
        <v>4151</v>
      </c>
      <c r="I701" s="260">
        <v>210</v>
      </c>
      <c r="J701" s="260"/>
      <c r="K701" s="262">
        <v>9.5</v>
      </c>
    </row>
    <row r="702" spans="1:11" ht="13">
      <c r="A702" s="259" t="s">
        <v>5196</v>
      </c>
      <c r="B702" s="260" t="s">
        <v>5219</v>
      </c>
      <c r="C702" s="260" t="s">
        <v>5213</v>
      </c>
      <c r="D702" s="262" t="s">
        <v>5220</v>
      </c>
      <c r="E702" s="262">
        <v>2022</v>
      </c>
      <c r="F702" s="263">
        <v>12</v>
      </c>
      <c r="G702" s="262" t="s">
        <v>32</v>
      </c>
      <c r="H702" s="260" t="s">
        <v>4163</v>
      </c>
      <c r="I702" s="260">
        <v>222</v>
      </c>
      <c r="J702" s="260"/>
      <c r="K702" s="262">
        <v>9.5</v>
      </c>
    </row>
    <row r="703" spans="1:11" ht="13">
      <c r="A703" s="259" t="s">
        <v>5196</v>
      </c>
      <c r="B703" s="260" t="s">
        <v>5221</v>
      </c>
      <c r="C703" s="260" t="s">
        <v>5213</v>
      </c>
      <c r="D703" s="262" t="s">
        <v>5222</v>
      </c>
      <c r="E703" s="262">
        <v>2021</v>
      </c>
      <c r="F703" s="263">
        <v>12</v>
      </c>
      <c r="G703" s="262" t="s">
        <v>32</v>
      </c>
      <c r="H703" s="260" t="s">
        <v>5020</v>
      </c>
      <c r="I703" s="260">
        <v>198</v>
      </c>
      <c r="J703" s="260"/>
      <c r="K703" s="262">
        <v>9.5</v>
      </c>
    </row>
    <row r="704" spans="1:11" ht="13">
      <c r="A704" s="259" t="s">
        <v>5196</v>
      </c>
      <c r="B704" s="260" t="s">
        <v>5223</v>
      </c>
      <c r="C704" s="260" t="s">
        <v>5224</v>
      </c>
      <c r="D704" s="262" t="s">
        <v>5225</v>
      </c>
      <c r="E704" s="262">
        <v>2021</v>
      </c>
      <c r="F704" s="263">
        <v>12</v>
      </c>
      <c r="G704" s="262" t="s">
        <v>32</v>
      </c>
      <c r="H704" s="260" t="s">
        <v>4376</v>
      </c>
      <c r="I704" s="260">
        <v>180</v>
      </c>
      <c r="J704" s="260"/>
      <c r="K704" s="262">
        <v>14.5</v>
      </c>
    </row>
    <row r="705" spans="1:11" ht="13">
      <c r="A705" s="259" t="s">
        <v>5196</v>
      </c>
      <c r="B705" s="260" t="s">
        <v>5226</v>
      </c>
      <c r="C705" s="260" t="s">
        <v>5224</v>
      </c>
      <c r="D705" s="262" t="s">
        <v>5227</v>
      </c>
      <c r="E705" s="262">
        <v>2021</v>
      </c>
      <c r="F705" s="263">
        <v>12</v>
      </c>
      <c r="G705" s="262" t="s">
        <v>32</v>
      </c>
      <c r="H705" s="260" t="s">
        <v>5228</v>
      </c>
      <c r="I705" s="260">
        <v>180</v>
      </c>
      <c r="J705" s="260"/>
      <c r="K705" s="262">
        <v>13.5</v>
      </c>
    </row>
    <row r="706" spans="1:11" ht="13">
      <c r="A706" s="259" t="s">
        <v>5196</v>
      </c>
      <c r="B706" s="260" t="s">
        <v>5229</v>
      </c>
      <c r="C706" s="260" t="s">
        <v>5224</v>
      </c>
      <c r="D706" s="262" t="s">
        <v>5230</v>
      </c>
      <c r="E706" s="262">
        <v>2019</v>
      </c>
      <c r="F706" s="263">
        <v>12</v>
      </c>
      <c r="G706" s="262" t="s">
        <v>32</v>
      </c>
      <c r="H706" s="260" t="s">
        <v>5022</v>
      </c>
      <c r="I706" s="260">
        <v>210</v>
      </c>
      <c r="J706" s="260"/>
      <c r="K706" s="262">
        <v>14</v>
      </c>
    </row>
    <row r="707" spans="1:11" ht="13">
      <c r="A707" s="259" t="s">
        <v>5196</v>
      </c>
      <c r="B707" s="260" t="s">
        <v>5231</v>
      </c>
      <c r="C707" s="260" t="s">
        <v>5232</v>
      </c>
      <c r="D707" s="262" t="s">
        <v>5233</v>
      </c>
      <c r="E707" s="262">
        <v>2022</v>
      </c>
      <c r="F707" s="263">
        <v>12</v>
      </c>
      <c r="G707" s="262" t="s">
        <v>32</v>
      </c>
      <c r="H707" s="260" t="s">
        <v>4522</v>
      </c>
      <c r="I707" s="260">
        <v>0</v>
      </c>
      <c r="J707" s="260"/>
      <c r="K707" s="262">
        <v>12</v>
      </c>
    </row>
    <row r="708" spans="1:11" ht="13">
      <c r="A708" s="259" t="s">
        <v>5196</v>
      </c>
      <c r="B708" s="260" t="s">
        <v>5234</v>
      </c>
      <c r="C708" s="260" t="s">
        <v>5232</v>
      </c>
      <c r="D708" s="262" t="s">
        <v>5235</v>
      </c>
      <c r="E708" s="262">
        <v>2022</v>
      </c>
      <c r="F708" s="263">
        <v>12</v>
      </c>
      <c r="G708" s="262" t="s">
        <v>32</v>
      </c>
      <c r="H708" s="260" t="s">
        <v>4320</v>
      </c>
      <c r="I708" s="260">
        <v>180</v>
      </c>
      <c r="J708" s="260"/>
      <c r="K708" s="262">
        <v>12.5</v>
      </c>
    </row>
    <row r="709" spans="1:11" ht="13">
      <c r="A709" s="259" t="s">
        <v>5196</v>
      </c>
      <c r="B709" s="260" t="s">
        <v>5236</v>
      </c>
      <c r="C709" s="260" t="s">
        <v>5232</v>
      </c>
      <c r="D709" s="262" t="s">
        <v>5237</v>
      </c>
      <c r="E709" s="262">
        <v>2022</v>
      </c>
      <c r="F709" s="263">
        <v>12</v>
      </c>
      <c r="G709" s="262" t="s">
        <v>32</v>
      </c>
      <c r="H709" s="260" t="s">
        <v>5211</v>
      </c>
      <c r="I709" s="260">
        <v>180</v>
      </c>
      <c r="J709" s="260"/>
      <c r="K709" s="262">
        <v>13</v>
      </c>
    </row>
    <row r="710" spans="1:11" ht="13">
      <c r="A710" s="259" t="s">
        <v>5196</v>
      </c>
      <c r="B710" s="260" t="s">
        <v>5238</v>
      </c>
      <c r="C710" s="260" t="s">
        <v>5232</v>
      </c>
      <c r="D710" s="262" t="s">
        <v>5239</v>
      </c>
      <c r="E710" s="262">
        <v>2022</v>
      </c>
      <c r="F710" s="263">
        <v>12</v>
      </c>
      <c r="G710" s="262" t="s">
        <v>32</v>
      </c>
      <c r="H710" s="260" t="s">
        <v>3966</v>
      </c>
      <c r="I710" s="260">
        <v>156</v>
      </c>
      <c r="J710" s="260"/>
      <c r="K710" s="262">
        <v>13</v>
      </c>
    </row>
    <row r="711" spans="1:11" ht="13">
      <c r="A711" s="259" t="s">
        <v>5196</v>
      </c>
      <c r="B711" s="260" t="s">
        <v>5240</v>
      </c>
      <c r="C711" s="260" t="s">
        <v>5232</v>
      </c>
      <c r="D711" s="262" t="s">
        <v>5241</v>
      </c>
      <c r="E711" s="262">
        <v>2023</v>
      </c>
      <c r="F711" s="263">
        <v>12</v>
      </c>
      <c r="G711" s="262" t="s">
        <v>32</v>
      </c>
      <c r="H711" s="260" t="s">
        <v>4134</v>
      </c>
      <c r="I711" s="260">
        <v>0</v>
      </c>
      <c r="J711" s="260"/>
      <c r="K711" s="262">
        <v>12</v>
      </c>
    </row>
    <row r="712" spans="1:11" ht="13">
      <c r="A712" s="259" t="s">
        <v>5196</v>
      </c>
      <c r="B712" s="260" t="s">
        <v>5242</v>
      </c>
      <c r="C712" s="260" t="s">
        <v>5232</v>
      </c>
      <c r="D712" s="262" t="s">
        <v>5243</v>
      </c>
      <c r="E712" s="262">
        <v>2024</v>
      </c>
      <c r="F712" s="263">
        <v>12</v>
      </c>
      <c r="G712" s="262" t="s">
        <v>32</v>
      </c>
      <c r="H712" s="260" t="s">
        <v>4823</v>
      </c>
      <c r="I712" s="260">
        <v>186</v>
      </c>
      <c r="J712" s="260"/>
      <c r="K712" s="262">
        <v>12.5</v>
      </c>
    </row>
    <row r="713" spans="1:11" ht="13">
      <c r="A713" s="259" t="s">
        <v>5196</v>
      </c>
      <c r="B713" s="260" t="s">
        <v>5244</v>
      </c>
      <c r="C713" s="260" t="s">
        <v>5232</v>
      </c>
      <c r="D713" s="262" t="s">
        <v>5245</v>
      </c>
      <c r="E713" s="262">
        <v>2023</v>
      </c>
      <c r="F713" s="263">
        <v>12</v>
      </c>
      <c r="G713" s="262" t="s">
        <v>32</v>
      </c>
      <c r="H713" s="260" t="s">
        <v>4547</v>
      </c>
      <c r="I713" s="260">
        <v>186</v>
      </c>
      <c r="J713" s="260"/>
      <c r="K713" s="262">
        <v>12.5</v>
      </c>
    </row>
    <row r="714" spans="1:11" ht="13">
      <c r="A714" s="259" t="s">
        <v>5196</v>
      </c>
      <c r="B714" s="260" t="s">
        <v>5246</v>
      </c>
      <c r="C714" s="260" t="s">
        <v>5232</v>
      </c>
      <c r="D714" s="262" t="s">
        <v>5245</v>
      </c>
      <c r="E714" s="262">
        <v>2024</v>
      </c>
      <c r="F714" s="263">
        <v>12</v>
      </c>
      <c r="G714" s="262" t="s">
        <v>32</v>
      </c>
      <c r="H714" s="260" t="s">
        <v>4834</v>
      </c>
      <c r="I714" s="260">
        <v>186</v>
      </c>
      <c r="J714" s="260"/>
      <c r="K714" s="262">
        <v>12.5</v>
      </c>
    </row>
    <row r="715" spans="1:11" ht="13">
      <c r="A715" s="259" t="s">
        <v>5196</v>
      </c>
      <c r="B715" s="260" t="s">
        <v>5247</v>
      </c>
      <c r="C715" s="260" t="s">
        <v>5232</v>
      </c>
      <c r="D715" s="262" t="s">
        <v>5248</v>
      </c>
      <c r="E715" s="262">
        <v>2024</v>
      </c>
      <c r="F715" s="263">
        <v>12</v>
      </c>
      <c r="G715" s="262" t="s">
        <v>32</v>
      </c>
      <c r="H715" s="260" t="s">
        <v>5249</v>
      </c>
      <c r="I715" s="260">
        <v>150</v>
      </c>
      <c r="J715" s="260"/>
      <c r="K715" s="262">
        <v>12.5</v>
      </c>
    </row>
    <row r="716" spans="1:11" ht="13">
      <c r="A716" s="259" t="s">
        <v>5196</v>
      </c>
      <c r="B716" s="260" t="s">
        <v>5250</v>
      </c>
      <c r="C716" s="260" t="s">
        <v>5232</v>
      </c>
      <c r="D716" s="262" t="s">
        <v>5251</v>
      </c>
      <c r="E716" s="262">
        <v>2024</v>
      </c>
      <c r="F716" s="263">
        <v>12</v>
      </c>
      <c r="G716" s="262" t="s">
        <v>32</v>
      </c>
      <c r="H716" s="260" t="s">
        <v>5252</v>
      </c>
      <c r="I716" s="260">
        <v>0</v>
      </c>
      <c r="J716" s="260"/>
      <c r="K716" s="262">
        <v>12.5</v>
      </c>
    </row>
    <row r="717" spans="1:11" ht="13">
      <c r="A717" s="259" t="s">
        <v>5196</v>
      </c>
      <c r="B717" s="260" t="s">
        <v>5253</v>
      </c>
      <c r="C717" s="260" t="s">
        <v>5232</v>
      </c>
      <c r="D717" s="262" t="s">
        <v>5254</v>
      </c>
      <c r="E717" s="262">
        <v>2023</v>
      </c>
      <c r="F717" s="263">
        <v>12</v>
      </c>
      <c r="G717" s="262" t="s">
        <v>32</v>
      </c>
      <c r="H717" s="260" t="s">
        <v>4076</v>
      </c>
      <c r="I717" s="260">
        <v>150</v>
      </c>
      <c r="J717" s="260"/>
      <c r="K717" s="262">
        <v>12.5</v>
      </c>
    </row>
    <row r="718" spans="1:11" ht="13">
      <c r="A718" s="259" t="s">
        <v>5196</v>
      </c>
      <c r="B718" s="260" t="s">
        <v>5255</v>
      </c>
      <c r="C718" s="260" t="s">
        <v>5232</v>
      </c>
      <c r="D718" s="262" t="s">
        <v>5256</v>
      </c>
      <c r="E718" s="262">
        <v>2022</v>
      </c>
      <c r="F718" s="263">
        <v>12</v>
      </c>
      <c r="G718" s="262" t="s">
        <v>32</v>
      </c>
      <c r="H718" s="260" t="s">
        <v>5257</v>
      </c>
      <c r="I718" s="260">
        <v>180</v>
      </c>
      <c r="J718" s="260"/>
      <c r="K718" s="262">
        <v>12</v>
      </c>
    </row>
    <row r="719" spans="1:11" ht="13">
      <c r="A719" s="259" t="s">
        <v>5196</v>
      </c>
      <c r="B719" s="260" t="s">
        <v>5258</v>
      </c>
      <c r="C719" s="260" t="s">
        <v>5259</v>
      </c>
      <c r="D719" s="262" t="s">
        <v>5260</v>
      </c>
      <c r="E719" s="262">
        <v>2021</v>
      </c>
      <c r="F719" s="263">
        <v>12</v>
      </c>
      <c r="G719" s="262" t="s">
        <v>32</v>
      </c>
      <c r="H719" s="260" t="s">
        <v>5040</v>
      </c>
      <c r="I719" s="260">
        <v>192</v>
      </c>
      <c r="J719" s="260"/>
      <c r="K719" s="262">
        <v>11.8</v>
      </c>
    </row>
    <row r="720" spans="1:11" ht="13">
      <c r="A720" s="259" t="s">
        <v>5196</v>
      </c>
      <c r="B720" s="260" t="s">
        <v>5261</v>
      </c>
      <c r="C720" s="260" t="s">
        <v>5259</v>
      </c>
      <c r="D720" s="262" t="s">
        <v>5262</v>
      </c>
      <c r="E720" s="262" t="s">
        <v>5</v>
      </c>
      <c r="F720" s="263">
        <v>12</v>
      </c>
      <c r="G720" s="262" t="s">
        <v>32</v>
      </c>
      <c r="H720" s="260" t="s">
        <v>5263</v>
      </c>
      <c r="I720" s="260">
        <v>150</v>
      </c>
      <c r="J720" s="260"/>
      <c r="K720" s="262">
        <v>11.4</v>
      </c>
    </row>
    <row r="721" spans="1:11" ht="13">
      <c r="A721" s="259" t="s">
        <v>5196</v>
      </c>
      <c r="B721" s="260" t="s">
        <v>5264</v>
      </c>
      <c r="C721" s="260" t="s">
        <v>5259</v>
      </c>
      <c r="D721" s="262" t="s">
        <v>5265</v>
      </c>
      <c r="E721" s="262">
        <v>2024</v>
      </c>
      <c r="F721" s="263">
        <v>12</v>
      </c>
      <c r="G721" s="262" t="s">
        <v>32</v>
      </c>
      <c r="H721" s="260" t="s">
        <v>4598</v>
      </c>
      <c r="I721" s="260">
        <v>150</v>
      </c>
      <c r="J721" s="260"/>
      <c r="K721" s="262">
        <v>11.4</v>
      </c>
    </row>
    <row r="722" spans="1:11" ht="13">
      <c r="A722" s="259" t="s">
        <v>5196</v>
      </c>
      <c r="B722" s="260" t="s">
        <v>5266</v>
      </c>
      <c r="C722" s="260" t="s">
        <v>5259</v>
      </c>
      <c r="D722" s="262" t="s">
        <v>5267</v>
      </c>
      <c r="E722" s="262">
        <v>2024</v>
      </c>
      <c r="F722" s="263">
        <v>12</v>
      </c>
      <c r="G722" s="262" t="s">
        <v>32</v>
      </c>
      <c r="H722" s="260" t="s">
        <v>4992</v>
      </c>
      <c r="I722" s="260">
        <v>174</v>
      </c>
      <c r="J722" s="260"/>
      <c r="K722" s="262">
        <v>11.5</v>
      </c>
    </row>
    <row r="723" spans="1:11" ht="13">
      <c r="A723" s="259" t="s">
        <v>5196</v>
      </c>
      <c r="B723" s="260" t="s">
        <v>5268</v>
      </c>
      <c r="C723" s="260" t="s">
        <v>5259</v>
      </c>
      <c r="D723" s="262" t="s">
        <v>5269</v>
      </c>
      <c r="E723" s="262">
        <v>2024</v>
      </c>
      <c r="F723" s="263">
        <v>12</v>
      </c>
      <c r="G723" s="262" t="s">
        <v>32</v>
      </c>
      <c r="H723" s="260" t="s">
        <v>5270</v>
      </c>
      <c r="I723" s="260">
        <v>150</v>
      </c>
      <c r="J723" s="260"/>
      <c r="K723" s="262">
        <v>13.2</v>
      </c>
    </row>
    <row r="724" spans="1:11" ht="13">
      <c r="A724" s="259" t="s">
        <v>5196</v>
      </c>
      <c r="B724" s="260" t="s">
        <v>5271</v>
      </c>
      <c r="C724" s="260" t="s">
        <v>5259</v>
      </c>
      <c r="D724" s="262" t="s">
        <v>5272</v>
      </c>
      <c r="E724" s="262">
        <v>2023</v>
      </c>
      <c r="F724" s="263">
        <v>12</v>
      </c>
      <c r="G724" s="262" t="s">
        <v>32</v>
      </c>
      <c r="H724" s="260" t="s">
        <v>4188</v>
      </c>
      <c r="I724" s="260">
        <v>180</v>
      </c>
      <c r="J724" s="260"/>
      <c r="K724" s="262">
        <v>13.2</v>
      </c>
    </row>
    <row r="725" spans="1:11" ht="13">
      <c r="A725" s="259" t="s">
        <v>5196</v>
      </c>
      <c r="B725" s="260" t="s">
        <v>5273</v>
      </c>
      <c r="C725" s="260" t="s">
        <v>5259</v>
      </c>
      <c r="D725" s="262" t="s">
        <v>5274</v>
      </c>
      <c r="E725" s="262">
        <v>2024</v>
      </c>
      <c r="F725" s="263">
        <v>12</v>
      </c>
      <c r="G725" s="262" t="s">
        <v>32</v>
      </c>
      <c r="H725" s="260" t="s">
        <v>4951</v>
      </c>
      <c r="I725" s="260">
        <v>168</v>
      </c>
      <c r="J725" s="260"/>
      <c r="K725" s="262">
        <v>10.9</v>
      </c>
    </row>
    <row r="726" spans="1:11" ht="13">
      <c r="A726" s="259" t="s">
        <v>5196</v>
      </c>
      <c r="B726" s="260" t="s">
        <v>5275</v>
      </c>
      <c r="C726" s="260" t="s">
        <v>5276</v>
      </c>
      <c r="D726" s="262" t="s">
        <v>5277</v>
      </c>
      <c r="E726" s="262">
        <v>2022</v>
      </c>
      <c r="F726" s="263">
        <v>12</v>
      </c>
      <c r="G726" s="262" t="s">
        <v>32</v>
      </c>
      <c r="H726" s="260" t="s">
        <v>5181</v>
      </c>
      <c r="I726" s="260">
        <v>168</v>
      </c>
      <c r="J726" s="260"/>
      <c r="K726" s="262">
        <v>8</v>
      </c>
    </row>
    <row r="727" spans="1:11" ht="13">
      <c r="A727" s="259" t="s">
        <v>5196</v>
      </c>
      <c r="B727" s="260" t="s">
        <v>5278</v>
      </c>
      <c r="C727" s="260" t="s">
        <v>5276</v>
      </c>
      <c r="D727" s="262" t="s">
        <v>5279</v>
      </c>
      <c r="E727" s="262">
        <v>2021</v>
      </c>
      <c r="F727" s="263">
        <v>12</v>
      </c>
      <c r="G727" s="262" t="s">
        <v>32</v>
      </c>
      <c r="H727" s="260" t="s">
        <v>4315</v>
      </c>
      <c r="I727" s="260">
        <v>252</v>
      </c>
      <c r="J727" s="260"/>
      <c r="K727" s="262">
        <v>14</v>
      </c>
    </row>
    <row r="728" spans="1:11" ht="13">
      <c r="A728" s="259" t="s">
        <v>5196</v>
      </c>
      <c r="B728" s="260" t="s">
        <v>5280</v>
      </c>
      <c r="C728" s="260" t="s">
        <v>5276</v>
      </c>
      <c r="D728" s="262" t="s">
        <v>5281</v>
      </c>
      <c r="E728" s="262">
        <v>2021</v>
      </c>
      <c r="F728" s="263">
        <v>12</v>
      </c>
      <c r="G728" s="262" t="s">
        <v>32</v>
      </c>
      <c r="H728" s="260" t="s">
        <v>4389</v>
      </c>
      <c r="I728" s="260">
        <v>180</v>
      </c>
      <c r="J728" s="260"/>
      <c r="K728" s="262">
        <v>8</v>
      </c>
    </row>
    <row r="729" spans="1:11" ht="13">
      <c r="A729" s="259" t="s">
        <v>5196</v>
      </c>
      <c r="B729" s="260" t="s">
        <v>5282</v>
      </c>
      <c r="C729" s="260" t="s">
        <v>5283</v>
      </c>
      <c r="D729" s="262" t="s">
        <v>5284</v>
      </c>
      <c r="E729" s="262">
        <v>2022</v>
      </c>
      <c r="F729" s="263">
        <v>12</v>
      </c>
      <c r="G729" s="262" t="s">
        <v>32</v>
      </c>
      <c r="H729" s="260" t="s">
        <v>5285</v>
      </c>
      <c r="I729" s="260">
        <v>168</v>
      </c>
      <c r="J729" s="260"/>
      <c r="K729" s="262">
        <v>11</v>
      </c>
    </row>
    <row r="730" spans="1:11" ht="13">
      <c r="A730" s="259" t="s">
        <v>5196</v>
      </c>
      <c r="B730" s="260" t="s">
        <v>5286</v>
      </c>
      <c r="C730" s="260" t="s">
        <v>5283</v>
      </c>
      <c r="D730" s="262" t="s">
        <v>5287</v>
      </c>
      <c r="E730" s="262">
        <v>2022</v>
      </c>
      <c r="F730" s="263">
        <v>12</v>
      </c>
      <c r="G730" s="262" t="s">
        <v>32</v>
      </c>
      <c r="H730" s="260" t="s">
        <v>4746</v>
      </c>
      <c r="I730" s="260">
        <v>168</v>
      </c>
      <c r="J730" s="260"/>
      <c r="K730" s="262">
        <v>12.7</v>
      </c>
    </row>
    <row r="731" spans="1:11" ht="13">
      <c r="A731" s="259" t="s">
        <v>5196</v>
      </c>
      <c r="B731" s="260" t="s">
        <v>5288</v>
      </c>
      <c r="C731" s="260" t="s">
        <v>5283</v>
      </c>
      <c r="D731" s="262" t="s">
        <v>5289</v>
      </c>
      <c r="E731" s="262">
        <v>2023</v>
      </c>
      <c r="F731" s="263">
        <v>12</v>
      </c>
      <c r="G731" s="262" t="s">
        <v>32</v>
      </c>
      <c r="H731" s="260" t="s">
        <v>5290</v>
      </c>
      <c r="I731" s="260">
        <v>168</v>
      </c>
      <c r="J731" s="260"/>
      <c r="K731" s="262">
        <v>11</v>
      </c>
    </row>
    <row r="732" spans="1:11" ht="13">
      <c r="A732" s="259" t="s">
        <v>5196</v>
      </c>
      <c r="B732" s="260" t="s">
        <v>5291</v>
      </c>
      <c r="C732" s="260" t="s">
        <v>5283</v>
      </c>
      <c r="D732" s="262" t="s">
        <v>5292</v>
      </c>
      <c r="E732" s="262">
        <v>2021</v>
      </c>
      <c r="F732" s="263">
        <v>12</v>
      </c>
      <c r="G732" s="262" t="s">
        <v>32</v>
      </c>
      <c r="H732" s="260" t="s">
        <v>5293</v>
      </c>
      <c r="I732" s="260">
        <v>162</v>
      </c>
      <c r="J732" s="260"/>
      <c r="K732" s="262">
        <v>13.2</v>
      </c>
    </row>
    <row r="733" spans="1:11" ht="13">
      <c r="A733" s="259" t="s">
        <v>5196</v>
      </c>
      <c r="B733" s="260" t="s">
        <v>5294</v>
      </c>
      <c r="C733" s="260" t="s">
        <v>5283</v>
      </c>
      <c r="D733" s="262" t="s">
        <v>5295</v>
      </c>
      <c r="E733" s="262">
        <v>2021</v>
      </c>
      <c r="F733" s="263">
        <v>12</v>
      </c>
      <c r="G733" s="262" t="s">
        <v>32</v>
      </c>
      <c r="H733" s="260" t="s">
        <v>4040</v>
      </c>
      <c r="I733" s="260">
        <v>168</v>
      </c>
      <c r="J733" s="260"/>
      <c r="K733" s="262">
        <v>12.5</v>
      </c>
    </row>
    <row r="734" spans="1:11" ht="13">
      <c r="A734" s="259" t="s">
        <v>5196</v>
      </c>
      <c r="B734" s="260" t="s">
        <v>5296</v>
      </c>
      <c r="C734" s="260" t="s">
        <v>5297</v>
      </c>
      <c r="D734" s="262" t="s">
        <v>5298</v>
      </c>
      <c r="E734" s="262">
        <v>2023</v>
      </c>
      <c r="F734" s="263">
        <v>12</v>
      </c>
      <c r="G734" s="262" t="s">
        <v>32</v>
      </c>
      <c r="H734" s="260" t="s">
        <v>4367</v>
      </c>
      <c r="I734" s="260">
        <v>162</v>
      </c>
      <c r="J734" s="260"/>
      <c r="K734" s="262">
        <v>13.7</v>
      </c>
    </row>
    <row r="735" spans="1:11" ht="13">
      <c r="A735" s="259" t="s">
        <v>5196</v>
      </c>
      <c r="B735" s="260" t="s">
        <v>5299</v>
      </c>
      <c r="C735" s="260" t="s">
        <v>5297</v>
      </c>
      <c r="D735" s="262" t="s">
        <v>5300</v>
      </c>
      <c r="E735" s="262">
        <v>2021</v>
      </c>
      <c r="F735" s="263">
        <v>12</v>
      </c>
      <c r="G735" s="262" t="s">
        <v>32</v>
      </c>
      <c r="H735" s="260" t="s">
        <v>4907</v>
      </c>
      <c r="I735" s="260">
        <v>228</v>
      </c>
      <c r="J735" s="260"/>
      <c r="K735" s="262">
        <v>13.2</v>
      </c>
    </row>
    <row r="736" spans="1:11" ht="13">
      <c r="A736" s="259" t="s">
        <v>5196</v>
      </c>
      <c r="B736" s="260" t="s">
        <v>5301</v>
      </c>
      <c r="C736" s="260" t="s">
        <v>5297</v>
      </c>
      <c r="D736" s="262" t="s">
        <v>5302</v>
      </c>
      <c r="E736" s="262">
        <v>2022</v>
      </c>
      <c r="F736" s="263">
        <v>12</v>
      </c>
      <c r="G736" s="262" t="s">
        <v>32</v>
      </c>
      <c r="H736" s="260" t="s">
        <v>5303</v>
      </c>
      <c r="I736" s="260">
        <v>186</v>
      </c>
      <c r="J736" s="260"/>
      <c r="K736" s="262">
        <v>13.7</v>
      </c>
    </row>
    <row r="737" spans="1:11" ht="13">
      <c r="A737" s="259" t="s">
        <v>5196</v>
      </c>
      <c r="B737" s="260" t="s">
        <v>5304</v>
      </c>
      <c r="C737" s="260" t="s">
        <v>5297</v>
      </c>
      <c r="D737" s="262" t="s">
        <v>5305</v>
      </c>
      <c r="E737" s="262">
        <v>2022</v>
      </c>
      <c r="F737" s="263">
        <v>12</v>
      </c>
      <c r="G737" s="262" t="s">
        <v>32</v>
      </c>
      <c r="H737" s="260" t="s">
        <v>4428</v>
      </c>
      <c r="I737" s="260">
        <v>186</v>
      </c>
      <c r="J737" s="260"/>
      <c r="K737" s="262">
        <v>11.7</v>
      </c>
    </row>
    <row r="738" spans="1:11" ht="13">
      <c r="A738" s="259" t="s">
        <v>5196</v>
      </c>
      <c r="B738" s="260" t="s">
        <v>5306</v>
      </c>
      <c r="C738" s="260" t="s">
        <v>5297</v>
      </c>
      <c r="D738" s="262" t="s">
        <v>5307</v>
      </c>
      <c r="E738" s="262">
        <v>2021</v>
      </c>
      <c r="F738" s="263">
        <v>12</v>
      </c>
      <c r="G738" s="262" t="s">
        <v>32</v>
      </c>
      <c r="H738" s="260" t="s">
        <v>4770</v>
      </c>
      <c r="I738" s="260">
        <v>264</v>
      </c>
      <c r="J738" s="260"/>
      <c r="K738" s="262">
        <v>12.7</v>
      </c>
    </row>
    <row r="739" spans="1:11" ht="13">
      <c r="A739" s="259" t="s">
        <v>5196</v>
      </c>
      <c r="B739" s="260" t="s">
        <v>5308</v>
      </c>
      <c r="C739" s="260" t="s">
        <v>5297</v>
      </c>
      <c r="D739" s="262" t="s">
        <v>5309</v>
      </c>
      <c r="E739" s="262">
        <v>2022</v>
      </c>
      <c r="F739" s="263">
        <v>12</v>
      </c>
      <c r="G739" s="262" t="s">
        <v>32</v>
      </c>
      <c r="H739" s="260" t="s">
        <v>4992</v>
      </c>
      <c r="I739" s="260">
        <v>222</v>
      </c>
      <c r="J739" s="260"/>
      <c r="K739" s="262">
        <v>11.5</v>
      </c>
    </row>
    <row r="740" spans="1:11" ht="13">
      <c r="A740" s="259" t="s">
        <v>5196</v>
      </c>
      <c r="B740" s="260" t="s">
        <v>5310</v>
      </c>
      <c r="C740" s="260" t="s">
        <v>5297</v>
      </c>
      <c r="D740" s="262" t="s">
        <v>5311</v>
      </c>
      <c r="E740" s="262">
        <v>2021</v>
      </c>
      <c r="F740" s="263">
        <v>12</v>
      </c>
      <c r="G740" s="262" t="s">
        <v>32</v>
      </c>
      <c r="H740" s="260" t="s">
        <v>5312</v>
      </c>
      <c r="I740" s="260">
        <v>192</v>
      </c>
      <c r="J740" s="260"/>
      <c r="K740" s="262">
        <v>13.9</v>
      </c>
    </row>
    <row r="741" spans="1:11" ht="13">
      <c r="A741" s="259" t="s">
        <v>5196</v>
      </c>
      <c r="B741" s="260" t="s">
        <v>5313</v>
      </c>
      <c r="C741" s="260" t="s">
        <v>5314</v>
      </c>
      <c r="D741" s="262" t="s">
        <v>5315</v>
      </c>
      <c r="E741" s="262">
        <v>2023</v>
      </c>
      <c r="F741" s="263">
        <v>12</v>
      </c>
      <c r="G741" s="262" t="s">
        <v>32</v>
      </c>
      <c r="H741" s="260" t="s">
        <v>5316</v>
      </c>
      <c r="I741" s="260">
        <v>114</v>
      </c>
      <c r="J741" s="260"/>
      <c r="K741" s="262">
        <v>12.5</v>
      </c>
    </row>
    <row r="742" spans="1:11" ht="13">
      <c r="A742" s="259" t="s">
        <v>5196</v>
      </c>
      <c r="B742" s="260" t="s">
        <v>5317</v>
      </c>
      <c r="C742" s="260" t="s">
        <v>5314</v>
      </c>
      <c r="D742" s="262" t="s">
        <v>5318</v>
      </c>
      <c r="E742" s="262">
        <v>2024</v>
      </c>
      <c r="F742" s="263">
        <v>12</v>
      </c>
      <c r="G742" s="262" t="s">
        <v>32</v>
      </c>
      <c r="H742" s="260" t="s">
        <v>5319</v>
      </c>
      <c r="I742" s="260">
        <v>114</v>
      </c>
      <c r="J742" s="260"/>
      <c r="K742" s="262">
        <v>12.5</v>
      </c>
    </row>
    <row r="743" spans="1:11" ht="13">
      <c r="A743" s="259" t="s">
        <v>5196</v>
      </c>
      <c r="B743" s="260" t="s">
        <v>5320</v>
      </c>
      <c r="C743" s="260" t="s">
        <v>5321</v>
      </c>
      <c r="D743" s="262" t="s">
        <v>5322</v>
      </c>
      <c r="E743" s="262">
        <v>2022</v>
      </c>
      <c r="F743" s="263">
        <v>12</v>
      </c>
      <c r="G743" s="262" t="s">
        <v>32</v>
      </c>
      <c r="H743" s="260" t="s">
        <v>4170</v>
      </c>
      <c r="I743" s="260">
        <v>234</v>
      </c>
      <c r="J743" s="260"/>
      <c r="K743" s="262">
        <v>14</v>
      </c>
    </row>
    <row r="744" spans="1:11" ht="13">
      <c r="A744" s="259" t="s">
        <v>5196</v>
      </c>
      <c r="B744" s="260" t="s">
        <v>5323</v>
      </c>
      <c r="C744" s="260" t="s">
        <v>5321</v>
      </c>
      <c r="D744" s="262" t="s">
        <v>5324</v>
      </c>
      <c r="E744" s="262">
        <v>2022</v>
      </c>
      <c r="F744" s="263">
        <v>12</v>
      </c>
      <c r="G744" s="262" t="s">
        <v>32</v>
      </c>
      <c r="H744" s="260" t="s">
        <v>5303</v>
      </c>
      <c r="I744" s="260">
        <v>192</v>
      </c>
      <c r="J744" s="260"/>
      <c r="K744" s="262">
        <v>12.8</v>
      </c>
    </row>
    <row r="745" spans="1:11" ht="13">
      <c r="A745" s="259" t="s">
        <v>5196</v>
      </c>
      <c r="B745" s="260" t="s">
        <v>5325</v>
      </c>
      <c r="C745" s="260" t="s">
        <v>5321</v>
      </c>
      <c r="D745" s="262" t="s">
        <v>5324</v>
      </c>
      <c r="E745" s="262">
        <v>2023</v>
      </c>
      <c r="F745" s="263">
        <v>12</v>
      </c>
      <c r="G745" s="262" t="s">
        <v>32</v>
      </c>
      <c r="H745" s="260" t="s">
        <v>5326</v>
      </c>
      <c r="I745" s="260">
        <v>192</v>
      </c>
      <c r="J745" s="260"/>
      <c r="K745" s="262">
        <v>12.8</v>
      </c>
    </row>
    <row r="746" spans="1:11" ht="13">
      <c r="A746" s="259" t="s">
        <v>5196</v>
      </c>
      <c r="B746" s="260" t="s">
        <v>5327</v>
      </c>
      <c r="C746" s="260" t="s">
        <v>5321</v>
      </c>
      <c r="D746" s="262" t="s">
        <v>5328</v>
      </c>
      <c r="E746" s="262">
        <v>2022</v>
      </c>
      <c r="F746" s="263">
        <v>12</v>
      </c>
      <c r="G746" s="262" t="s">
        <v>32</v>
      </c>
      <c r="H746" s="260" t="s">
        <v>4522</v>
      </c>
      <c r="I746" s="260">
        <v>222</v>
      </c>
      <c r="J746" s="260"/>
      <c r="K746" s="262">
        <v>13.2</v>
      </c>
    </row>
    <row r="747" spans="1:11" ht="13">
      <c r="A747" s="259" t="s">
        <v>5196</v>
      </c>
      <c r="B747" s="260" t="s">
        <v>5329</v>
      </c>
      <c r="C747" s="260" t="s">
        <v>5321</v>
      </c>
      <c r="D747" s="262" t="s">
        <v>5330</v>
      </c>
      <c r="E747" s="262">
        <v>2023</v>
      </c>
      <c r="F747" s="263">
        <v>12</v>
      </c>
      <c r="G747" s="262" t="s">
        <v>32</v>
      </c>
      <c r="H747" s="260" t="s">
        <v>4315</v>
      </c>
      <c r="I747" s="260">
        <v>222</v>
      </c>
      <c r="J747" s="260"/>
      <c r="K747" s="262">
        <v>13</v>
      </c>
    </row>
    <row r="748" spans="1:11" ht="13">
      <c r="A748" s="259" t="s">
        <v>5196</v>
      </c>
      <c r="B748" s="260" t="s">
        <v>5331</v>
      </c>
      <c r="C748" s="260" t="s">
        <v>5321</v>
      </c>
      <c r="D748" s="262" t="s">
        <v>5332</v>
      </c>
      <c r="E748" s="262">
        <v>2022</v>
      </c>
      <c r="F748" s="263">
        <v>12</v>
      </c>
      <c r="G748" s="262" t="s">
        <v>32</v>
      </c>
      <c r="H748" s="260" t="s">
        <v>5333</v>
      </c>
      <c r="I748" s="260">
        <v>210</v>
      </c>
      <c r="J748" s="260"/>
      <c r="K748" s="262">
        <v>14.5</v>
      </c>
    </row>
    <row r="749" spans="1:11" ht="13">
      <c r="A749" s="259" t="s">
        <v>5196</v>
      </c>
      <c r="B749" s="260" t="s">
        <v>5334</v>
      </c>
      <c r="C749" s="260" t="s">
        <v>5321</v>
      </c>
      <c r="D749" s="262" t="s">
        <v>5332</v>
      </c>
      <c r="E749" s="262">
        <v>2023</v>
      </c>
      <c r="F749" s="263">
        <v>12</v>
      </c>
      <c r="G749" s="262" t="s">
        <v>32</v>
      </c>
      <c r="H749" s="260" t="s">
        <v>5335</v>
      </c>
      <c r="I749" s="260">
        <v>210</v>
      </c>
      <c r="J749" s="260"/>
      <c r="K749" s="262">
        <v>14.5</v>
      </c>
    </row>
    <row r="750" spans="1:11" ht="13">
      <c r="A750" s="259" t="s">
        <v>5196</v>
      </c>
      <c r="B750" s="260" t="s">
        <v>5336</v>
      </c>
      <c r="C750" s="260" t="s">
        <v>5321</v>
      </c>
      <c r="D750" s="262" t="s">
        <v>5337</v>
      </c>
      <c r="E750" s="262">
        <v>2023</v>
      </c>
      <c r="F750" s="263">
        <v>12</v>
      </c>
      <c r="G750" s="262" t="s">
        <v>32</v>
      </c>
      <c r="H750" s="260" t="s">
        <v>4437</v>
      </c>
      <c r="I750" s="260">
        <v>192</v>
      </c>
      <c r="J750" s="260"/>
      <c r="K750" s="262">
        <v>12.2</v>
      </c>
    </row>
    <row r="751" spans="1:11" ht="13">
      <c r="A751" s="259" t="s">
        <v>5196</v>
      </c>
      <c r="B751" s="260" t="s">
        <v>5338</v>
      </c>
      <c r="C751" s="260" t="s">
        <v>5321</v>
      </c>
      <c r="D751" s="262" t="s">
        <v>5339</v>
      </c>
      <c r="E751" s="262">
        <v>2020</v>
      </c>
      <c r="F751" s="263">
        <v>12</v>
      </c>
      <c r="G751" s="262" t="s">
        <v>32</v>
      </c>
      <c r="H751" s="260" t="s">
        <v>4269</v>
      </c>
      <c r="I751" s="260">
        <v>270</v>
      </c>
      <c r="J751" s="260"/>
      <c r="K751" s="262">
        <v>13.2</v>
      </c>
    </row>
    <row r="752" spans="1:11" ht="13">
      <c r="A752" s="259" t="s">
        <v>5196</v>
      </c>
      <c r="B752" s="260" t="s">
        <v>5340</v>
      </c>
      <c r="C752" s="260" t="s">
        <v>5321</v>
      </c>
      <c r="D752" s="262" t="s">
        <v>5341</v>
      </c>
      <c r="E752" s="262">
        <v>2023</v>
      </c>
      <c r="F752" s="263">
        <v>12</v>
      </c>
      <c r="G752" s="262" t="s">
        <v>32</v>
      </c>
      <c r="H752" s="260" t="s">
        <v>4202</v>
      </c>
      <c r="I752" s="260">
        <v>210</v>
      </c>
      <c r="J752" s="260"/>
      <c r="K752" s="262">
        <v>11.9</v>
      </c>
    </row>
    <row r="753" spans="1:11" ht="13">
      <c r="A753" s="259" t="s">
        <v>5196</v>
      </c>
      <c r="B753" s="260" t="s">
        <v>5342</v>
      </c>
      <c r="C753" s="260" t="s">
        <v>5321</v>
      </c>
      <c r="D753" s="262" t="s">
        <v>5343</v>
      </c>
      <c r="E753" s="262">
        <v>2022</v>
      </c>
      <c r="F753" s="263">
        <v>12</v>
      </c>
      <c r="G753" s="262" t="s">
        <v>32</v>
      </c>
      <c r="H753" s="260" t="s">
        <v>4210</v>
      </c>
      <c r="I753" s="260">
        <v>210</v>
      </c>
      <c r="J753" s="260"/>
      <c r="K753" s="262">
        <v>13</v>
      </c>
    </row>
    <row r="754" spans="1:11" ht="13">
      <c r="A754" s="259" t="s">
        <v>5196</v>
      </c>
      <c r="B754" s="260" t="s">
        <v>5344</v>
      </c>
      <c r="C754" s="260" t="s">
        <v>5321</v>
      </c>
      <c r="D754" s="262" t="s">
        <v>5343</v>
      </c>
      <c r="E754" s="262">
        <v>2023</v>
      </c>
      <c r="F754" s="263">
        <v>12</v>
      </c>
      <c r="G754" s="262" t="s">
        <v>32</v>
      </c>
      <c r="H754" s="260" t="s">
        <v>4185</v>
      </c>
      <c r="I754" s="260">
        <v>210</v>
      </c>
      <c r="J754" s="260"/>
      <c r="K754" s="262">
        <v>13</v>
      </c>
    </row>
    <row r="755" spans="1:11" ht="13">
      <c r="A755" s="259" t="s">
        <v>5196</v>
      </c>
      <c r="B755" s="260" t="s">
        <v>5345</v>
      </c>
      <c r="C755" s="260" t="s">
        <v>5321</v>
      </c>
      <c r="D755" s="262" t="s">
        <v>5346</v>
      </c>
      <c r="E755" s="262">
        <v>2023</v>
      </c>
      <c r="F755" s="263">
        <v>12</v>
      </c>
      <c r="G755" s="262" t="s">
        <v>32</v>
      </c>
      <c r="H755" s="260" t="s">
        <v>4842</v>
      </c>
      <c r="I755" s="260">
        <v>210</v>
      </c>
      <c r="J755" s="260"/>
      <c r="K755" s="262">
        <v>11.5</v>
      </c>
    </row>
    <row r="756" spans="1:11" ht="13">
      <c r="A756" s="259" t="s">
        <v>5196</v>
      </c>
      <c r="B756" s="260" t="s">
        <v>5347</v>
      </c>
      <c r="C756" s="260" t="s">
        <v>5321</v>
      </c>
      <c r="D756" s="262" t="s">
        <v>5348</v>
      </c>
      <c r="E756" s="262">
        <v>2022</v>
      </c>
      <c r="F756" s="263">
        <v>12</v>
      </c>
      <c r="G756" s="262" t="s">
        <v>32</v>
      </c>
      <c r="H756" s="260" t="s">
        <v>5349</v>
      </c>
      <c r="I756" s="260">
        <v>234</v>
      </c>
      <c r="J756" s="260"/>
      <c r="K756" s="262">
        <v>11.5</v>
      </c>
    </row>
    <row r="757" spans="1:11" ht="13">
      <c r="A757" s="259" t="s">
        <v>5196</v>
      </c>
      <c r="B757" s="260" t="s">
        <v>5350</v>
      </c>
      <c r="C757" s="260" t="s">
        <v>5321</v>
      </c>
      <c r="D757" s="262" t="s">
        <v>5348</v>
      </c>
      <c r="E757" s="262">
        <v>2023</v>
      </c>
      <c r="F757" s="263">
        <v>12</v>
      </c>
      <c r="G757" s="262" t="s">
        <v>32</v>
      </c>
      <c r="H757" s="260" t="s">
        <v>5351</v>
      </c>
      <c r="I757" s="260">
        <v>228</v>
      </c>
      <c r="J757" s="260"/>
      <c r="K757" s="262">
        <v>11.5</v>
      </c>
    </row>
    <row r="758" spans="1:11" ht="13">
      <c r="A758" s="259" t="s">
        <v>5196</v>
      </c>
      <c r="B758" s="260" t="s">
        <v>5352</v>
      </c>
      <c r="C758" s="260" t="s">
        <v>5321</v>
      </c>
      <c r="D758" s="262" t="s">
        <v>5353</v>
      </c>
      <c r="E758" s="262">
        <v>2021</v>
      </c>
      <c r="F758" s="263">
        <v>12</v>
      </c>
      <c r="G758" s="262" t="s">
        <v>32</v>
      </c>
      <c r="H758" s="260" t="s">
        <v>5354</v>
      </c>
      <c r="I758" s="260">
        <v>252</v>
      </c>
      <c r="J758" s="260"/>
      <c r="K758" s="262">
        <v>11.5</v>
      </c>
    </row>
    <row r="759" spans="1:11" ht="13">
      <c r="A759" s="259" t="s">
        <v>5196</v>
      </c>
      <c r="B759" s="260" t="s">
        <v>5355</v>
      </c>
      <c r="C759" s="260" t="s">
        <v>5321</v>
      </c>
      <c r="D759" s="262" t="s">
        <v>5356</v>
      </c>
      <c r="E759" s="262">
        <v>2023</v>
      </c>
      <c r="F759" s="263">
        <v>12</v>
      </c>
      <c r="G759" s="262" t="s">
        <v>32</v>
      </c>
      <c r="H759" s="260" t="s">
        <v>5357</v>
      </c>
      <c r="I759" s="260">
        <v>168</v>
      </c>
      <c r="J759" s="260"/>
      <c r="K759" s="262">
        <v>11.5</v>
      </c>
    </row>
    <row r="760" spans="1:11" ht="13">
      <c r="A760" s="259" t="s">
        <v>5196</v>
      </c>
      <c r="B760" s="260" t="s">
        <v>5358</v>
      </c>
      <c r="C760" s="260" t="s">
        <v>5359</v>
      </c>
      <c r="D760" s="262" t="s">
        <v>5360</v>
      </c>
      <c r="E760" s="262">
        <v>2023</v>
      </c>
      <c r="F760" s="263">
        <v>12</v>
      </c>
      <c r="G760" s="262" t="s">
        <v>32</v>
      </c>
      <c r="H760" s="260" t="s">
        <v>4238</v>
      </c>
      <c r="I760" s="260">
        <v>156</v>
      </c>
      <c r="J760" s="260"/>
      <c r="K760" s="262">
        <v>12.5</v>
      </c>
    </row>
    <row r="761" spans="1:11" ht="13">
      <c r="A761" s="277"/>
      <c r="B761" s="277"/>
      <c r="C761" s="277"/>
      <c r="D761" s="278"/>
      <c r="E761" s="279"/>
      <c r="F761" s="280"/>
      <c r="G761" s="277"/>
      <c r="H761" s="277"/>
      <c r="I761" s="277"/>
      <c r="J761" s="277"/>
      <c r="K761" s="279"/>
    </row>
    <row r="762" spans="1:11" ht="13">
      <c r="A762" s="268" t="s">
        <v>5361</v>
      </c>
      <c r="B762" s="260" t="s">
        <v>5362</v>
      </c>
      <c r="C762" s="260" t="s">
        <v>5363</v>
      </c>
      <c r="D762" s="262" t="s">
        <v>5364</v>
      </c>
      <c r="E762" s="262" t="s">
        <v>5</v>
      </c>
      <c r="F762" s="263">
        <v>12</v>
      </c>
      <c r="G762" s="262" t="s">
        <v>564</v>
      </c>
      <c r="H762" s="260" t="s">
        <v>4328</v>
      </c>
      <c r="I762" s="260">
        <v>230</v>
      </c>
      <c r="J762" s="260"/>
      <c r="K762" s="262">
        <v>12</v>
      </c>
    </row>
    <row r="763" spans="1:11" ht="13">
      <c r="A763" s="268" t="s">
        <v>5361</v>
      </c>
      <c r="B763" s="260" t="s">
        <v>5365</v>
      </c>
      <c r="C763" s="260" t="s">
        <v>5363</v>
      </c>
      <c r="D763" s="262" t="s">
        <v>5366</v>
      </c>
      <c r="E763" s="262" t="s">
        <v>5</v>
      </c>
      <c r="F763" s="263">
        <v>24</v>
      </c>
      <c r="G763" s="262" t="s">
        <v>3230</v>
      </c>
      <c r="H763" s="260" t="s">
        <v>5367</v>
      </c>
      <c r="I763" s="260">
        <v>144</v>
      </c>
      <c r="J763" s="260"/>
      <c r="K763" s="262">
        <v>13</v>
      </c>
    </row>
    <row r="764" spans="1:11" ht="13">
      <c r="A764" s="277"/>
      <c r="B764" s="277"/>
      <c r="C764" s="277"/>
      <c r="D764" s="278"/>
      <c r="E764" s="279"/>
      <c r="F764" s="280"/>
      <c r="G764" s="277"/>
      <c r="H764" s="277"/>
      <c r="I764" s="277"/>
      <c r="J764" s="277"/>
      <c r="K764" s="279"/>
    </row>
    <row r="765" spans="1:11" ht="13">
      <c r="A765" s="269" t="s">
        <v>5368</v>
      </c>
      <c r="B765" s="260" t="s">
        <v>5369</v>
      </c>
      <c r="C765" s="260" t="s">
        <v>5370</v>
      </c>
      <c r="D765" s="262" t="s">
        <v>5371</v>
      </c>
      <c r="E765" s="262">
        <v>2022</v>
      </c>
      <c r="F765" s="263">
        <v>12</v>
      </c>
      <c r="G765" s="262" t="s">
        <v>32</v>
      </c>
      <c r="H765" s="260" t="s">
        <v>4167</v>
      </c>
      <c r="I765" s="260">
        <v>0</v>
      </c>
      <c r="J765" s="260"/>
      <c r="K765" s="262">
        <v>7.6</v>
      </c>
    </row>
    <row r="766" spans="1:11" ht="13">
      <c r="A766" s="269" t="s">
        <v>5368</v>
      </c>
      <c r="B766" s="260" t="s">
        <v>5372</v>
      </c>
      <c r="C766" s="260" t="s">
        <v>5370</v>
      </c>
      <c r="D766" s="262" t="s">
        <v>5373</v>
      </c>
      <c r="E766" s="262">
        <v>2022</v>
      </c>
      <c r="F766" s="263">
        <v>12</v>
      </c>
      <c r="G766" s="262" t="s">
        <v>32</v>
      </c>
      <c r="H766" s="260" t="s">
        <v>4006</v>
      </c>
      <c r="I766" s="260">
        <v>0</v>
      </c>
      <c r="J766" s="260"/>
      <c r="K766" s="262">
        <v>12.8</v>
      </c>
    </row>
    <row r="767" spans="1:11" ht="13">
      <c r="A767" s="277"/>
      <c r="B767" s="277"/>
      <c r="C767" s="277"/>
      <c r="D767" s="278"/>
      <c r="E767" s="279"/>
      <c r="F767" s="280"/>
      <c r="G767" s="277"/>
      <c r="H767" s="277"/>
      <c r="I767" s="277"/>
      <c r="J767" s="277"/>
      <c r="K767" s="279"/>
    </row>
    <row r="768" spans="1:11" ht="13">
      <c r="A768" s="270" t="s">
        <v>5374</v>
      </c>
      <c r="B768" s="260" t="s">
        <v>5375</v>
      </c>
      <c r="C768" s="260" t="s">
        <v>5376</v>
      </c>
      <c r="D768" s="262" t="s">
        <v>5377</v>
      </c>
      <c r="E768" s="262">
        <v>2023</v>
      </c>
      <c r="F768" s="263">
        <v>12</v>
      </c>
      <c r="G768" s="262" t="s">
        <v>32</v>
      </c>
      <c r="H768" s="260" t="s">
        <v>4992</v>
      </c>
      <c r="I768" s="260">
        <v>222</v>
      </c>
      <c r="J768" s="260"/>
      <c r="K768" s="262">
        <v>12</v>
      </c>
    </row>
    <row r="769" spans="1:11" ht="13">
      <c r="A769" s="270" t="s">
        <v>5374</v>
      </c>
      <c r="B769" s="260" t="s">
        <v>5378</v>
      </c>
      <c r="C769" s="260" t="s">
        <v>5376</v>
      </c>
      <c r="D769" s="262" t="s">
        <v>5379</v>
      </c>
      <c r="E769" s="262">
        <v>2023</v>
      </c>
      <c r="F769" s="263">
        <v>12</v>
      </c>
      <c r="G769" s="262" t="s">
        <v>32</v>
      </c>
      <c r="H769" s="260" t="s">
        <v>4250</v>
      </c>
      <c r="I769" s="260">
        <v>210</v>
      </c>
      <c r="J769" s="260"/>
      <c r="K769" s="262">
        <v>12</v>
      </c>
    </row>
    <row r="770" spans="1:11" ht="13">
      <c r="A770" s="270" t="s">
        <v>5374</v>
      </c>
      <c r="B770" s="260" t="s">
        <v>5380</v>
      </c>
      <c r="C770" s="260" t="s">
        <v>5376</v>
      </c>
      <c r="D770" s="262" t="s">
        <v>5381</v>
      </c>
      <c r="E770" s="262">
        <v>2024</v>
      </c>
      <c r="F770" s="263">
        <v>12</v>
      </c>
      <c r="G770" s="262" t="s">
        <v>32</v>
      </c>
      <c r="H770" s="260" t="s">
        <v>5349</v>
      </c>
      <c r="I770" s="260">
        <v>210</v>
      </c>
      <c r="J770" s="260"/>
      <c r="K770" s="262">
        <v>10</v>
      </c>
    </row>
    <row r="771" spans="1:11" ht="13">
      <c r="A771" s="270" t="s">
        <v>5374</v>
      </c>
      <c r="B771" s="260" t="s">
        <v>5382</v>
      </c>
      <c r="C771" s="260" t="s">
        <v>5376</v>
      </c>
      <c r="D771" s="262" t="s">
        <v>5383</v>
      </c>
      <c r="E771" s="262">
        <v>2023</v>
      </c>
      <c r="F771" s="263">
        <v>12</v>
      </c>
      <c r="G771" s="262" t="s">
        <v>32</v>
      </c>
      <c r="H771" s="260" t="s">
        <v>4315</v>
      </c>
      <c r="I771" s="260">
        <v>222</v>
      </c>
      <c r="J771" s="260"/>
      <c r="K771" s="262">
        <v>12</v>
      </c>
    </row>
    <row r="772" spans="1:11" ht="13">
      <c r="A772" s="277"/>
      <c r="B772" s="277"/>
      <c r="C772" s="277"/>
      <c r="D772" s="278"/>
      <c r="E772" s="279"/>
      <c r="F772" s="280"/>
      <c r="G772" s="277"/>
      <c r="H772" s="277"/>
      <c r="I772" s="277"/>
      <c r="J772" s="277"/>
      <c r="K772" s="279"/>
    </row>
    <row r="773" spans="1:11" ht="13">
      <c r="A773" s="271" t="s">
        <v>5384</v>
      </c>
      <c r="B773" s="260" t="s">
        <v>5385</v>
      </c>
      <c r="C773" s="260" t="s">
        <v>5386</v>
      </c>
      <c r="D773" s="262" t="s">
        <v>5387</v>
      </c>
      <c r="E773" s="262">
        <v>2024</v>
      </c>
      <c r="F773" s="263">
        <v>12</v>
      </c>
      <c r="G773" s="262" t="s">
        <v>32</v>
      </c>
      <c r="H773" s="260" t="s">
        <v>5388</v>
      </c>
      <c r="I773" s="260">
        <v>192</v>
      </c>
      <c r="J773" s="260"/>
      <c r="K773" s="262">
        <v>10.8</v>
      </c>
    </row>
    <row r="774" spans="1:11" ht="13">
      <c r="A774" s="271" t="s">
        <v>5384</v>
      </c>
      <c r="B774" s="260" t="s">
        <v>5389</v>
      </c>
      <c r="C774" s="260" t="s">
        <v>5386</v>
      </c>
      <c r="D774" s="262" t="s">
        <v>5390</v>
      </c>
      <c r="E774" s="262">
        <v>2023</v>
      </c>
      <c r="F774" s="263">
        <v>12</v>
      </c>
      <c r="G774" s="262" t="s">
        <v>32</v>
      </c>
      <c r="H774" s="260" t="s">
        <v>5391</v>
      </c>
      <c r="I774" s="260">
        <v>144</v>
      </c>
      <c r="J774" s="260"/>
      <c r="K774" s="262">
        <v>10.8</v>
      </c>
    </row>
    <row r="775" spans="1:11" ht="13">
      <c r="A775" s="271" t="s">
        <v>5384</v>
      </c>
      <c r="B775" s="260" t="s">
        <v>5392</v>
      </c>
      <c r="C775" s="260" t="s">
        <v>5386</v>
      </c>
      <c r="D775" s="262" t="s">
        <v>5393</v>
      </c>
      <c r="E775" s="262">
        <v>2023</v>
      </c>
      <c r="F775" s="263">
        <v>12</v>
      </c>
      <c r="G775" s="262" t="s">
        <v>32</v>
      </c>
      <c r="H775" s="260" t="s">
        <v>4706</v>
      </c>
      <c r="I775" s="260">
        <v>186</v>
      </c>
      <c r="J775" s="260"/>
      <c r="K775" s="262">
        <v>10.8</v>
      </c>
    </row>
    <row r="776" spans="1:11" ht="13">
      <c r="A776" s="271" t="s">
        <v>5384</v>
      </c>
      <c r="B776" s="260" t="s">
        <v>5394</v>
      </c>
      <c r="C776" s="260" t="s">
        <v>5386</v>
      </c>
      <c r="D776" s="262" t="s">
        <v>5395</v>
      </c>
      <c r="E776" s="262">
        <v>2023</v>
      </c>
      <c r="F776" s="263">
        <v>12</v>
      </c>
      <c r="G776" s="262" t="s">
        <v>32</v>
      </c>
      <c r="H776" s="260" t="s">
        <v>5170</v>
      </c>
      <c r="I776" s="260">
        <v>198</v>
      </c>
      <c r="J776" s="260"/>
      <c r="K776" s="262">
        <v>10.8</v>
      </c>
    </row>
    <row r="777" spans="1:11" ht="13">
      <c r="A777" s="271" t="s">
        <v>5384</v>
      </c>
      <c r="B777" s="260" t="s">
        <v>5396</v>
      </c>
      <c r="C777" s="260" t="s">
        <v>5397</v>
      </c>
      <c r="D777" s="262" t="s">
        <v>5398</v>
      </c>
      <c r="E777" s="262" t="s">
        <v>5</v>
      </c>
      <c r="F777" s="263">
        <v>6</v>
      </c>
      <c r="G777" s="262" t="s">
        <v>32</v>
      </c>
      <c r="H777" s="260" t="s">
        <v>5399</v>
      </c>
      <c r="I777" s="260">
        <v>150</v>
      </c>
      <c r="J777" s="260"/>
      <c r="K777" s="262">
        <v>16</v>
      </c>
    </row>
    <row r="778" spans="1:11" ht="13">
      <c r="A778" s="271" t="s">
        <v>5384</v>
      </c>
      <c r="B778" s="260" t="s">
        <v>5400</v>
      </c>
      <c r="C778" s="260" t="s">
        <v>5397</v>
      </c>
      <c r="D778" s="261" t="s">
        <v>5398</v>
      </c>
      <c r="E778" s="262" t="s">
        <v>5</v>
      </c>
      <c r="F778" s="263">
        <v>12</v>
      </c>
      <c r="G778" s="260" t="s">
        <v>5401</v>
      </c>
      <c r="H778" s="260" t="s">
        <v>5402</v>
      </c>
      <c r="I778" s="260">
        <v>186</v>
      </c>
      <c r="J778" s="260"/>
      <c r="K778" s="262">
        <v>16</v>
      </c>
    </row>
    <row r="779" spans="1:11" ht="13">
      <c r="A779" s="271" t="s">
        <v>5384</v>
      </c>
      <c r="B779" s="260" t="s">
        <v>5403</v>
      </c>
      <c r="C779" s="260" t="s">
        <v>5397</v>
      </c>
      <c r="D779" s="262" t="s">
        <v>5404</v>
      </c>
      <c r="E779" s="262" t="s">
        <v>5</v>
      </c>
      <c r="F779" s="263">
        <v>12</v>
      </c>
      <c r="G779" s="262" t="s">
        <v>5401</v>
      </c>
      <c r="H779" s="260" t="s">
        <v>5349</v>
      </c>
      <c r="I779" s="260">
        <v>246</v>
      </c>
      <c r="J779" s="260"/>
      <c r="K779" s="262">
        <v>16</v>
      </c>
    </row>
    <row r="780" spans="1:11" ht="13">
      <c r="A780" s="271" t="s">
        <v>5384</v>
      </c>
      <c r="B780" s="260" t="s">
        <v>5405</v>
      </c>
      <c r="C780" s="260" t="s">
        <v>5397</v>
      </c>
      <c r="D780" s="262" t="s">
        <v>5406</v>
      </c>
      <c r="E780" s="262" t="s">
        <v>5</v>
      </c>
      <c r="F780" s="263">
        <v>24</v>
      </c>
      <c r="G780" s="262" t="s">
        <v>3829</v>
      </c>
      <c r="H780" s="260" t="s">
        <v>4376</v>
      </c>
      <c r="I780" s="260">
        <v>56</v>
      </c>
      <c r="J780" s="260"/>
      <c r="K780" s="262">
        <v>5.4</v>
      </c>
    </row>
    <row r="781" spans="1:11" ht="13">
      <c r="A781" s="271" t="s">
        <v>5384</v>
      </c>
      <c r="B781" s="260" t="s">
        <v>5407</v>
      </c>
      <c r="C781" s="260" t="s">
        <v>5397</v>
      </c>
      <c r="D781" s="262" t="s">
        <v>5408</v>
      </c>
      <c r="E781" s="262" t="s">
        <v>5</v>
      </c>
      <c r="F781" s="263">
        <v>24</v>
      </c>
      <c r="G781" s="262" t="s">
        <v>3829</v>
      </c>
      <c r="H781" s="260" t="s">
        <v>4210</v>
      </c>
      <c r="I781" s="260">
        <v>56</v>
      </c>
      <c r="J781" s="260"/>
      <c r="K781" s="262">
        <v>5.4</v>
      </c>
    </row>
    <row r="782" spans="1:11" ht="13">
      <c r="A782" s="271" t="s">
        <v>5384</v>
      </c>
      <c r="B782" s="260" t="s">
        <v>5409</v>
      </c>
      <c r="C782" s="260" t="s">
        <v>5397</v>
      </c>
      <c r="D782" s="262" t="s">
        <v>5410</v>
      </c>
      <c r="E782" s="262" t="s">
        <v>5</v>
      </c>
      <c r="F782" s="263">
        <v>12</v>
      </c>
      <c r="G782" s="262" t="s">
        <v>5411</v>
      </c>
      <c r="H782" s="260" t="s">
        <v>5412</v>
      </c>
      <c r="I782" s="260">
        <v>186</v>
      </c>
      <c r="J782" s="260"/>
      <c r="K782" s="262">
        <v>0</v>
      </c>
    </row>
    <row r="783" spans="1:11" ht="13">
      <c r="A783" s="277"/>
      <c r="B783" s="277"/>
      <c r="C783" s="277"/>
      <c r="D783" s="278"/>
      <c r="E783" s="279"/>
      <c r="F783" s="280"/>
      <c r="G783" s="277"/>
      <c r="H783" s="277"/>
      <c r="I783" s="277"/>
      <c r="J783" s="277"/>
      <c r="K783" s="279"/>
    </row>
    <row r="784" spans="1:11" ht="13">
      <c r="A784" s="272" t="s">
        <v>5413</v>
      </c>
      <c r="B784" s="260" t="s">
        <v>5414</v>
      </c>
      <c r="C784" s="260" t="s">
        <v>5415</v>
      </c>
      <c r="D784" s="262" t="s">
        <v>5416</v>
      </c>
      <c r="E784" s="262">
        <v>2022</v>
      </c>
      <c r="F784" s="263">
        <v>12</v>
      </c>
      <c r="G784" s="262" t="s">
        <v>32</v>
      </c>
      <c r="H784" s="260" t="s">
        <v>4253</v>
      </c>
      <c r="I784" s="260">
        <v>162</v>
      </c>
      <c r="J784" s="260"/>
      <c r="K784" s="262">
        <v>12.5</v>
      </c>
    </row>
    <row r="785" spans="1:11" ht="13">
      <c r="A785" s="272" t="s">
        <v>5413</v>
      </c>
      <c r="B785" s="260" t="s">
        <v>5417</v>
      </c>
      <c r="C785" s="260" t="s">
        <v>5415</v>
      </c>
      <c r="D785" s="262" t="s">
        <v>5418</v>
      </c>
      <c r="E785" s="262">
        <v>2022</v>
      </c>
      <c r="F785" s="263">
        <v>12</v>
      </c>
      <c r="G785" s="262" t="s">
        <v>32</v>
      </c>
      <c r="H785" s="260" t="s">
        <v>4575</v>
      </c>
      <c r="I785" s="260">
        <v>162</v>
      </c>
      <c r="J785" s="260"/>
      <c r="K785" s="262">
        <v>12.5</v>
      </c>
    </row>
    <row r="786" spans="1:11" ht="13">
      <c r="A786" s="272" t="s">
        <v>5413</v>
      </c>
      <c r="B786" s="260" t="s">
        <v>5419</v>
      </c>
      <c r="C786" s="260" t="s">
        <v>5415</v>
      </c>
      <c r="D786" s="262" t="s">
        <v>5420</v>
      </c>
      <c r="E786" s="262" t="s">
        <v>5</v>
      </c>
      <c r="F786" s="263">
        <v>12</v>
      </c>
      <c r="G786" s="262" t="s">
        <v>32</v>
      </c>
      <c r="H786" s="260" t="s">
        <v>4167</v>
      </c>
      <c r="I786" s="260">
        <v>192</v>
      </c>
      <c r="J786" s="260"/>
      <c r="K786" s="262">
        <v>17</v>
      </c>
    </row>
    <row r="787" spans="1:11" ht="13">
      <c r="A787" s="272" t="s">
        <v>5413</v>
      </c>
      <c r="B787" s="260" t="s">
        <v>5421</v>
      </c>
      <c r="C787" s="260" t="s">
        <v>5415</v>
      </c>
      <c r="D787" s="262" t="s">
        <v>5422</v>
      </c>
      <c r="E787" s="262">
        <v>2022</v>
      </c>
      <c r="F787" s="263">
        <v>12</v>
      </c>
      <c r="G787" s="262" t="s">
        <v>32</v>
      </c>
      <c r="H787" s="260" t="s">
        <v>5423</v>
      </c>
      <c r="I787" s="260">
        <v>198</v>
      </c>
      <c r="J787" s="260"/>
      <c r="K787" s="262">
        <v>11</v>
      </c>
    </row>
    <row r="788" spans="1:11" ht="13">
      <c r="A788" s="272" t="s">
        <v>5413</v>
      </c>
      <c r="B788" s="260" t="s">
        <v>5424</v>
      </c>
      <c r="C788" s="260" t="s">
        <v>5425</v>
      </c>
      <c r="D788" s="261" t="s">
        <v>5426</v>
      </c>
      <c r="E788" s="262">
        <v>2021</v>
      </c>
      <c r="F788" s="263">
        <v>12</v>
      </c>
      <c r="G788" s="260" t="s">
        <v>32</v>
      </c>
      <c r="H788" s="260" t="s">
        <v>4315</v>
      </c>
      <c r="I788" s="260">
        <v>168</v>
      </c>
      <c r="J788" s="260"/>
      <c r="K788" s="262">
        <v>12.5</v>
      </c>
    </row>
    <row r="789" spans="1:11" ht="13">
      <c r="A789" s="272" t="s">
        <v>5413</v>
      </c>
      <c r="B789" s="260" t="s">
        <v>5427</v>
      </c>
      <c r="C789" s="260" t="s">
        <v>5425</v>
      </c>
      <c r="D789" s="262" t="s">
        <v>5426</v>
      </c>
      <c r="E789" s="262">
        <v>2022</v>
      </c>
      <c r="F789" s="263">
        <v>12</v>
      </c>
      <c r="G789" s="262" t="s">
        <v>32</v>
      </c>
      <c r="H789" s="260" t="s">
        <v>4136</v>
      </c>
      <c r="I789" s="260">
        <v>174</v>
      </c>
      <c r="J789" s="260"/>
      <c r="K789" s="262">
        <v>12.5</v>
      </c>
    </row>
    <row r="790" spans="1:11" ht="13">
      <c r="A790" s="272" t="s">
        <v>5413</v>
      </c>
      <c r="B790" s="260" t="s">
        <v>5428</v>
      </c>
      <c r="C790" s="260" t="s">
        <v>5425</v>
      </c>
      <c r="D790" s="262" t="s">
        <v>5429</v>
      </c>
      <c r="E790" s="262">
        <v>2022</v>
      </c>
      <c r="F790" s="263">
        <v>12</v>
      </c>
      <c r="G790" s="262" t="s">
        <v>32</v>
      </c>
      <c r="H790" s="260" t="s">
        <v>5430</v>
      </c>
      <c r="I790" s="260">
        <v>210</v>
      </c>
      <c r="J790" s="260"/>
      <c r="K790" s="262">
        <v>12</v>
      </c>
    </row>
    <row r="791" spans="1:11" ht="13">
      <c r="A791" s="272" t="s">
        <v>5413</v>
      </c>
      <c r="B791" s="260" t="s">
        <v>5431</v>
      </c>
      <c r="C791" s="260" t="s">
        <v>5425</v>
      </c>
      <c r="D791" s="262" t="s">
        <v>5432</v>
      </c>
      <c r="E791" s="262">
        <v>2022</v>
      </c>
      <c r="F791" s="263">
        <v>12</v>
      </c>
      <c r="G791" s="262" t="s">
        <v>32</v>
      </c>
      <c r="H791" s="260" t="s">
        <v>4275</v>
      </c>
      <c r="I791" s="260">
        <v>174</v>
      </c>
      <c r="J791" s="260"/>
      <c r="K791" s="262">
        <v>12.5</v>
      </c>
    </row>
    <row r="792" spans="1:11" ht="13">
      <c r="A792" s="272" t="s">
        <v>5413</v>
      </c>
      <c r="B792" s="260" t="s">
        <v>5433</v>
      </c>
      <c r="C792" s="260" t="s">
        <v>5425</v>
      </c>
      <c r="D792" s="262" t="s">
        <v>5434</v>
      </c>
      <c r="E792" s="262">
        <v>2022</v>
      </c>
      <c r="F792" s="263">
        <v>12</v>
      </c>
      <c r="G792" s="262" t="s">
        <v>32</v>
      </c>
      <c r="H792" s="260" t="s">
        <v>4134</v>
      </c>
      <c r="I792" s="260">
        <v>180</v>
      </c>
      <c r="J792" s="260"/>
      <c r="K792" s="262">
        <v>12.5</v>
      </c>
    </row>
    <row r="793" spans="1:11" ht="13">
      <c r="A793" s="272" t="s">
        <v>5413</v>
      </c>
      <c r="B793" s="260" t="s">
        <v>5435</v>
      </c>
      <c r="C793" s="260" t="s">
        <v>5436</v>
      </c>
      <c r="D793" s="262" t="s">
        <v>5437</v>
      </c>
      <c r="E793" s="262" t="s">
        <v>5</v>
      </c>
      <c r="F793" s="263">
        <v>12</v>
      </c>
      <c r="G793" s="262" t="s">
        <v>32</v>
      </c>
      <c r="H793" s="260" t="s">
        <v>4006</v>
      </c>
      <c r="I793" s="260">
        <v>204</v>
      </c>
      <c r="J793" s="260"/>
      <c r="K793" s="262">
        <v>12</v>
      </c>
    </row>
    <row r="794" spans="1:11" ht="13">
      <c r="A794" s="272" t="s">
        <v>5413</v>
      </c>
      <c r="B794" s="260" t="s">
        <v>5438</v>
      </c>
      <c r="C794" s="260" t="s">
        <v>5436</v>
      </c>
      <c r="D794" s="262" t="s">
        <v>5439</v>
      </c>
      <c r="E794" s="262">
        <v>2022</v>
      </c>
      <c r="F794" s="263">
        <v>12</v>
      </c>
      <c r="G794" s="262" t="s">
        <v>32</v>
      </c>
      <c r="H794" s="260" t="s">
        <v>4389</v>
      </c>
      <c r="I794" s="260">
        <v>180</v>
      </c>
      <c r="J794" s="260"/>
      <c r="K794" s="262">
        <v>12.2</v>
      </c>
    </row>
    <row r="795" spans="1:11" ht="13">
      <c r="A795" s="277"/>
      <c r="B795" s="277"/>
      <c r="C795" s="277"/>
      <c r="D795" s="278"/>
      <c r="E795" s="279"/>
      <c r="F795" s="280"/>
      <c r="G795" s="277"/>
      <c r="H795" s="277"/>
      <c r="I795" s="277"/>
      <c r="J795" s="277"/>
      <c r="K795" s="279"/>
    </row>
    <row r="796" spans="1:11" ht="13">
      <c r="A796" s="273" t="s">
        <v>5440</v>
      </c>
      <c r="B796" s="260" t="s">
        <v>5441</v>
      </c>
      <c r="C796" s="260" t="s">
        <v>5442</v>
      </c>
      <c r="D796" s="262" t="s">
        <v>5443</v>
      </c>
      <c r="E796" s="262" t="s">
        <v>5</v>
      </c>
      <c r="F796" s="263">
        <v>12</v>
      </c>
      <c r="G796" s="262" t="s">
        <v>32</v>
      </c>
      <c r="H796" s="260" t="s">
        <v>4690</v>
      </c>
      <c r="I796" s="260">
        <v>228</v>
      </c>
      <c r="J796" s="260"/>
      <c r="K796" s="262">
        <v>9</v>
      </c>
    </row>
    <row r="797" spans="1:11" ht="13">
      <c r="A797" s="273" t="s">
        <v>5440</v>
      </c>
      <c r="B797" s="260" t="s">
        <v>5444</v>
      </c>
      <c r="C797" s="260" t="s">
        <v>5442</v>
      </c>
      <c r="D797" s="262" t="s">
        <v>5445</v>
      </c>
      <c r="E797" s="262" t="s">
        <v>5</v>
      </c>
      <c r="F797" s="263">
        <v>12</v>
      </c>
      <c r="G797" s="262" t="s">
        <v>32</v>
      </c>
      <c r="H797" s="260" t="s">
        <v>5446</v>
      </c>
      <c r="I797" s="260">
        <v>186</v>
      </c>
      <c r="J797" s="260"/>
      <c r="K797" s="262">
        <v>12</v>
      </c>
    </row>
    <row r="798" spans="1:11" ht="13">
      <c r="A798" s="273" t="s">
        <v>5440</v>
      </c>
      <c r="B798" s="260" t="s">
        <v>5447</v>
      </c>
      <c r="C798" s="260" t="s">
        <v>5442</v>
      </c>
      <c r="D798" s="261" t="s">
        <v>5448</v>
      </c>
      <c r="E798" s="262" t="s">
        <v>5</v>
      </c>
      <c r="F798" s="263">
        <v>12</v>
      </c>
      <c r="G798" s="260" t="s">
        <v>32</v>
      </c>
      <c r="H798" s="260" t="s">
        <v>4364</v>
      </c>
      <c r="I798" s="260">
        <v>186</v>
      </c>
      <c r="J798" s="260"/>
      <c r="K798" s="262">
        <v>9</v>
      </c>
    </row>
    <row r="799" spans="1:11" ht="13">
      <c r="A799" s="273" t="s">
        <v>5440</v>
      </c>
      <c r="B799" s="260" t="s">
        <v>5449</v>
      </c>
      <c r="C799" s="260" t="s">
        <v>5442</v>
      </c>
      <c r="D799" s="262" t="s">
        <v>5450</v>
      </c>
      <c r="E799" s="262" t="s">
        <v>5</v>
      </c>
      <c r="F799" s="263">
        <v>12</v>
      </c>
      <c r="G799" s="262" t="s">
        <v>32</v>
      </c>
      <c r="H799" s="260" t="s">
        <v>4010</v>
      </c>
      <c r="I799" s="260">
        <v>222</v>
      </c>
      <c r="J799" s="260"/>
      <c r="K799" s="262">
        <v>11</v>
      </c>
    </row>
    <row r="800" spans="1:11" ht="13">
      <c r="A800" s="273" t="s">
        <v>5440</v>
      </c>
      <c r="B800" s="260" t="s">
        <v>5451</v>
      </c>
      <c r="C800" s="260" t="s">
        <v>5452</v>
      </c>
      <c r="D800" s="262" t="s">
        <v>5453</v>
      </c>
      <c r="E800" s="262">
        <v>2022</v>
      </c>
      <c r="F800" s="263">
        <v>12</v>
      </c>
      <c r="G800" s="262" t="s">
        <v>32</v>
      </c>
      <c r="H800" s="260" t="s">
        <v>3983</v>
      </c>
      <c r="I800" s="260">
        <v>264</v>
      </c>
      <c r="J800" s="260"/>
      <c r="K800" s="262">
        <v>13</v>
      </c>
    </row>
    <row r="801" spans="1:11" ht="13">
      <c r="A801" s="273" t="s">
        <v>5440</v>
      </c>
      <c r="B801" s="260" t="s">
        <v>5454</v>
      </c>
      <c r="C801" s="260" t="s">
        <v>5452</v>
      </c>
      <c r="D801" s="262" t="s">
        <v>5455</v>
      </c>
      <c r="E801" s="262">
        <v>2022</v>
      </c>
      <c r="F801" s="263">
        <v>12</v>
      </c>
      <c r="G801" s="262" t="s">
        <v>32</v>
      </c>
      <c r="H801" s="260" t="s">
        <v>4183</v>
      </c>
      <c r="I801" s="260">
        <v>180</v>
      </c>
      <c r="J801" s="260"/>
      <c r="K801" s="262">
        <v>13</v>
      </c>
    </row>
    <row r="802" spans="1:11" ht="13">
      <c r="A802" s="273" t="s">
        <v>5440</v>
      </c>
      <c r="B802" s="260" t="s">
        <v>5456</v>
      </c>
      <c r="C802" s="260" t="s">
        <v>5452</v>
      </c>
      <c r="D802" s="262" t="s">
        <v>5457</v>
      </c>
      <c r="E802" s="262" t="s">
        <v>5</v>
      </c>
      <c r="F802" s="263">
        <v>24</v>
      </c>
      <c r="G802" s="262" t="s">
        <v>5458</v>
      </c>
      <c r="H802" s="260" t="s">
        <v>4990</v>
      </c>
      <c r="I802" s="260">
        <v>132</v>
      </c>
      <c r="J802" s="260"/>
      <c r="K802" s="262">
        <v>7</v>
      </c>
    </row>
    <row r="803" spans="1:11" ht="13">
      <c r="A803" s="273" t="s">
        <v>5440</v>
      </c>
      <c r="B803" s="260" t="s">
        <v>5459</v>
      </c>
      <c r="C803" s="260" t="s">
        <v>5460</v>
      </c>
      <c r="D803" s="262" t="s">
        <v>5461</v>
      </c>
      <c r="E803" s="262" t="s">
        <v>5</v>
      </c>
      <c r="F803" s="263">
        <v>24</v>
      </c>
      <c r="G803" s="262" t="s">
        <v>3829</v>
      </c>
      <c r="H803" s="260" t="s">
        <v>5462</v>
      </c>
      <c r="I803" s="260">
        <v>228</v>
      </c>
      <c r="J803" s="260"/>
      <c r="K803" s="262">
        <v>9.5</v>
      </c>
    </row>
    <row r="804" spans="1:11" ht="13">
      <c r="A804" s="277"/>
      <c r="B804" s="277"/>
      <c r="C804" s="277"/>
      <c r="D804" s="278"/>
      <c r="E804" s="279"/>
      <c r="F804" s="280"/>
      <c r="G804" s="277"/>
      <c r="H804" s="277"/>
      <c r="I804" s="277"/>
      <c r="J804" s="277"/>
      <c r="K804" s="279"/>
    </row>
    <row r="805" spans="1:11" ht="13">
      <c r="A805" s="274" t="s">
        <v>5463</v>
      </c>
      <c r="B805" s="260" t="s">
        <v>5464</v>
      </c>
      <c r="C805" s="260" t="s">
        <v>5465</v>
      </c>
      <c r="D805" s="262" t="s">
        <v>5466</v>
      </c>
      <c r="E805" s="262" t="s">
        <v>5</v>
      </c>
      <c r="F805" s="263">
        <v>24</v>
      </c>
      <c r="G805" s="262" t="s">
        <v>5458</v>
      </c>
      <c r="H805" s="260" t="s">
        <v>4246</v>
      </c>
      <c r="I805" s="260">
        <v>0</v>
      </c>
      <c r="J805" s="260"/>
      <c r="K805" s="262">
        <v>6.5</v>
      </c>
    </row>
    <row r="806" spans="1:11" ht="13">
      <c r="A806" s="274" t="s">
        <v>5463</v>
      </c>
      <c r="B806" s="260" t="s">
        <v>5467</v>
      </c>
      <c r="C806" s="260" t="s">
        <v>5465</v>
      </c>
      <c r="D806" s="262" t="s">
        <v>5468</v>
      </c>
      <c r="E806" s="262">
        <v>2024</v>
      </c>
      <c r="F806" s="263">
        <v>12</v>
      </c>
      <c r="G806" s="262" t="s">
        <v>32</v>
      </c>
      <c r="H806" s="260" t="s">
        <v>5469</v>
      </c>
      <c r="I806" s="260">
        <v>174</v>
      </c>
      <c r="J806" s="260"/>
      <c r="K806" s="262">
        <v>11</v>
      </c>
    </row>
    <row r="807" spans="1:11" ht="13">
      <c r="A807" s="274" t="s">
        <v>5463</v>
      </c>
      <c r="B807" s="260" t="s">
        <v>5470</v>
      </c>
      <c r="C807" s="260" t="s">
        <v>5465</v>
      </c>
      <c r="D807" s="262" t="s">
        <v>5471</v>
      </c>
      <c r="E807" s="262">
        <v>2024</v>
      </c>
      <c r="F807" s="263">
        <v>12</v>
      </c>
      <c r="G807" s="262" t="s">
        <v>32</v>
      </c>
      <c r="H807" s="260" t="s">
        <v>5472</v>
      </c>
      <c r="I807" s="260">
        <v>192</v>
      </c>
      <c r="J807" s="260"/>
      <c r="K807" s="262">
        <v>11</v>
      </c>
    </row>
    <row r="808" spans="1:11" ht="13">
      <c r="A808" s="274" t="s">
        <v>5463</v>
      </c>
      <c r="B808" s="260" t="s">
        <v>5473</v>
      </c>
      <c r="C808" s="260" t="s">
        <v>5465</v>
      </c>
      <c r="D808" s="262" t="s">
        <v>5474</v>
      </c>
      <c r="E808" s="262">
        <v>2023</v>
      </c>
      <c r="F808" s="263">
        <v>12</v>
      </c>
      <c r="G808" s="262" t="s">
        <v>32</v>
      </c>
      <c r="H808" s="260" t="s">
        <v>4044</v>
      </c>
      <c r="I808" s="260">
        <v>216</v>
      </c>
      <c r="J808" s="260"/>
      <c r="K808" s="262">
        <v>13.6</v>
      </c>
    </row>
    <row r="809" spans="1:11" ht="13">
      <c r="A809" s="274" t="s">
        <v>5463</v>
      </c>
      <c r="B809" s="260" t="s">
        <v>5475</v>
      </c>
      <c r="C809" s="260" t="s">
        <v>5465</v>
      </c>
      <c r="D809" s="262" t="s">
        <v>5476</v>
      </c>
      <c r="E809" s="262">
        <v>2024</v>
      </c>
      <c r="F809" s="263">
        <v>12</v>
      </c>
      <c r="G809" s="262" t="s">
        <v>32</v>
      </c>
      <c r="H809" s="260" t="s">
        <v>5477</v>
      </c>
      <c r="I809" s="260">
        <v>168</v>
      </c>
      <c r="J809" s="260"/>
      <c r="K809" s="262">
        <v>9.4</v>
      </c>
    </row>
    <row r="810" spans="1:11" ht="13">
      <c r="A810" s="274" t="s">
        <v>5463</v>
      </c>
      <c r="B810" s="260" t="s">
        <v>5478</v>
      </c>
      <c r="C810" s="260" t="s">
        <v>5465</v>
      </c>
      <c r="D810" s="261" t="s">
        <v>5479</v>
      </c>
      <c r="E810" s="262">
        <v>2023</v>
      </c>
      <c r="F810" s="263">
        <v>12</v>
      </c>
      <c r="G810" s="260" t="s">
        <v>32</v>
      </c>
      <c r="H810" s="260" t="s">
        <v>4275</v>
      </c>
      <c r="I810" s="260">
        <v>228</v>
      </c>
      <c r="J810" s="260"/>
      <c r="K810" s="262">
        <v>13.3</v>
      </c>
    </row>
    <row r="811" spans="1:11" ht="13">
      <c r="A811" s="274" t="s">
        <v>5463</v>
      </c>
      <c r="B811" s="260" t="s">
        <v>5480</v>
      </c>
      <c r="C811" s="260" t="s">
        <v>5465</v>
      </c>
      <c r="D811" s="262" t="s">
        <v>5481</v>
      </c>
      <c r="E811" s="262">
        <v>2023</v>
      </c>
      <c r="F811" s="263">
        <v>12</v>
      </c>
      <c r="G811" s="262" t="s">
        <v>32</v>
      </c>
      <c r="H811" s="260" t="s">
        <v>5482</v>
      </c>
      <c r="I811" s="260">
        <v>228</v>
      </c>
      <c r="J811" s="260"/>
      <c r="K811" s="262">
        <v>14.7</v>
      </c>
    </row>
    <row r="812" spans="1:11" ht="13">
      <c r="A812" s="274" t="s">
        <v>5463</v>
      </c>
      <c r="B812" s="260" t="s">
        <v>5483</v>
      </c>
      <c r="C812" s="260" t="s">
        <v>5484</v>
      </c>
      <c r="D812" s="262" t="s">
        <v>5485</v>
      </c>
      <c r="E812" s="262">
        <v>2021</v>
      </c>
      <c r="F812" s="263">
        <v>12</v>
      </c>
      <c r="G812" s="262" t="s">
        <v>32</v>
      </c>
      <c r="H812" s="260" t="s">
        <v>4002</v>
      </c>
      <c r="I812" s="260">
        <v>198</v>
      </c>
      <c r="J812" s="260"/>
      <c r="K812" s="262">
        <v>13</v>
      </c>
    </row>
    <row r="813" spans="1:11" ht="13">
      <c r="A813" s="274" t="s">
        <v>5463</v>
      </c>
      <c r="B813" s="260" t="s">
        <v>5486</v>
      </c>
      <c r="C813" s="260" t="s">
        <v>5484</v>
      </c>
      <c r="D813" s="262" t="s">
        <v>5487</v>
      </c>
      <c r="E813" s="262">
        <v>2024</v>
      </c>
      <c r="F813" s="263">
        <v>12</v>
      </c>
      <c r="G813" s="262" t="s">
        <v>32</v>
      </c>
      <c r="H813" s="260" t="s">
        <v>5488</v>
      </c>
      <c r="I813" s="260">
        <v>192</v>
      </c>
      <c r="J813" s="260"/>
      <c r="K813" s="262">
        <v>11.8</v>
      </c>
    </row>
    <row r="814" spans="1:11" ht="13">
      <c r="A814" s="274" t="s">
        <v>5463</v>
      </c>
      <c r="B814" s="260" t="s">
        <v>5489</v>
      </c>
      <c r="C814" s="260" t="s">
        <v>5484</v>
      </c>
      <c r="D814" s="262" t="s">
        <v>5490</v>
      </c>
      <c r="E814" s="262">
        <v>2023</v>
      </c>
      <c r="F814" s="263">
        <v>12</v>
      </c>
      <c r="G814" s="262" t="s">
        <v>32</v>
      </c>
      <c r="H814" s="260" t="s">
        <v>5491</v>
      </c>
      <c r="I814" s="260">
        <v>192</v>
      </c>
      <c r="J814" s="260"/>
      <c r="K814" s="262">
        <v>11</v>
      </c>
    </row>
    <row r="815" spans="1:11" ht="13">
      <c r="A815" s="274" t="s">
        <v>5463</v>
      </c>
      <c r="B815" s="260" t="s">
        <v>5492</v>
      </c>
      <c r="C815" s="260" t="s">
        <v>5484</v>
      </c>
      <c r="D815" s="262" t="s">
        <v>5493</v>
      </c>
      <c r="E815" s="262">
        <v>2021</v>
      </c>
      <c r="F815" s="263">
        <v>12</v>
      </c>
      <c r="G815" s="262" t="s">
        <v>32</v>
      </c>
      <c r="H815" s="260" t="s">
        <v>5494</v>
      </c>
      <c r="I815" s="260">
        <v>198</v>
      </c>
      <c r="J815" s="260"/>
      <c r="K815" s="262">
        <v>13</v>
      </c>
    </row>
    <row r="816" spans="1:11" ht="13">
      <c r="A816" s="274" t="s">
        <v>5463</v>
      </c>
      <c r="B816" s="260" t="s">
        <v>5495</v>
      </c>
      <c r="C816" s="260" t="s">
        <v>5484</v>
      </c>
      <c r="D816" s="262" t="s">
        <v>5493</v>
      </c>
      <c r="E816" s="262">
        <v>2022</v>
      </c>
      <c r="F816" s="263">
        <v>12</v>
      </c>
      <c r="G816" s="262" t="s">
        <v>32</v>
      </c>
      <c r="H816" s="260" t="s">
        <v>3993</v>
      </c>
      <c r="I816" s="260">
        <v>216</v>
      </c>
      <c r="J816" s="260"/>
      <c r="K816" s="262">
        <v>13</v>
      </c>
    </row>
    <row r="817" spans="1:11" ht="30">
      <c r="A817" s="738" t="s">
        <v>5496</v>
      </c>
      <c r="B817" s="725"/>
      <c r="C817" s="725"/>
      <c r="D817" s="725"/>
      <c r="E817" s="725"/>
      <c r="F817" s="725"/>
      <c r="G817" s="725"/>
      <c r="H817" s="725"/>
      <c r="I817" s="725"/>
      <c r="J817" s="725"/>
      <c r="K817" s="725"/>
    </row>
    <row r="818" spans="1:11" ht="13">
      <c r="A818" s="281" t="s">
        <v>3952</v>
      </c>
      <c r="B818" s="281" t="s">
        <v>3953</v>
      </c>
      <c r="C818" s="281" t="s">
        <v>3954</v>
      </c>
      <c r="D818" s="281" t="s">
        <v>3955</v>
      </c>
      <c r="E818" s="282" t="s">
        <v>3956</v>
      </c>
      <c r="F818" s="283" t="s">
        <v>3957</v>
      </c>
      <c r="G818" s="281" t="s">
        <v>5497</v>
      </c>
      <c r="H818" s="281" t="s">
        <v>3959</v>
      </c>
      <c r="I818" s="281" t="s">
        <v>3960</v>
      </c>
      <c r="J818" s="281" t="s">
        <v>3961</v>
      </c>
      <c r="K818" s="282" t="s">
        <v>3962</v>
      </c>
    </row>
    <row r="819" spans="1:11" ht="13">
      <c r="A819" s="259" t="s">
        <v>3971</v>
      </c>
      <c r="B819" s="262" t="s">
        <v>5498</v>
      </c>
      <c r="C819" s="262" t="s">
        <v>3987</v>
      </c>
      <c r="D819" s="261" t="s">
        <v>5499</v>
      </c>
      <c r="E819" s="262" t="s">
        <v>5</v>
      </c>
      <c r="F819" s="263">
        <v>6</v>
      </c>
      <c r="G819" s="262" t="s">
        <v>32</v>
      </c>
      <c r="H819" s="262" t="s">
        <v>5500</v>
      </c>
      <c r="I819" s="260">
        <v>150</v>
      </c>
      <c r="J819" s="260"/>
      <c r="K819" s="262">
        <v>18.2</v>
      </c>
    </row>
    <row r="820" spans="1:11" ht="13">
      <c r="A820" s="259" t="s">
        <v>3971</v>
      </c>
      <c r="B820" s="262" t="s">
        <v>5501</v>
      </c>
      <c r="C820" s="262" t="s">
        <v>3987</v>
      </c>
      <c r="D820" s="261" t="s">
        <v>5502</v>
      </c>
      <c r="E820" s="262" t="s">
        <v>5</v>
      </c>
      <c r="F820" s="263">
        <v>6</v>
      </c>
      <c r="G820" s="262" t="s">
        <v>32</v>
      </c>
      <c r="H820" s="262" t="s">
        <v>4598</v>
      </c>
      <c r="I820" s="260">
        <v>144</v>
      </c>
      <c r="J820" s="260"/>
      <c r="K820" s="262">
        <v>22.2</v>
      </c>
    </row>
    <row r="821" spans="1:11" ht="13">
      <c r="A821" s="259" t="s">
        <v>3971</v>
      </c>
      <c r="B821" s="262" t="s">
        <v>5503</v>
      </c>
      <c r="C821" s="262" t="s">
        <v>3987</v>
      </c>
      <c r="D821" s="261" t="s">
        <v>5504</v>
      </c>
      <c r="E821" s="262" t="s">
        <v>5</v>
      </c>
      <c r="F821" s="263">
        <v>6</v>
      </c>
      <c r="G821" s="262" t="s">
        <v>32</v>
      </c>
      <c r="H821" s="262" t="s">
        <v>5388</v>
      </c>
      <c r="I821" s="260">
        <v>138</v>
      </c>
      <c r="J821" s="260"/>
      <c r="K821" s="262">
        <v>21.9</v>
      </c>
    </row>
    <row r="822" spans="1:11" ht="13">
      <c r="A822" s="277"/>
      <c r="B822" s="277"/>
      <c r="C822" s="277"/>
      <c r="D822" s="278"/>
      <c r="E822" s="279"/>
      <c r="F822" s="280"/>
      <c r="G822" s="277"/>
      <c r="H822" s="277"/>
      <c r="I822" s="277"/>
      <c r="J822" s="277"/>
      <c r="K822" s="279"/>
    </row>
    <row r="823" spans="1:11" ht="13">
      <c r="A823" s="268" t="s">
        <v>5505</v>
      </c>
      <c r="B823" s="262" t="s">
        <v>5506</v>
      </c>
      <c r="C823" s="262" t="s">
        <v>5507</v>
      </c>
      <c r="D823" s="261" t="s">
        <v>5508</v>
      </c>
      <c r="E823" s="262" t="s">
        <v>5</v>
      </c>
      <c r="F823" s="263">
        <v>6</v>
      </c>
      <c r="G823" s="262" t="s">
        <v>32</v>
      </c>
      <c r="H823" s="262" t="s">
        <v>5270</v>
      </c>
      <c r="I823" s="260">
        <v>108</v>
      </c>
      <c r="J823" s="260"/>
      <c r="K823" s="262">
        <v>38</v>
      </c>
    </row>
    <row r="824" spans="1:11" ht="13">
      <c r="A824" s="268" t="s">
        <v>5505</v>
      </c>
      <c r="B824" s="262" t="s">
        <v>5509</v>
      </c>
      <c r="C824" s="262" t="s">
        <v>5510</v>
      </c>
      <c r="D824" s="261" t="s">
        <v>5511</v>
      </c>
      <c r="E824" s="262" t="s">
        <v>5</v>
      </c>
      <c r="F824" s="263">
        <v>6</v>
      </c>
      <c r="G824" s="262" t="s">
        <v>5100</v>
      </c>
      <c r="H824" s="262" t="s">
        <v>3999</v>
      </c>
      <c r="I824" s="260">
        <v>132</v>
      </c>
      <c r="J824" s="260"/>
      <c r="K824" s="262">
        <v>40</v>
      </c>
    </row>
    <row r="825" spans="1:11" ht="13">
      <c r="A825" s="268" t="s">
        <v>5505</v>
      </c>
      <c r="B825" s="262" t="s">
        <v>5512</v>
      </c>
      <c r="C825" s="262" t="s">
        <v>5510</v>
      </c>
      <c r="D825" s="261" t="s">
        <v>5513</v>
      </c>
      <c r="E825" s="262" t="s">
        <v>5</v>
      </c>
      <c r="F825" s="263">
        <v>6</v>
      </c>
      <c r="G825" s="262" t="s">
        <v>5100</v>
      </c>
      <c r="H825" s="262" t="s">
        <v>4076</v>
      </c>
      <c r="I825" s="260">
        <v>132</v>
      </c>
      <c r="J825" s="260"/>
      <c r="K825" s="262">
        <v>42</v>
      </c>
    </row>
    <row r="826" spans="1:11" ht="13">
      <c r="A826" s="268" t="s">
        <v>5505</v>
      </c>
      <c r="B826" s="262" t="s">
        <v>5514</v>
      </c>
      <c r="C826" s="262" t="s">
        <v>5510</v>
      </c>
      <c r="D826" s="261" t="s">
        <v>5515</v>
      </c>
      <c r="E826" s="262" t="s">
        <v>5</v>
      </c>
      <c r="F826" s="263">
        <v>6</v>
      </c>
      <c r="G826" s="262" t="s">
        <v>5100</v>
      </c>
      <c r="H826" s="262" t="s">
        <v>4015</v>
      </c>
      <c r="I826" s="260">
        <v>114</v>
      </c>
      <c r="J826" s="260"/>
      <c r="K826" s="262">
        <v>42</v>
      </c>
    </row>
    <row r="827" spans="1:11" ht="13">
      <c r="A827" s="268" t="s">
        <v>5505</v>
      </c>
      <c r="B827" s="262" t="s">
        <v>5516</v>
      </c>
      <c r="C827" s="262" t="s">
        <v>5510</v>
      </c>
      <c r="D827" s="261" t="s">
        <v>5517</v>
      </c>
      <c r="E827" s="262" t="s">
        <v>5</v>
      </c>
      <c r="F827" s="263">
        <v>6</v>
      </c>
      <c r="G827" s="262" t="s">
        <v>5100</v>
      </c>
      <c r="H827" s="262" t="s">
        <v>4227</v>
      </c>
      <c r="I827" s="260">
        <v>114</v>
      </c>
      <c r="J827" s="260"/>
      <c r="K827" s="262">
        <v>40</v>
      </c>
    </row>
    <row r="828" spans="1:11" ht="13">
      <c r="A828" s="268" t="s">
        <v>5505</v>
      </c>
      <c r="B828" s="262" t="s">
        <v>5518</v>
      </c>
      <c r="C828" s="262" t="s">
        <v>5510</v>
      </c>
      <c r="D828" s="261" t="s">
        <v>5519</v>
      </c>
      <c r="E828" s="262" t="s">
        <v>5</v>
      </c>
      <c r="F828" s="263">
        <v>6</v>
      </c>
      <c r="G828" s="262" t="s">
        <v>5100</v>
      </c>
      <c r="H828" s="262" t="s">
        <v>4156</v>
      </c>
      <c r="I828" s="260">
        <v>108</v>
      </c>
      <c r="J828" s="260"/>
      <c r="K828" s="262">
        <v>42</v>
      </c>
    </row>
    <row r="829" spans="1:11" ht="13">
      <c r="A829" s="268" t="s">
        <v>5505</v>
      </c>
      <c r="B829" s="262" t="s">
        <v>5520</v>
      </c>
      <c r="C829" s="262" t="s">
        <v>5510</v>
      </c>
      <c r="D829" s="261" t="s">
        <v>5519</v>
      </c>
      <c r="E829" s="262" t="s">
        <v>5</v>
      </c>
      <c r="F829" s="263">
        <v>6</v>
      </c>
      <c r="G829" s="262" t="s">
        <v>5100</v>
      </c>
      <c r="H829" s="262" t="s">
        <v>4428</v>
      </c>
      <c r="I829" s="260">
        <v>0</v>
      </c>
      <c r="J829" s="260"/>
      <c r="K829" s="262">
        <v>42</v>
      </c>
    </row>
    <row r="830" spans="1:11" ht="13">
      <c r="A830" s="277"/>
      <c r="B830" s="277"/>
      <c r="C830" s="277"/>
      <c r="D830" s="278"/>
      <c r="E830" s="279"/>
      <c r="F830" s="280"/>
      <c r="G830" s="277"/>
      <c r="H830" s="277"/>
      <c r="I830" s="277"/>
      <c r="J830" s="277"/>
      <c r="K830" s="279"/>
    </row>
    <row r="831" spans="1:11" ht="13">
      <c r="A831" s="269" t="s">
        <v>4160</v>
      </c>
      <c r="B831" s="262" t="s">
        <v>5521</v>
      </c>
      <c r="C831" s="262" t="s">
        <v>5522</v>
      </c>
      <c r="D831" s="261" t="s">
        <v>5523</v>
      </c>
      <c r="E831" s="262" t="s">
        <v>5</v>
      </c>
      <c r="F831" s="263">
        <v>6</v>
      </c>
      <c r="G831" s="262" t="s">
        <v>5401</v>
      </c>
      <c r="H831" s="262" t="s">
        <v>5524</v>
      </c>
      <c r="I831" s="260">
        <v>152.78</v>
      </c>
      <c r="J831" s="260"/>
      <c r="K831" s="262">
        <v>41</v>
      </c>
    </row>
    <row r="832" spans="1:11" ht="13">
      <c r="A832" s="269" t="s">
        <v>4160</v>
      </c>
      <c r="B832" s="262" t="s">
        <v>5525</v>
      </c>
      <c r="C832" s="262" t="s">
        <v>5526</v>
      </c>
      <c r="D832" s="261" t="s">
        <v>5527</v>
      </c>
      <c r="E832" s="262" t="s">
        <v>5</v>
      </c>
      <c r="F832" s="263">
        <v>6</v>
      </c>
      <c r="G832" s="262" t="s">
        <v>32</v>
      </c>
      <c r="H832" s="262" t="s">
        <v>5399</v>
      </c>
      <c r="I832" s="260">
        <v>98.78</v>
      </c>
      <c r="J832" s="260"/>
      <c r="K832" s="262">
        <v>42</v>
      </c>
    </row>
    <row r="833" spans="1:11" ht="13">
      <c r="A833" s="269" t="s">
        <v>4160</v>
      </c>
      <c r="B833" s="262" t="s">
        <v>5528</v>
      </c>
      <c r="C833" s="262" t="s">
        <v>5526</v>
      </c>
      <c r="D833" s="261" t="s">
        <v>5529</v>
      </c>
      <c r="E833" s="262" t="s">
        <v>5</v>
      </c>
      <c r="F833" s="263">
        <v>6</v>
      </c>
      <c r="G833" s="262" t="s">
        <v>32</v>
      </c>
      <c r="H833" s="262" t="s">
        <v>4213</v>
      </c>
      <c r="I833" s="260">
        <v>112.28</v>
      </c>
      <c r="J833" s="260"/>
      <c r="K833" s="262">
        <v>28</v>
      </c>
    </row>
    <row r="834" spans="1:11" ht="13">
      <c r="A834" s="269" t="s">
        <v>4160</v>
      </c>
      <c r="B834" s="262" t="s">
        <v>5530</v>
      </c>
      <c r="C834" s="262" t="s">
        <v>5531</v>
      </c>
      <c r="D834" s="261" t="s">
        <v>5532</v>
      </c>
      <c r="E834" s="262" t="s">
        <v>5</v>
      </c>
      <c r="F834" s="263">
        <v>6</v>
      </c>
      <c r="G834" s="262" t="s">
        <v>32</v>
      </c>
      <c r="H834" s="262" t="s">
        <v>5533</v>
      </c>
      <c r="I834" s="260">
        <v>146.66</v>
      </c>
      <c r="J834" s="260"/>
      <c r="K834" s="262">
        <v>42</v>
      </c>
    </row>
    <row r="835" spans="1:11" ht="13">
      <c r="A835" s="269" t="s">
        <v>4160</v>
      </c>
      <c r="B835" s="262" t="s">
        <v>5534</v>
      </c>
      <c r="C835" s="262" t="s">
        <v>5531</v>
      </c>
      <c r="D835" s="261" t="s">
        <v>5535</v>
      </c>
      <c r="E835" s="262" t="s">
        <v>5</v>
      </c>
      <c r="F835" s="263">
        <v>6</v>
      </c>
      <c r="G835" s="262" t="s">
        <v>32</v>
      </c>
      <c r="H835" s="262" t="s">
        <v>5391</v>
      </c>
      <c r="I835" s="260">
        <v>134.78</v>
      </c>
      <c r="J835" s="260"/>
      <c r="K835" s="262">
        <v>42</v>
      </c>
    </row>
    <row r="836" spans="1:11" ht="13">
      <c r="A836" s="277"/>
      <c r="B836" s="277"/>
      <c r="C836" s="277"/>
      <c r="D836" s="278"/>
      <c r="E836" s="279"/>
      <c r="F836" s="280"/>
      <c r="G836" s="277"/>
      <c r="H836" s="277"/>
      <c r="I836" s="277"/>
      <c r="J836" s="277"/>
      <c r="K836" s="279"/>
    </row>
    <row r="837" spans="1:11" ht="13">
      <c r="A837" s="270" t="s">
        <v>5536</v>
      </c>
      <c r="B837" s="262" t="s">
        <v>5537</v>
      </c>
      <c r="C837" s="262" t="s">
        <v>3987</v>
      </c>
      <c r="D837" s="261" t="s">
        <v>5538</v>
      </c>
      <c r="E837" s="262" t="s">
        <v>5</v>
      </c>
      <c r="F837" s="263">
        <v>6</v>
      </c>
      <c r="G837" s="262" t="s">
        <v>32</v>
      </c>
      <c r="H837" s="262" t="s">
        <v>4547</v>
      </c>
      <c r="I837" s="260">
        <v>138</v>
      </c>
      <c r="J837" s="260"/>
      <c r="K837" s="262">
        <v>50</v>
      </c>
    </row>
    <row r="838" spans="1:11" ht="13">
      <c r="A838" s="270" t="s">
        <v>5536</v>
      </c>
      <c r="B838" s="262" t="s">
        <v>5539</v>
      </c>
      <c r="C838" s="262" t="s">
        <v>3987</v>
      </c>
      <c r="D838" s="261" t="s">
        <v>5540</v>
      </c>
      <c r="E838" s="262" t="s">
        <v>5</v>
      </c>
      <c r="F838" s="263">
        <v>6</v>
      </c>
      <c r="G838" s="262" t="s">
        <v>32</v>
      </c>
      <c r="H838" s="262" t="s">
        <v>5541</v>
      </c>
      <c r="I838" s="260">
        <v>96</v>
      </c>
      <c r="J838" s="260"/>
      <c r="K838" s="262">
        <v>50</v>
      </c>
    </row>
    <row r="839" spans="1:11" ht="13">
      <c r="A839" s="277"/>
      <c r="B839" s="277"/>
      <c r="C839" s="277"/>
      <c r="D839" s="278"/>
      <c r="E839" s="279"/>
      <c r="F839" s="280"/>
      <c r="G839" s="277"/>
      <c r="H839" s="277"/>
      <c r="I839" s="277"/>
      <c r="J839" s="277"/>
      <c r="K839" s="279"/>
    </row>
    <row r="840" spans="1:11" ht="13">
      <c r="A840" s="271" t="s">
        <v>4255</v>
      </c>
      <c r="B840" s="262" t="s">
        <v>5542</v>
      </c>
      <c r="C840" s="262" t="s">
        <v>5543</v>
      </c>
      <c r="D840" s="261" t="s">
        <v>5544</v>
      </c>
      <c r="E840" s="262" t="s">
        <v>5</v>
      </c>
      <c r="F840" s="263">
        <v>6</v>
      </c>
      <c r="G840" s="262" t="s">
        <v>5100</v>
      </c>
      <c r="H840" s="262" t="s">
        <v>5545</v>
      </c>
      <c r="I840" s="260">
        <v>120</v>
      </c>
      <c r="J840" s="260"/>
      <c r="K840" s="262">
        <v>40</v>
      </c>
    </row>
    <row r="841" spans="1:11" ht="13">
      <c r="A841" s="271" t="s">
        <v>4255</v>
      </c>
      <c r="B841" s="262" t="s">
        <v>5546</v>
      </c>
      <c r="C841" s="262" t="s">
        <v>5543</v>
      </c>
      <c r="D841" s="261" t="s">
        <v>5547</v>
      </c>
      <c r="E841" s="262" t="s">
        <v>5</v>
      </c>
      <c r="F841" s="263">
        <v>6</v>
      </c>
      <c r="G841" s="262" t="s">
        <v>5100</v>
      </c>
      <c r="H841" s="262" t="s">
        <v>5548</v>
      </c>
      <c r="I841" s="260">
        <v>120</v>
      </c>
      <c r="J841" s="260"/>
      <c r="K841" s="262">
        <v>40</v>
      </c>
    </row>
    <row r="842" spans="1:11" ht="13">
      <c r="A842" s="271" t="s">
        <v>4255</v>
      </c>
      <c r="B842" s="260" t="s">
        <v>5549</v>
      </c>
      <c r="C842" s="260" t="s">
        <v>5550</v>
      </c>
      <c r="D842" s="261" t="s">
        <v>5551</v>
      </c>
      <c r="E842" s="262" t="s">
        <v>5</v>
      </c>
      <c r="F842" s="263">
        <v>6</v>
      </c>
      <c r="G842" s="260" t="s">
        <v>564</v>
      </c>
      <c r="H842" s="260" t="s">
        <v>4183</v>
      </c>
      <c r="I842" s="260">
        <v>170.22</v>
      </c>
      <c r="J842" s="260"/>
      <c r="K842" s="262">
        <v>30</v>
      </c>
    </row>
    <row r="843" spans="1:11" ht="13">
      <c r="A843" s="271" t="s">
        <v>4255</v>
      </c>
      <c r="B843" s="262" t="s">
        <v>5552</v>
      </c>
      <c r="C843" s="262" t="s">
        <v>5553</v>
      </c>
      <c r="D843" s="261" t="s">
        <v>5554</v>
      </c>
      <c r="E843" s="262" t="s">
        <v>5</v>
      </c>
      <c r="F843" s="263">
        <v>6</v>
      </c>
      <c r="G843" s="262" t="s">
        <v>5100</v>
      </c>
      <c r="H843" s="262" t="s">
        <v>5555</v>
      </c>
      <c r="I843" s="260">
        <v>210</v>
      </c>
      <c r="J843" s="260"/>
      <c r="K843" s="262">
        <v>45</v>
      </c>
    </row>
    <row r="844" spans="1:11" ht="13">
      <c r="A844" s="271" t="s">
        <v>4255</v>
      </c>
      <c r="B844" s="262" t="s">
        <v>5556</v>
      </c>
      <c r="C844" s="262" t="s">
        <v>5553</v>
      </c>
      <c r="D844" s="261" t="s">
        <v>5557</v>
      </c>
      <c r="E844" s="262" t="s">
        <v>5</v>
      </c>
      <c r="F844" s="263">
        <v>6</v>
      </c>
      <c r="G844" s="262" t="s">
        <v>5100</v>
      </c>
      <c r="H844" s="262" t="s">
        <v>5446</v>
      </c>
      <c r="I844" s="260">
        <v>186</v>
      </c>
      <c r="J844" s="260"/>
      <c r="K844" s="262">
        <v>45</v>
      </c>
    </row>
    <row r="845" spans="1:11" ht="13">
      <c r="A845" s="277"/>
      <c r="B845" s="277"/>
      <c r="C845" s="277"/>
      <c r="D845" s="278"/>
      <c r="E845" s="279"/>
      <c r="F845" s="280"/>
      <c r="G845" s="277"/>
      <c r="H845" s="277"/>
      <c r="I845" s="277"/>
      <c r="J845" s="277"/>
      <c r="K845" s="279"/>
    </row>
    <row r="846" spans="1:11" ht="13">
      <c r="A846" s="272" t="s">
        <v>4887</v>
      </c>
      <c r="B846" s="262" t="s">
        <v>5558</v>
      </c>
      <c r="C846" s="262" t="s">
        <v>3987</v>
      </c>
      <c r="D846" s="261" t="s">
        <v>5559</v>
      </c>
      <c r="E846" s="262" t="s">
        <v>5</v>
      </c>
      <c r="F846" s="263">
        <v>6</v>
      </c>
      <c r="G846" s="262" t="s">
        <v>32</v>
      </c>
      <c r="H846" s="262" t="s">
        <v>5560</v>
      </c>
      <c r="I846" s="260">
        <v>132</v>
      </c>
      <c r="J846" s="260"/>
      <c r="K846" s="262">
        <v>43</v>
      </c>
    </row>
    <row r="847" spans="1:11" ht="13">
      <c r="A847" s="272" t="s">
        <v>4887</v>
      </c>
      <c r="B847" s="262" t="s">
        <v>5561</v>
      </c>
      <c r="C847" s="262" t="s">
        <v>3987</v>
      </c>
      <c r="D847" s="261" t="s">
        <v>5562</v>
      </c>
      <c r="E847" s="262" t="s">
        <v>5</v>
      </c>
      <c r="F847" s="263">
        <v>6</v>
      </c>
      <c r="G847" s="262" t="s">
        <v>32</v>
      </c>
      <c r="H847" s="262" t="s">
        <v>4189</v>
      </c>
      <c r="I847" s="260">
        <v>141</v>
      </c>
      <c r="J847" s="260"/>
      <c r="K847" s="262">
        <v>41.5</v>
      </c>
    </row>
    <row r="848" spans="1:11" ht="13">
      <c r="A848" s="272" t="s">
        <v>4887</v>
      </c>
      <c r="B848" s="262" t="s">
        <v>5563</v>
      </c>
      <c r="C848" s="262" t="s">
        <v>3987</v>
      </c>
      <c r="D848" s="261" t="s">
        <v>5564</v>
      </c>
      <c r="E848" s="262" t="s">
        <v>5</v>
      </c>
      <c r="F848" s="263">
        <v>6</v>
      </c>
      <c r="G848" s="262" t="s">
        <v>32</v>
      </c>
      <c r="H848" s="262" t="s">
        <v>5319</v>
      </c>
      <c r="I848" s="260">
        <v>129</v>
      </c>
      <c r="J848" s="260"/>
      <c r="K848" s="262">
        <v>19.399999999999999</v>
      </c>
    </row>
    <row r="849" spans="1:11" ht="13">
      <c r="A849" s="272" t="s">
        <v>4887</v>
      </c>
      <c r="B849" s="262" t="s">
        <v>5565</v>
      </c>
      <c r="C849" s="262" t="s">
        <v>3987</v>
      </c>
      <c r="D849" s="261" t="s">
        <v>5566</v>
      </c>
      <c r="E849" s="262" t="s">
        <v>5</v>
      </c>
      <c r="F849" s="263">
        <v>6</v>
      </c>
      <c r="G849" s="262" t="s">
        <v>32</v>
      </c>
      <c r="H849" s="262" t="s">
        <v>5172</v>
      </c>
      <c r="I849" s="260">
        <v>186</v>
      </c>
      <c r="J849" s="260"/>
      <c r="K849" s="262">
        <v>48.2</v>
      </c>
    </row>
    <row r="850" spans="1:11" ht="13">
      <c r="A850" s="277"/>
      <c r="B850" s="277"/>
      <c r="C850" s="277"/>
      <c r="D850" s="278"/>
      <c r="E850" s="279"/>
      <c r="F850" s="280"/>
      <c r="G850" s="277"/>
      <c r="H850" s="277"/>
      <c r="I850" s="277"/>
      <c r="J850" s="277"/>
      <c r="K850" s="279"/>
    </row>
    <row r="851" spans="1:11" ht="13">
      <c r="A851" s="273" t="s">
        <v>5087</v>
      </c>
      <c r="B851" s="260" t="s">
        <v>5567</v>
      </c>
      <c r="C851" s="260" t="s">
        <v>5568</v>
      </c>
      <c r="D851" s="261" t="s">
        <v>5569</v>
      </c>
      <c r="E851" s="262" t="s">
        <v>5</v>
      </c>
      <c r="F851" s="263">
        <v>15</v>
      </c>
      <c r="G851" s="260" t="s">
        <v>32</v>
      </c>
      <c r="H851" s="260" t="s">
        <v>5570</v>
      </c>
      <c r="I851" s="260">
        <v>697.5</v>
      </c>
      <c r="J851" s="260"/>
      <c r="K851" s="262">
        <v>30</v>
      </c>
    </row>
    <row r="852" spans="1:11" ht="13">
      <c r="A852" s="277"/>
      <c r="B852" s="277"/>
      <c r="C852" s="277"/>
      <c r="D852" s="278"/>
      <c r="E852" s="279"/>
      <c r="F852" s="280"/>
      <c r="G852" s="277"/>
      <c r="H852" s="277"/>
      <c r="I852" s="277"/>
      <c r="J852" s="277"/>
      <c r="K852" s="279"/>
    </row>
    <row r="853" spans="1:11" ht="13">
      <c r="A853" s="274" t="s">
        <v>5571</v>
      </c>
      <c r="B853" s="262" t="s">
        <v>5572</v>
      </c>
      <c r="C853" s="262" t="s">
        <v>5573</v>
      </c>
      <c r="D853" s="261" t="s">
        <v>5574</v>
      </c>
      <c r="E853" s="262" t="s">
        <v>5</v>
      </c>
      <c r="F853" s="263">
        <v>12</v>
      </c>
      <c r="G853" s="262" t="s">
        <v>32</v>
      </c>
      <c r="H853" s="262" t="s">
        <v>5575</v>
      </c>
      <c r="I853" s="260">
        <v>216</v>
      </c>
      <c r="J853" s="260"/>
      <c r="K853" s="262">
        <v>40</v>
      </c>
    </row>
    <row r="854" spans="1:11" ht="13">
      <c r="A854" s="277"/>
      <c r="B854" s="277"/>
      <c r="C854" s="277"/>
      <c r="D854" s="278"/>
      <c r="E854" s="279"/>
      <c r="F854" s="280"/>
      <c r="G854" s="277"/>
      <c r="H854" s="277"/>
      <c r="I854" s="277"/>
      <c r="J854" s="277"/>
      <c r="K854" s="279"/>
    </row>
    <row r="855" spans="1:11" ht="13">
      <c r="A855" s="275" t="s">
        <v>5092</v>
      </c>
      <c r="B855" s="262" t="s">
        <v>5576</v>
      </c>
      <c r="C855" s="262" t="s">
        <v>5577</v>
      </c>
      <c r="D855" s="261" t="s">
        <v>5578</v>
      </c>
      <c r="E855" s="262" t="s">
        <v>5</v>
      </c>
      <c r="F855" s="263">
        <v>12</v>
      </c>
      <c r="G855" s="262" t="s">
        <v>32</v>
      </c>
      <c r="H855" s="262" t="s">
        <v>4482</v>
      </c>
      <c r="I855" s="260">
        <v>534</v>
      </c>
      <c r="J855" s="260"/>
      <c r="K855" s="262">
        <v>45</v>
      </c>
    </row>
    <row r="856" spans="1:11" ht="13">
      <c r="A856" s="275" t="s">
        <v>5092</v>
      </c>
      <c r="B856" s="260" t="s">
        <v>5579</v>
      </c>
      <c r="C856" s="260" t="s">
        <v>5577</v>
      </c>
      <c r="D856" s="261" t="s">
        <v>5580</v>
      </c>
      <c r="E856" s="262" t="s">
        <v>5</v>
      </c>
      <c r="F856" s="263">
        <v>12</v>
      </c>
      <c r="G856" s="260" t="s">
        <v>32</v>
      </c>
      <c r="H856" s="260" t="s">
        <v>5581</v>
      </c>
      <c r="I856" s="260">
        <v>366</v>
      </c>
      <c r="J856" s="260"/>
      <c r="K856" s="262">
        <v>45</v>
      </c>
    </row>
    <row r="857" spans="1:11" ht="13">
      <c r="A857" s="275" t="s">
        <v>5092</v>
      </c>
      <c r="B857" s="260" t="s">
        <v>5582</v>
      </c>
      <c r="C857" s="260" t="s">
        <v>5583</v>
      </c>
      <c r="D857" s="261" t="s">
        <v>5584</v>
      </c>
      <c r="E857" s="262" t="s">
        <v>5</v>
      </c>
      <c r="F857" s="263">
        <v>12</v>
      </c>
      <c r="G857" s="260" t="s">
        <v>32</v>
      </c>
      <c r="H857" s="260" t="s">
        <v>4847</v>
      </c>
      <c r="I857" s="260">
        <v>660</v>
      </c>
      <c r="J857" s="260"/>
      <c r="K857" s="262">
        <v>45</v>
      </c>
    </row>
    <row r="858" spans="1:11" ht="13">
      <c r="A858" s="275" t="s">
        <v>5092</v>
      </c>
      <c r="B858" s="260" t="s">
        <v>5585</v>
      </c>
      <c r="C858" s="260" t="s">
        <v>5586</v>
      </c>
      <c r="D858" s="261" t="s">
        <v>5587</v>
      </c>
      <c r="E858" s="262" t="s">
        <v>5</v>
      </c>
      <c r="F858" s="263">
        <v>12</v>
      </c>
      <c r="G858" s="260" t="s">
        <v>32</v>
      </c>
      <c r="H858" s="260" t="s">
        <v>4659</v>
      </c>
      <c r="I858" s="260">
        <v>0</v>
      </c>
      <c r="J858" s="260"/>
      <c r="K858" s="262">
        <v>48.3</v>
      </c>
    </row>
    <row r="859" spans="1:11" ht="13">
      <c r="A859" s="275" t="s">
        <v>5092</v>
      </c>
      <c r="B859" s="262" t="s">
        <v>5588</v>
      </c>
      <c r="C859" s="262" t="s">
        <v>5586</v>
      </c>
      <c r="D859" s="261" t="s">
        <v>5589</v>
      </c>
      <c r="E859" s="262" t="s">
        <v>5</v>
      </c>
      <c r="F859" s="263">
        <v>6</v>
      </c>
      <c r="G859" s="262" t="s">
        <v>32</v>
      </c>
      <c r="H859" s="262" t="s">
        <v>4210</v>
      </c>
      <c r="I859" s="260">
        <v>0</v>
      </c>
      <c r="J859" s="260"/>
      <c r="K859" s="262">
        <v>48.5</v>
      </c>
    </row>
    <row r="860" spans="1:11" ht="13">
      <c r="A860" s="275" t="s">
        <v>5092</v>
      </c>
      <c r="B860" s="260" t="s">
        <v>5590</v>
      </c>
      <c r="C860" s="260" t="s">
        <v>5586</v>
      </c>
      <c r="D860" s="261" t="s">
        <v>5591</v>
      </c>
      <c r="E860" s="262" t="s">
        <v>5</v>
      </c>
      <c r="F860" s="263">
        <v>6</v>
      </c>
      <c r="G860" s="260" t="s">
        <v>32</v>
      </c>
      <c r="H860" s="260" t="s">
        <v>4210</v>
      </c>
      <c r="I860" s="260">
        <v>0</v>
      </c>
      <c r="J860" s="260"/>
      <c r="K860" s="262">
        <v>48.9</v>
      </c>
    </row>
    <row r="861" spans="1:11" ht="13">
      <c r="A861" s="275" t="s">
        <v>5092</v>
      </c>
      <c r="B861" s="262" t="s">
        <v>5592</v>
      </c>
      <c r="C861" s="262" t="s">
        <v>5586</v>
      </c>
      <c r="D861" s="261" t="s">
        <v>5593</v>
      </c>
      <c r="E861" s="262" t="s">
        <v>5</v>
      </c>
      <c r="F861" s="263">
        <v>6</v>
      </c>
      <c r="G861" s="262" t="s">
        <v>32</v>
      </c>
      <c r="H861" s="262" t="s">
        <v>4403</v>
      </c>
      <c r="I861" s="260">
        <v>0</v>
      </c>
      <c r="J861" s="260"/>
      <c r="K861" s="262">
        <v>48.3</v>
      </c>
    </row>
    <row r="862" spans="1:11" ht="13">
      <c r="A862" s="275" t="s">
        <v>5092</v>
      </c>
      <c r="B862" s="262" t="s">
        <v>5594</v>
      </c>
      <c r="C862" s="262" t="s">
        <v>5595</v>
      </c>
      <c r="D862" s="261" t="s">
        <v>5596</v>
      </c>
      <c r="E862" s="262" t="s">
        <v>5</v>
      </c>
      <c r="F862" s="263">
        <v>12</v>
      </c>
      <c r="G862" s="262" t="s">
        <v>32</v>
      </c>
      <c r="H862" s="262" t="s">
        <v>4086</v>
      </c>
      <c r="I862" s="260">
        <v>336</v>
      </c>
      <c r="J862" s="260"/>
      <c r="K862" s="262">
        <v>42</v>
      </c>
    </row>
    <row r="863" spans="1:11" ht="13">
      <c r="A863" s="275" t="s">
        <v>5092</v>
      </c>
      <c r="B863" s="262" t="s">
        <v>5597</v>
      </c>
      <c r="C863" s="262" t="s">
        <v>5598</v>
      </c>
      <c r="D863" s="261" t="s">
        <v>5599</v>
      </c>
      <c r="E863" s="262" t="s">
        <v>5</v>
      </c>
      <c r="F863" s="263">
        <v>6</v>
      </c>
      <c r="G863" s="262" t="s">
        <v>32</v>
      </c>
      <c r="H863" s="262" t="s">
        <v>5303</v>
      </c>
      <c r="I863" s="260">
        <v>300</v>
      </c>
      <c r="J863" s="260"/>
      <c r="K863" s="262">
        <v>50</v>
      </c>
    </row>
    <row r="864" spans="1:11" ht="13">
      <c r="A864" s="275" t="s">
        <v>5092</v>
      </c>
      <c r="B864" s="260" t="s">
        <v>5600</v>
      </c>
      <c r="C864" s="260" t="s">
        <v>5598</v>
      </c>
      <c r="D864" s="261" t="s">
        <v>5601</v>
      </c>
      <c r="E864" s="262" t="s">
        <v>5</v>
      </c>
      <c r="F864" s="263">
        <v>6</v>
      </c>
      <c r="G864" s="260" t="s">
        <v>32</v>
      </c>
      <c r="H864" s="260" t="s">
        <v>5089</v>
      </c>
      <c r="I864" s="260">
        <v>324</v>
      </c>
      <c r="J864" s="260"/>
      <c r="K864" s="262">
        <v>50</v>
      </c>
    </row>
    <row r="865" spans="1:11" ht="13">
      <c r="A865" s="275" t="s">
        <v>5092</v>
      </c>
      <c r="B865" s="260" t="s">
        <v>5602</v>
      </c>
      <c r="C865" s="260" t="s">
        <v>5603</v>
      </c>
      <c r="D865" s="261" t="s">
        <v>5604</v>
      </c>
      <c r="E865" s="262">
        <v>2024</v>
      </c>
      <c r="F865" s="263">
        <v>6</v>
      </c>
      <c r="G865" s="260" t="s">
        <v>32</v>
      </c>
      <c r="H865" s="260" t="s">
        <v>4233</v>
      </c>
      <c r="I865" s="260">
        <v>729</v>
      </c>
      <c r="J865" s="260"/>
      <c r="K865" s="262">
        <v>45.1</v>
      </c>
    </row>
    <row r="866" spans="1:11" ht="13">
      <c r="A866" s="275" t="s">
        <v>5092</v>
      </c>
      <c r="B866" s="262" t="s">
        <v>5605</v>
      </c>
      <c r="C866" s="262" t="s">
        <v>5603</v>
      </c>
      <c r="D866" s="261" t="s">
        <v>5606</v>
      </c>
      <c r="E866" s="262">
        <v>2024</v>
      </c>
      <c r="F866" s="263">
        <v>6</v>
      </c>
      <c r="G866" s="262" t="s">
        <v>32</v>
      </c>
      <c r="H866" s="262" t="s">
        <v>4847</v>
      </c>
      <c r="I866" s="260">
        <v>729</v>
      </c>
      <c r="J866" s="260"/>
      <c r="K866" s="262">
        <v>48</v>
      </c>
    </row>
    <row r="867" spans="1:11" ht="13">
      <c r="A867" s="275" t="s">
        <v>5092</v>
      </c>
      <c r="B867" s="260" t="s">
        <v>5607</v>
      </c>
      <c r="C867" s="260" t="s">
        <v>5603</v>
      </c>
      <c r="D867" s="261" t="s">
        <v>5608</v>
      </c>
      <c r="E867" s="262">
        <v>2024</v>
      </c>
      <c r="F867" s="263">
        <v>6</v>
      </c>
      <c r="G867" s="260" t="s">
        <v>32</v>
      </c>
      <c r="H867" s="260" t="s">
        <v>4847</v>
      </c>
      <c r="I867" s="260">
        <v>498</v>
      </c>
      <c r="J867" s="260"/>
      <c r="K867" s="262">
        <v>45.1</v>
      </c>
    </row>
    <row r="868" spans="1:11" ht="13">
      <c r="A868" s="275" t="s">
        <v>5092</v>
      </c>
      <c r="B868" s="262" t="s">
        <v>5609</v>
      </c>
      <c r="C868" s="262" t="s">
        <v>5603</v>
      </c>
      <c r="D868" s="261" t="s">
        <v>5610</v>
      </c>
      <c r="E868" s="262">
        <v>2022</v>
      </c>
      <c r="F868" s="263">
        <v>12</v>
      </c>
      <c r="G868" s="262" t="s">
        <v>6</v>
      </c>
      <c r="H868" s="262" t="s">
        <v>3983</v>
      </c>
      <c r="I868" s="260">
        <v>216</v>
      </c>
      <c r="J868" s="260"/>
      <c r="K868" s="262">
        <v>45.1</v>
      </c>
    </row>
    <row r="869" spans="1:11" ht="13">
      <c r="A869" s="275" t="s">
        <v>5092</v>
      </c>
      <c r="B869" s="262" t="s">
        <v>5611</v>
      </c>
      <c r="C869" s="262" t="s">
        <v>5603</v>
      </c>
      <c r="D869" s="261" t="s">
        <v>5612</v>
      </c>
      <c r="E869" s="262">
        <v>2024</v>
      </c>
      <c r="F869" s="263">
        <v>6</v>
      </c>
      <c r="G869" s="262" t="s">
        <v>32</v>
      </c>
      <c r="H869" s="262" t="s">
        <v>4238</v>
      </c>
      <c r="I869" s="260">
        <v>528</v>
      </c>
      <c r="J869" s="260"/>
      <c r="K869" s="262">
        <v>45.1</v>
      </c>
    </row>
    <row r="870" spans="1:11" ht="13">
      <c r="A870" s="275" t="s">
        <v>5092</v>
      </c>
      <c r="B870" s="260" t="s">
        <v>5613</v>
      </c>
      <c r="C870" s="260" t="s">
        <v>5603</v>
      </c>
      <c r="D870" s="261" t="s">
        <v>5614</v>
      </c>
      <c r="E870" s="262">
        <v>2024</v>
      </c>
      <c r="F870" s="263">
        <v>6</v>
      </c>
      <c r="G870" s="260" t="s">
        <v>32</v>
      </c>
      <c r="H870" s="260" t="s">
        <v>4167</v>
      </c>
      <c r="I870" s="260">
        <v>729</v>
      </c>
      <c r="J870" s="260"/>
      <c r="K870" s="262">
        <v>48</v>
      </c>
    </row>
    <row r="871" spans="1:11" ht="13">
      <c r="A871" s="275" t="s">
        <v>5092</v>
      </c>
      <c r="B871" s="262" t="s">
        <v>5615</v>
      </c>
      <c r="C871" s="262" t="s">
        <v>5603</v>
      </c>
      <c r="D871" s="261" t="s">
        <v>5616</v>
      </c>
      <c r="E871" s="262">
        <v>2024</v>
      </c>
      <c r="F871" s="263">
        <v>6</v>
      </c>
      <c r="G871" s="262" t="s">
        <v>32</v>
      </c>
      <c r="H871" s="262" t="s">
        <v>4210</v>
      </c>
      <c r="I871" s="260">
        <v>528</v>
      </c>
      <c r="J871" s="260"/>
      <c r="K871" s="262">
        <v>48</v>
      </c>
    </row>
    <row r="872" spans="1:11" ht="13">
      <c r="A872" s="275" t="s">
        <v>5092</v>
      </c>
      <c r="B872" s="260" t="s">
        <v>5617</v>
      </c>
      <c r="C872" s="260" t="s">
        <v>5603</v>
      </c>
      <c r="D872" s="261" t="s">
        <v>5618</v>
      </c>
      <c r="E872" s="262">
        <v>2024</v>
      </c>
      <c r="F872" s="263">
        <v>6</v>
      </c>
      <c r="G872" s="260" t="s">
        <v>32</v>
      </c>
      <c r="H872" s="260" t="s">
        <v>4990</v>
      </c>
      <c r="I872" s="260">
        <v>636</v>
      </c>
      <c r="J872" s="260"/>
      <c r="K872" s="262">
        <v>48</v>
      </c>
    </row>
    <row r="873" spans="1:11" ht="13">
      <c r="A873" s="277"/>
      <c r="B873" s="277"/>
      <c r="C873" s="277"/>
      <c r="D873" s="278"/>
      <c r="E873" s="279"/>
      <c r="F873" s="280"/>
      <c r="G873" s="277"/>
      <c r="H873" s="277"/>
      <c r="I873" s="277"/>
      <c r="J873" s="277"/>
      <c r="K873" s="279"/>
    </row>
    <row r="874" spans="1:11" ht="13">
      <c r="A874" s="276" t="s">
        <v>5619</v>
      </c>
      <c r="B874" s="262" t="s">
        <v>5620</v>
      </c>
      <c r="C874" s="262" t="s">
        <v>5621</v>
      </c>
      <c r="D874" s="261" t="s">
        <v>5622</v>
      </c>
      <c r="E874" s="262">
        <v>1991</v>
      </c>
      <c r="F874" s="263">
        <v>6</v>
      </c>
      <c r="G874" s="262" t="s">
        <v>5100</v>
      </c>
      <c r="H874" s="262" t="s">
        <v>4076</v>
      </c>
      <c r="I874" s="260">
        <v>1350</v>
      </c>
      <c r="J874" s="260"/>
      <c r="K874" s="262">
        <v>52.6</v>
      </c>
    </row>
    <row r="875" spans="1:11" ht="13">
      <c r="A875" s="276" t="s">
        <v>5619</v>
      </c>
      <c r="B875" s="260" t="s">
        <v>5623</v>
      </c>
      <c r="C875" s="260" t="s">
        <v>5621</v>
      </c>
      <c r="D875" s="261" t="s">
        <v>5624</v>
      </c>
      <c r="E875" s="262">
        <v>2006</v>
      </c>
      <c r="F875" s="263">
        <v>6</v>
      </c>
      <c r="G875" s="260" t="s">
        <v>5100</v>
      </c>
      <c r="H875" s="260" t="s">
        <v>4210</v>
      </c>
      <c r="I875" s="260">
        <v>531</v>
      </c>
      <c r="J875" s="260"/>
      <c r="K875" s="262">
        <v>58.6</v>
      </c>
    </row>
    <row r="876" spans="1:11" ht="13">
      <c r="A876" s="276" t="s">
        <v>5619</v>
      </c>
      <c r="B876" s="262" t="s">
        <v>5625</v>
      </c>
      <c r="C876" s="262" t="s">
        <v>5621</v>
      </c>
      <c r="D876" s="261" t="s">
        <v>5626</v>
      </c>
      <c r="E876" s="262" t="s">
        <v>5</v>
      </c>
      <c r="F876" s="263">
        <v>6</v>
      </c>
      <c r="G876" s="262" t="s">
        <v>5100</v>
      </c>
      <c r="H876" s="262" t="s">
        <v>3966</v>
      </c>
      <c r="I876" s="260">
        <v>120</v>
      </c>
      <c r="J876" s="260"/>
      <c r="K876" s="262">
        <v>46</v>
      </c>
    </row>
    <row r="877" spans="1:11" ht="13">
      <c r="A877" s="276" t="s">
        <v>5619</v>
      </c>
      <c r="B877" s="260" t="s">
        <v>5627</v>
      </c>
      <c r="C877" s="260" t="s">
        <v>5621</v>
      </c>
      <c r="D877" s="261" t="s">
        <v>5628</v>
      </c>
      <c r="E877" s="262" t="s">
        <v>5</v>
      </c>
      <c r="F877" s="263">
        <v>6</v>
      </c>
      <c r="G877" s="260" t="s">
        <v>5100</v>
      </c>
      <c r="H877" s="260" t="s">
        <v>4008</v>
      </c>
      <c r="I877" s="260">
        <v>300</v>
      </c>
      <c r="J877" s="260"/>
      <c r="K877" s="262">
        <v>57</v>
      </c>
    </row>
    <row r="878" spans="1:11" ht="13">
      <c r="A878" s="276" t="s">
        <v>5619</v>
      </c>
      <c r="B878" s="260" t="s">
        <v>5629</v>
      </c>
      <c r="C878" s="260" t="s">
        <v>5621</v>
      </c>
      <c r="D878" s="261" t="s">
        <v>5630</v>
      </c>
      <c r="E878" s="262" t="s">
        <v>5</v>
      </c>
      <c r="F878" s="263">
        <v>6</v>
      </c>
      <c r="G878" s="260" t="s">
        <v>5100</v>
      </c>
      <c r="H878" s="260" t="s">
        <v>3966</v>
      </c>
      <c r="I878" s="260">
        <v>120</v>
      </c>
      <c r="J878" s="260"/>
      <c r="K878" s="262">
        <v>56</v>
      </c>
    </row>
    <row r="879" spans="1:11" ht="13">
      <c r="A879" s="276" t="s">
        <v>5619</v>
      </c>
      <c r="B879" s="262" t="s">
        <v>5631</v>
      </c>
      <c r="C879" s="262" t="s">
        <v>5621</v>
      </c>
      <c r="D879" s="261" t="s">
        <v>5632</v>
      </c>
      <c r="E879" s="262">
        <v>2006</v>
      </c>
      <c r="F879" s="263">
        <v>6</v>
      </c>
      <c r="G879" s="262" t="s">
        <v>5100</v>
      </c>
      <c r="H879" s="262" t="s">
        <v>4076</v>
      </c>
      <c r="I879" s="260">
        <v>702</v>
      </c>
      <c r="J879" s="260"/>
      <c r="K879" s="262">
        <v>68.099999999999994</v>
      </c>
    </row>
    <row r="880" spans="1:11" ht="13">
      <c r="A880" s="277"/>
      <c r="B880" s="277"/>
      <c r="C880" s="277"/>
      <c r="D880" s="278"/>
      <c r="E880" s="279"/>
      <c r="F880" s="280"/>
      <c r="G880" s="277"/>
      <c r="H880" s="277"/>
      <c r="I880" s="277"/>
      <c r="J880" s="277"/>
      <c r="K880" s="279"/>
    </row>
    <row r="881" spans="1:11" ht="13">
      <c r="A881" s="259" t="s">
        <v>5633</v>
      </c>
      <c r="B881" s="260" t="s">
        <v>5634</v>
      </c>
      <c r="C881" s="260" t="s">
        <v>5635</v>
      </c>
      <c r="D881" s="261" t="s">
        <v>5636</v>
      </c>
      <c r="E881" s="262" t="s">
        <v>5</v>
      </c>
      <c r="F881" s="263">
        <v>12</v>
      </c>
      <c r="G881" s="260" t="s">
        <v>4141</v>
      </c>
      <c r="H881" s="260" t="s">
        <v>5637</v>
      </c>
      <c r="I881" s="260">
        <v>299.48</v>
      </c>
      <c r="J881" s="260"/>
      <c r="K881" s="262">
        <v>47</v>
      </c>
    </row>
    <row r="882" spans="1:11" ht="30">
      <c r="A882" s="738" t="s">
        <v>5638</v>
      </c>
      <c r="B882" s="725"/>
      <c r="C882" s="725"/>
      <c r="D882" s="725"/>
      <c r="E882" s="725"/>
      <c r="F882" s="725"/>
      <c r="G882" s="725"/>
      <c r="H882" s="725"/>
      <c r="I882" s="725"/>
      <c r="J882" s="725"/>
      <c r="K882" s="725"/>
    </row>
    <row r="883" spans="1:11" ht="13">
      <c r="A883" s="281" t="s">
        <v>3952</v>
      </c>
      <c r="B883" s="281" t="s">
        <v>3953</v>
      </c>
      <c r="C883" s="281" t="s">
        <v>3954</v>
      </c>
      <c r="D883" s="281" t="s">
        <v>3955</v>
      </c>
      <c r="E883" s="282" t="s">
        <v>3956</v>
      </c>
      <c r="F883" s="283" t="s">
        <v>3957</v>
      </c>
      <c r="G883" s="281" t="s">
        <v>5497</v>
      </c>
      <c r="H883" s="281" t="s">
        <v>3959</v>
      </c>
      <c r="I883" s="281" t="s">
        <v>3960</v>
      </c>
      <c r="J883" s="284" t="s">
        <v>3961</v>
      </c>
      <c r="K883" s="282" t="s">
        <v>3962</v>
      </c>
    </row>
    <row r="884" spans="1:11" ht="13">
      <c r="A884" s="259" t="s">
        <v>5087</v>
      </c>
      <c r="B884" s="260" t="s">
        <v>5639</v>
      </c>
      <c r="C884" s="260" t="s">
        <v>5640</v>
      </c>
      <c r="D884" s="261" t="s">
        <v>5641</v>
      </c>
      <c r="E884" s="262" t="s">
        <v>5</v>
      </c>
      <c r="F884" s="263">
        <v>12</v>
      </c>
      <c r="G884" s="260" t="s">
        <v>3710</v>
      </c>
      <c r="H884" s="260" t="s">
        <v>4233</v>
      </c>
      <c r="I884" s="260">
        <v>474</v>
      </c>
      <c r="J884" s="285"/>
      <c r="K884" s="262">
        <v>17</v>
      </c>
    </row>
    <row r="885" spans="1:11" ht="13">
      <c r="A885" s="259" t="s">
        <v>5087</v>
      </c>
      <c r="B885" s="260" t="s">
        <v>5642</v>
      </c>
      <c r="C885" s="260" t="s">
        <v>5640</v>
      </c>
      <c r="D885" s="261" t="s">
        <v>5643</v>
      </c>
      <c r="E885" s="262" t="s">
        <v>5</v>
      </c>
      <c r="F885" s="263">
        <v>6</v>
      </c>
      <c r="G885" s="260" t="s">
        <v>5644</v>
      </c>
      <c r="H885" s="260" t="s">
        <v>4320</v>
      </c>
      <c r="I885" s="260">
        <v>219</v>
      </c>
      <c r="J885" s="285"/>
      <c r="K885" s="262">
        <v>17</v>
      </c>
    </row>
    <row r="886" spans="1:11" ht="13">
      <c r="A886" s="259" t="s">
        <v>5087</v>
      </c>
      <c r="B886" s="260" t="s">
        <v>5645</v>
      </c>
      <c r="C886" s="261" t="s">
        <v>5640</v>
      </c>
      <c r="D886" s="261" t="s">
        <v>5643</v>
      </c>
      <c r="E886" s="262" t="s">
        <v>5</v>
      </c>
      <c r="F886" s="263">
        <v>12</v>
      </c>
      <c r="G886" s="260" t="s">
        <v>3710</v>
      </c>
      <c r="H886" s="260" t="s">
        <v>5646</v>
      </c>
      <c r="I886" s="260">
        <v>228</v>
      </c>
      <c r="J886" s="285"/>
      <c r="K886" s="262">
        <v>17</v>
      </c>
    </row>
    <row r="887" spans="1:11" ht="13">
      <c r="A887" s="259" t="s">
        <v>5087</v>
      </c>
      <c r="B887" s="260" t="s">
        <v>5647</v>
      </c>
      <c r="C887" s="262" t="s">
        <v>5640</v>
      </c>
      <c r="D887" s="261" t="s">
        <v>5648</v>
      </c>
      <c r="E887" s="262" t="s">
        <v>5</v>
      </c>
      <c r="F887" s="263">
        <v>6</v>
      </c>
      <c r="G887" s="260" t="s">
        <v>5644</v>
      </c>
      <c r="H887" s="260" t="s">
        <v>4072</v>
      </c>
      <c r="I887" s="260">
        <v>300</v>
      </c>
      <c r="J887" s="285"/>
      <c r="K887" s="262">
        <v>18</v>
      </c>
    </row>
    <row r="888" spans="1:11" ht="13">
      <c r="A888" s="259" t="s">
        <v>5087</v>
      </c>
      <c r="B888" s="260" t="s">
        <v>5649</v>
      </c>
      <c r="C888" s="261" t="s">
        <v>5640</v>
      </c>
      <c r="D888" s="261" t="s">
        <v>5650</v>
      </c>
      <c r="E888" s="262" t="s">
        <v>5</v>
      </c>
      <c r="F888" s="263">
        <v>6</v>
      </c>
      <c r="G888" s="260" t="s">
        <v>5644</v>
      </c>
      <c r="H888" s="260" t="s">
        <v>4494</v>
      </c>
      <c r="I888" s="260">
        <v>210</v>
      </c>
      <c r="J888" s="285"/>
      <c r="K888" s="262">
        <v>18</v>
      </c>
    </row>
    <row r="889" spans="1:11" ht="13">
      <c r="A889" s="259" t="s">
        <v>5087</v>
      </c>
      <c r="B889" s="260" t="s">
        <v>5651</v>
      </c>
      <c r="C889" s="261" t="s">
        <v>5652</v>
      </c>
      <c r="D889" s="261" t="s">
        <v>5653</v>
      </c>
      <c r="E889" s="262" t="s">
        <v>5</v>
      </c>
      <c r="F889" s="263">
        <v>12</v>
      </c>
      <c r="G889" s="260" t="s">
        <v>564</v>
      </c>
      <c r="H889" s="260" t="s">
        <v>4364</v>
      </c>
      <c r="I889" s="260">
        <v>144</v>
      </c>
      <c r="J889" s="260"/>
      <c r="K889" s="262">
        <v>17</v>
      </c>
    </row>
    <row r="890" spans="1:11" ht="13">
      <c r="A890" s="259" t="s">
        <v>5087</v>
      </c>
      <c r="B890" s="260" t="s">
        <v>5654</v>
      </c>
      <c r="C890" s="261" t="s">
        <v>5655</v>
      </c>
      <c r="D890" s="261" t="s">
        <v>5656</v>
      </c>
      <c r="E890" s="262" t="s">
        <v>5</v>
      </c>
      <c r="F890" s="263">
        <v>12</v>
      </c>
      <c r="G890" s="260" t="s">
        <v>3710</v>
      </c>
      <c r="H890" s="260" t="s">
        <v>5657</v>
      </c>
      <c r="I890" s="260">
        <v>192</v>
      </c>
      <c r="J890" s="260"/>
      <c r="K890" s="262">
        <v>18</v>
      </c>
    </row>
    <row r="891" spans="1:11" ht="13">
      <c r="A891" s="259" t="s">
        <v>5087</v>
      </c>
      <c r="B891" s="260" t="s">
        <v>5658</v>
      </c>
      <c r="C891" s="260" t="s">
        <v>5655</v>
      </c>
      <c r="D891" s="261" t="s">
        <v>5659</v>
      </c>
      <c r="E891" s="262" t="s">
        <v>5</v>
      </c>
      <c r="F891" s="263">
        <v>6</v>
      </c>
      <c r="G891" s="260" t="s">
        <v>3710</v>
      </c>
      <c r="H891" s="260" t="s">
        <v>4227</v>
      </c>
      <c r="I891" s="260">
        <v>390</v>
      </c>
      <c r="J891" s="260"/>
      <c r="K891" s="262">
        <v>18</v>
      </c>
    </row>
    <row r="892" spans="1:11" ht="13">
      <c r="A892" s="259" t="s">
        <v>5087</v>
      </c>
      <c r="B892" s="260" t="s">
        <v>5660</v>
      </c>
      <c r="C892" s="260" t="s">
        <v>5655</v>
      </c>
      <c r="D892" s="261" t="s">
        <v>5661</v>
      </c>
      <c r="E892" s="262" t="s">
        <v>5</v>
      </c>
      <c r="F892" s="263">
        <v>12</v>
      </c>
      <c r="G892" s="260" t="s">
        <v>3829</v>
      </c>
      <c r="H892" s="260" t="s">
        <v>5662</v>
      </c>
      <c r="I892" s="260">
        <v>156</v>
      </c>
      <c r="J892" s="260"/>
      <c r="K892" s="262">
        <v>14</v>
      </c>
    </row>
    <row r="893" spans="1:11" ht="13">
      <c r="A893" s="259" t="s">
        <v>5087</v>
      </c>
      <c r="B893" s="260" t="s">
        <v>5663</v>
      </c>
      <c r="C893" s="260" t="s">
        <v>5655</v>
      </c>
      <c r="D893" s="261" t="s">
        <v>5661</v>
      </c>
      <c r="E893" s="262" t="s">
        <v>5</v>
      </c>
      <c r="F893" s="263">
        <v>12</v>
      </c>
      <c r="G893" s="260" t="s">
        <v>3710</v>
      </c>
      <c r="H893" s="260" t="s">
        <v>5664</v>
      </c>
      <c r="I893" s="260">
        <v>216</v>
      </c>
      <c r="J893" s="260"/>
      <c r="K893" s="262">
        <v>14</v>
      </c>
    </row>
    <row r="894" spans="1:11" ht="13">
      <c r="A894" s="259" t="s">
        <v>5087</v>
      </c>
      <c r="B894" s="260" t="s">
        <v>5665</v>
      </c>
      <c r="C894" s="260" t="s">
        <v>5655</v>
      </c>
      <c r="D894" s="261" t="s">
        <v>5666</v>
      </c>
      <c r="E894" s="262" t="s">
        <v>5</v>
      </c>
      <c r="F894" s="263">
        <v>12</v>
      </c>
      <c r="G894" s="260" t="s">
        <v>3710</v>
      </c>
      <c r="H894" s="260" t="s">
        <v>5667</v>
      </c>
      <c r="I894" s="260">
        <v>216</v>
      </c>
      <c r="J894" s="260"/>
      <c r="K894" s="262">
        <v>18</v>
      </c>
    </row>
    <row r="895" spans="1:11" ht="13">
      <c r="A895" s="259" t="s">
        <v>5087</v>
      </c>
      <c r="B895" s="260" t="s">
        <v>5668</v>
      </c>
      <c r="C895" s="260" t="s">
        <v>5669</v>
      </c>
      <c r="D895" s="261" t="s">
        <v>5670</v>
      </c>
      <c r="E895" s="262" t="s">
        <v>5</v>
      </c>
      <c r="F895" s="263">
        <v>12</v>
      </c>
      <c r="G895" s="260" t="s">
        <v>3710</v>
      </c>
      <c r="H895" s="260" t="s">
        <v>4040</v>
      </c>
      <c r="I895" s="260">
        <v>162</v>
      </c>
      <c r="J895" s="260"/>
      <c r="K895" s="262">
        <v>15</v>
      </c>
    </row>
    <row r="896" spans="1:11" ht="13">
      <c r="A896" s="259" t="s">
        <v>5087</v>
      </c>
      <c r="B896" s="260" t="s">
        <v>5671</v>
      </c>
      <c r="C896" s="260" t="s">
        <v>5672</v>
      </c>
      <c r="D896" s="261" t="s">
        <v>5673</v>
      </c>
      <c r="E896" s="262" t="s">
        <v>5</v>
      </c>
      <c r="F896" s="263">
        <v>6</v>
      </c>
      <c r="G896" s="260" t="s">
        <v>5644</v>
      </c>
      <c r="H896" s="260" t="s">
        <v>4847</v>
      </c>
      <c r="I896" s="260">
        <v>192</v>
      </c>
      <c r="J896" s="260"/>
      <c r="K896" s="262">
        <v>17</v>
      </c>
    </row>
    <row r="897" spans="1:11" ht="13">
      <c r="A897" s="259" t="s">
        <v>5087</v>
      </c>
      <c r="B897" s="260" t="s">
        <v>5674</v>
      </c>
      <c r="C897" s="260" t="s">
        <v>5672</v>
      </c>
      <c r="D897" s="261" t="s">
        <v>5675</v>
      </c>
      <c r="E897" s="262" t="s">
        <v>5</v>
      </c>
      <c r="F897" s="263">
        <v>12</v>
      </c>
      <c r="G897" s="260" t="s">
        <v>3710</v>
      </c>
      <c r="H897" s="260" t="s">
        <v>5123</v>
      </c>
      <c r="I897" s="260">
        <v>216</v>
      </c>
      <c r="J897" s="260"/>
      <c r="K897" s="262">
        <v>17</v>
      </c>
    </row>
    <row r="898" spans="1:11" ht="13">
      <c r="A898" s="259" t="s">
        <v>5087</v>
      </c>
      <c r="B898" s="260" t="s">
        <v>5676</v>
      </c>
      <c r="C898" s="260" t="s">
        <v>5672</v>
      </c>
      <c r="D898" s="261" t="s">
        <v>5677</v>
      </c>
      <c r="E898" s="262" t="s">
        <v>5</v>
      </c>
      <c r="F898" s="263">
        <v>12</v>
      </c>
      <c r="G898" s="260" t="s">
        <v>3710</v>
      </c>
      <c r="H898" s="260" t="s">
        <v>5678</v>
      </c>
      <c r="I898" s="260">
        <v>198</v>
      </c>
      <c r="J898" s="260"/>
      <c r="K898" s="262">
        <v>15</v>
      </c>
    </row>
    <row r="899" spans="1:11" ht="13">
      <c r="A899" s="259" t="s">
        <v>5087</v>
      </c>
      <c r="B899" s="260" t="s">
        <v>5679</v>
      </c>
      <c r="C899" s="260" t="s">
        <v>5672</v>
      </c>
      <c r="D899" s="261" t="s">
        <v>5680</v>
      </c>
      <c r="E899" s="262" t="s">
        <v>5</v>
      </c>
      <c r="F899" s="263">
        <v>12</v>
      </c>
      <c r="G899" s="260" t="s">
        <v>3710</v>
      </c>
      <c r="H899" s="260" t="s">
        <v>5354</v>
      </c>
      <c r="I899" s="260">
        <v>192</v>
      </c>
      <c r="J899" s="260"/>
      <c r="K899" s="262">
        <v>15</v>
      </c>
    </row>
    <row r="900" spans="1:11" ht="13">
      <c r="A900" s="259" t="s">
        <v>5087</v>
      </c>
      <c r="B900" s="260" t="s">
        <v>5681</v>
      </c>
      <c r="C900" s="261" t="s">
        <v>5682</v>
      </c>
      <c r="D900" s="261" t="s">
        <v>5683</v>
      </c>
      <c r="E900" s="262" t="s">
        <v>5</v>
      </c>
      <c r="F900" s="263">
        <v>12</v>
      </c>
      <c r="G900" s="260" t="s">
        <v>3710</v>
      </c>
      <c r="H900" s="260" t="s">
        <v>5684</v>
      </c>
      <c r="I900" s="260">
        <v>312</v>
      </c>
      <c r="J900" s="260"/>
      <c r="K900" s="262">
        <v>14.1</v>
      </c>
    </row>
    <row r="901" spans="1:11" ht="13">
      <c r="A901" s="259" t="s">
        <v>5087</v>
      </c>
      <c r="B901" s="260" t="s">
        <v>5685</v>
      </c>
      <c r="C901" s="261" t="s">
        <v>5682</v>
      </c>
      <c r="D901" s="261" t="s">
        <v>5686</v>
      </c>
      <c r="E901" s="262" t="s">
        <v>5</v>
      </c>
      <c r="F901" s="263">
        <v>12</v>
      </c>
      <c r="G901" s="260" t="s">
        <v>3710</v>
      </c>
      <c r="H901" s="260" t="s">
        <v>5687</v>
      </c>
      <c r="I901" s="260">
        <v>216</v>
      </c>
      <c r="J901" s="260"/>
      <c r="K901" s="262">
        <v>17</v>
      </c>
    </row>
    <row r="902" spans="1:11" ht="13">
      <c r="A902" s="259" t="s">
        <v>5087</v>
      </c>
      <c r="B902" s="260" t="s">
        <v>5688</v>
      </c>
      <c r="C902" s="260" t="s">
        <v>5689</v>
      </c>
      <c r="D902" s="261" t="s">
        <v>5690</v>
      </c>
      <c r="E902" s="262" t="s">
        <v>5</v>
      </c>
      <c r="F902" s="263">
        <v>12</v>
      </c>
      <c r="G902" s="260" t="s">
        <v>3710</v>
      </c>
      <c r="H902" s="260" t="s">
        <v>4702</v>
      </c>
      <c r="I902" s="260">
        <v>300</v>
      </c>
      <c r="J902" s="285"/>
      <c r="K902" s="262">
        <v>15</v>
      </c>
    </row>
    <row r="903" spans="1:11" ht="13">
      <c r="A903" s="259" t="s">
        <v>5087</v>
      </c>
      <c r="B903" s="260" t="s">
        <v>5691</v>
      </c>
      <c r="C903" s="260" t="s">
        <v>5689</v>
      </c>
      <c r="D903" s="261" t="s">
        <v>5692</v>
      </c>
      <c r="E903" s="262" t="s">
        <v>5</v>
      </c>
      <c r="F903" s="263">
        <v>12</v>
      </c>
      <c r="G903" s="260" t="s">
        <v>3710</v>
      </c>
      <c r="H903" s="260" t="s">
        <v>4367</v>
      </c>
      <c r="I903" s="260">
        <v>192</v>
      </c>
      <c r="J903" s="285"/>
      <c r="K903" s="262">
        <v>17</v>
      </c>
    </row>
    <row r="904" spans="1:11" ht="13">
      <c r="A904" s="259" t="s">
        <v>5087</v>
      </c>
      <c r="B904" s="260" t="s">
        <v>5693</v>
      </c>
      <c r="C904" s="260" t="s">
        <v>5689</v>
      </c>
      <c r="D904" s="261" t="s">
        <v>5694</v>
      </c>
      <c r="E904" s="262" t="s">
        <v>5</v>
      </c>
      <c r="F904" s="263">
        <v>12</v>
      </c>
      <c r="G904" s="260" t="s">
        <v>3710</v>
      </c>
      <c r="H904" s="260" t="s">
        <v>4250</v>
      </c>
      <c r="I904" s="260">
        <v>168</v>
      </c>
      <c r="J904" s="285"/>
      <c r="K904" s="262">
        <v>14</v>
      </c>
    </row>
    <row r="905" spans="1:11" ht="13">
      <c r="A905" s="259" t="s">
        <v>5087</v>
      </c>
      <c r="B905" s="260" t="s">
        <v>5695</v>
      </c>
      <c r="C905" s="260" t="s">
        <v>5689</v>
      </c>
      <c r="D905" s="261" t="s">
        <v>5696</v>
      </c>
      <c r="E905" s="262" t="s">
        <v>5</v>
      </c>
      <c r="F905" s="263">
        <v>30</v>
      </c>
      <c r="G905" s="260" t="s">
        <v>5697</v>
      </c>
      <c r="H905" s="260" t="s">
        <v>5698</v>
      </c>
      <c r="I905" s="260">
        <v>120</v>
      </c>
      <c r="J905" s="285"/>
      <c r="K905" s="262">
        <v>14</v>
      </c>
    </row>
    <row r="906" spans="1:11" ht="13">
      <c r="A906" s="259" t="s">
        <v>5087</v>
      </c>
      <c r="B906" s="260" t="s">
        <v>5699</v>
      </c>
      <c r="C906" s="262" t="s">
        <v>5700</v>
      </c>
      <c r="D906" s="261" t="s">
        <v>5701</v>
      </c>
      <c r="E906" s="262" t="s">
        <v>5</v>
      </c>
      <c r="F906" s="263">
        <v>10</v>
      </c>
      <c r="G906" s="260" t="s">
        <v>3710</v>
      </c>
      <c r="H906" s="260" t="s">
        <v>5061</v>
      </c>
      <c r="I906" s="260">
        <v>200</v>
      </c>
      <c r="J906" s="285"/>
      <c r="K906" s="262">
        <v>14</v>
      </c>
    </row>
    <row r="907" spans="1:11" ht="13">
      <c r="A907" s="259" t="s">
        <v>5087</v>
      </c>
      <c r="B907" s="260" t="s">
        <v>5702</v>
      </c>
      <c r="C907" s="262" t="s">
        <v>5700</v>
      </c>
      <c r="D907" s="261" t="s">
        <v>5703</v>
      </c>
      <c r="E907" s="262" t="s">
        <v>5</v>
      </c>
      <c r="F907" s="263">
        <v>6</v>
      </c>
      <c r="G907" s="260" t="s">
        <v>5644</v>
      </c>
      <c r="H907" s="260" t="s">
        <v>5704</v>
      </c>
      <c r="I907" s="260">
        <v>180</v>
      </c>
      <c r="J907" s="285"/>
      <c r="K907" s="262">
        <v>15</v>
      </c>
    </row>
    <row r="908" spans="1:11" ht="13">
      <c r="A908" s="259" t="s">
        <v>5087</v>
      </c>
      <c r="B908" s="260" t="s">
        <v>5705</v>
      </c>
      <c r="C908" s="260" t="s">
        <v>5700</v>
      </c>
      <c r="D908" s="261" t="s">
        <v>5703</v>
      </c>
      <c r="E908" s="262" t="s">
        <v>5</v>
      </c>
      <c r="F908" s="263">
        <v>10</v>
      </c>
      <c r="G908" s="260" t="s">
        <v>3710</v>
      </c>
      <c r="H908" s="260" t="s">
        <v>5706</v>
      </c>
      <c r="I908" s="260">
        <v>160</v>
      </c>
      <c r="J908" s="285"/>
      <c r="K908" s="262">
        <v>15</v>
      </c>
    </row>
    <row r="909" spans="1:11" ht="13">
      <c r="A909" s="259" t="s">
        <v>5087</v>
      </c>
      <c r="B909" s="260" t="s">
        <v>5707</v>
      </c>
      <c r="C909" s="260" t="s">
        <v>5708</v>
      </c>
      <c r="D909" s="261" t="s">
        <v>5709</v>
      </c>
      <c r="E909" s="262" t="s">
        <v>5</v>
      </c>
      <c r="F909" s="263">
        <v>6</v>
      </c>
      <c r="G909" s="260" t="s">
        <v>5644</v>
      </c>
      <c r="H909" s="260" t="s">
        <v>4217</v>
      </c>
      <c r="I909" s="260">
        <v>192</v>
      </c>
      <c r="J909" s="285"/>
      <c r="K909" s="262">
        <v>19</v>
      </c>
    </row>
    <row r="910" spans="1:11" ht="13">
      <c r="A910" s="259" t="s">
        <v>5087</v>
      </c>
      <c r="B910" s="260" t="s">
        <v>5710</v>
      </c>
      <c r="C910" s="261" t="s">
        <v>5708</v>
      </c>
      <c r="D910" s="260" t="s">
        <v>5711</v>
      </c>
      <c r="E910" s="262" t="s">
        <v>5</v>
      </c>
      <c r="F910" s="263">
        <v>12</v>
      </c>
      <c r="G910" s="260" t="s">
        <v>3710</v>
      </c>
      <c r="H910" s="260" t="s">
        <v>4723</v>
      </c>
      <c r="I910" s="260">
        <v>228</v>
      </c>
      <c r="J910" s="285"/>
      <c r="K910" s="262">
        <v>19</v>
      </c>
    </row>
    <row r="911" spans="1:11" ht="13">
      <c r="A911" s="259" t="s">
        <v>5087</v>
      </c>
      <c r="B911" s="260" t="s">
        <v>5712</v>
      </c>
      <c r="C911" s="261" t="s">
        <v>5713</v>
      </c>
      <c r="D911" s="261" t="s">
        <v>5714</v>
      </c>
      <c r="E911" s="262" t="s">
        <v>5</v>
      </c>
      <c r="F911" s="263">
        <v>12</v>
      </c>
      <c r="G911" s="260" t="s">
        <v>3710</v>
      </c>
      <c r="H911" s="260" t="s">
        <v>5715</v>
      </c>
      <c r="I911" s="260">
        <v>228</v>
      </c>
      <c r="J911" s="285"/>
      <c r="K911" s="262">
        <v>17</v>
      </c>
    </row>
    <row r="912" spans="1:11" ht="13">
      <c r="A912" s="259" t="s">
        <v>5087</v>
      </c>
      <c r="B912" s="260" t="s">
        <v>5716</v>
      </c>
      <c r="C912" s="260" t="s">
        <v>5713</v>
      </c>
      <c r="D912" s="260" t="s">
        <v>5717</v>
      </c>
      <c r="E912" s="262" t="s">
        <v>5</v>
      </c>
      <c r="F912" s="263">
        <v>6</v>
      </c>
      <c r="G912" s="260" t="s">
        <v>5644</v>
      </c>
      <c r="H912" s="260" t="s">
        <v>5718</v>
      </c>
      <c r="I912" s="260">
        <v>219</v>
      </c>
      <c r="J912" s="285"/>
      <c r="K912" s="262">
        <v>17</v>
      </c>
    </row>
    <row r="913" spans="1:11" ht="13">
      <c r="A913" s="259" t="s">
        <v>5087</v>
      </c>
      <c r="B913" s="260" t="s">
        <v>5719</v>
      </c>
      <c r="C913" s="260" t="s">
        <v>5713</v>
      </c>
      <c r="D913" s="261" t="s">
        <v>5717</v>
      </c>
      <c r="E913" s="262" t="s">
        <v>5</v>
      </c>
      <c r="F913" s="263">
        <v>12</v>
      </c>
      <c r="G913" s="260" t="s">
        <v>3710</v>
      </c>
      <c r="H913" s="260" t="s">
        <v>5720</v>
      </c>
      <c r="I913" s="260">
        <v>216</v>
      </c>
      <c r="J913" s="285"/>
      <c r="K913" s="262">
        <v>17</v>
      </c>
    </row>
  </sheetData>
  <mergeCells count="4">
    <mergeCell ref="A1:K1"/>
    <mergeCell ref="A692:K692"/>
    <mergeCell ref="A817:K817"/>
    <mergeCell ref="A882:K88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L200"/>
  <sheetViews>
    <sheetView workbookViewId="0"/>
  </sheetViews>
  <sheetFormatPr baseColWidth="10" defaultColWidth="12.6640625" defaultRowHeight="15.75" customHeight="1"/>
  <cols>
    <col min="1" max="1" width="59.1640625" customWidth="1"/>
    <col min="2" max="2" width="18.83203125" customWidth="1"/>
    <col min="3" max="3" width="18.1640625" customWidth="1"/>
    <col min="4" max="4" width="21.1640625" customWidth="1"/>
    <col min="7" max="12" width="13.6640625" customWidth="1"/>
  </cols>
  <sheetData>
    <row r="1" spans="1:12" ht="33">
      <c r="A1" s="286" t="s">
        <v>3785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</row>
    <row r="2" spans="1:12" ht="33">
      <c r="A2" s="286"/>
      <c r="B2" s="287"/>
      <c r="C2" s="287"/>
      <c r="D2" s="287"/>
      <c r="E2" s="287"/>
      <c r="F2" s="287"/>
      <c r="G2" s="287"/>
      <c r="H2" s="287"/>
      <c r="I2" s="287"/>
      <c r="J2" s="287"/>
      <c r="K2" s="287"/>
      <c r="L2" s="287"/>
    </row>
    <row r="3" spans="1:12" ht="33">
      <c r="A3" s="286"/>
      <c r="B3" s="287"/>
      <c r="C3" s="287"/>
      <c r="D3" s="287"/>
      <c r="E3" s="287"/>
      <c r="F3" s="287"/>
      <c r="G3" s="287"/>
      <c r="H3" s="287"/>
      <c r="I3" s="287"/>
      <c r="J3" s="287"/>
      <c r="K3" s="287"/>
      <c r="L3" s="287"/>
    </row>
    <row r="4" spans="1:12" ht="33">
      <c r="A4" s="286"/>
      <c r="B4" s="287"/>
      <c r="C4" s="287"/>
      <c r="D4" s="287"/>
      <c r="E4" s="287"/>
      <c r="F4" s="287"/>
      <c r="G4" s="287"/>
      <c r="H4" s="287"/>
      <c r="I4" s="287"/>
      <c r="J4" s="287"/>
      <c r="K4" s="287"/>
      <c r="L4" s="287"/>
    </row>
    <row r="5" spans="1:12" ht="33">
      <c r="A5" s="286"/>
      <c r="B5" s="287"/>
      <c r="C5" s="287"/>
      <c r="D5" s="287"/>
      <c r="E5" s="287"/>
      <c r="F5" s="287"/>
      <c r="G5" s="287"/>
      <c r="H5" s="287"/>
      <c r="I5" s="287"/>
      <c r="J5" s="287"/>
      <c r="K5" s="287"/>
      <c r="L5" s="287"/>
    </row>
    <row r="6" spans="1:12" ht="33">
      <c r="A6" s="286"/>
      <c r="B6" s="287"/>
      <c r="C6" s="287"/>
      <c r="D6" s="287"/>
      <c r="E6" s="287"/>
      <c r="F6" s="287"/>
      <c r="G6" s="287"/>
      <c r="H6" s="287"/>
      <c r="I6" s="287"/>
      <c r="J6" s="287"/>
      <c r="K6" s="287"/>
      <c r="L6" s="287"/>
    </row>
    <row r="7" spans="1:12" ht="33">
      <c r="A7" s="286"/>
      <c r="B7" s="287"/>
      <c r="C7" s="287"/>
      <c r="D7" s="287"/>
      <c r="E7" s="287"/>
      <c r="F7" s="287"/>
      <c r="G7" s="287"/>
      <c r="H7" s="287"/>
      <c r="I7" s="287"/>
      <c r="J7" s="287"/>
      <c r="K7" s="287"/>
      <c r="L7" s="287"/>
    </row>
    <row r="8" spans="1:12" ht="33">
      <c r="A8" s="286"/>
      <c r="B8" s="287"/>
      <c r="C8" s="287"/>
      <c r="D8" s="287"/>
      <c r="E8" s="287"/>
      <c r="F8" s="287"/>
      <c r="G8" s="287"/>
      <c r="H8" s="287"/>
      <c r="I8" s="287"/>
      <c r="J8" s="287"/>
      <c r="K8" s="287"/>
      <c r="L8" s="287"/>
    </row>
    <row r="9" spans="1:12" ht="33">
      <c r="A9" s="286"/>
      <c r="B9" s="287"/>
      <c r="C9" s="287"/>
      <c r="D9" s="287"/>
      <c r="E9" s="287"/>
      <c r="F9" s="287"/>
      <c r="G9" s="287"/>
      <c r="H9" s="287"/>
      <c r="I9" s="287"/>
      <c r="J9" s="287"/>
      <c r="K9" s="287"/>
      <c r="L9" s="287"/>
    </row>
    <row r="10" spans="1:12" ht="33">
      <c r="A10" s="287"/>
      <c r="B10" s="287"/>
      <c r="C10" s="287"/>
      <c r="D10" s="287"/>
      <c r="E10" s="287"/>
      <c r="F10" s="287"/>
      <c r="G10" s="287"/>
      <c r="H10" s="287"/>
      <c r="I10" s="287"/>
      <c r="J10" s="287"/>
      <c r="K10" s="287"/>
      <c r="L10" s="287"/>
    </row>
    <row r="11" spans="1:12" ht="33">
      <c r="A11" s="739" t="s">
        <v>0</v>
      </c>
      <c r="B11" s="689"/>
      <c r="C11" s="689"/>
      <c r="D11" s="689"/>
      <c r="E11" s="689"/>
      <c r="F11" s="689"/>
      <c r="G11" s="689"/>
      <c r="H11" s="689"/>
      <c r="I11" s="690"/>
      <c r="J11" s="288"/>
      <c r="K11" s="289"/>
      <c r="L11" s="289"/>
    </row>
    <row r="12" spans="1:12" ht="23">
      <c r="A12" s="740" t="s">
        <v>1893</v>
      </c>
      <c r="B12" s="689"/>
      <c r="C12" s="689"/>
      <c r="D12" s="689"/>
      <c r="E12" s="689"/>
      <c r="F12" s="689"/>
      <c r="G12" s="689"/>
      <c r="H12" s="689"/>
      <c r="I12" s="690"/>
      <c r="J12" s="290"/>
      <c r="K12" s="291"/>
      <c r="L12" s="291"/>
    </row>
    <row r="13" spans="1:12" ht="18">
      <c r="A13" s="741" t="s">
        <v>5721</v>
      </c>
      <c r="B13" s="689"/>
      <c r="C13" s="689"/>
      <c r="D13" s="689"/>
      <c r="E13" s="689"/>
      <c r="F13" s="689"/>
      <c r="G13" s="689"/>
      <c r="H13" s="689"/>
      <c r="I13" s="690"/>
      <c r="J13" s="292"/>
      <c r="K13" s="293"/>
      <c r="L13" s="293"/>
    </row>
    <row r="14" spans="1:12" ht="13" hidden="1">
      <c r="A14" s="294" t="s">
        <v>5722</v>
      </c>
      <c r="B14" s="295">
        <v>2022</v>
      </c>
      <c r="C14" s="58" t="s">
        <v>5723</v>
      </c>
      <c r="D14" s="296">
        <v>186</v>
      </c>
      <c r="E14" s="297"/>
      <c r="F14" s="298"/>
      <c r="G14" s="299"/>
      <c r="H14" s="299"/>
      <c r="I14" s="300"/>
      <c r="J14" s="300"/>
      <c r="K14" s="301"/>
      <c r="L14" s="301"/>
    </row>
    <row r="15" spans="1:12" ht="13" hidden="1">
      <c r="A15" s="302" t="s">
        <v>1875</v>
      </c>
      <c r="B15" s="303"/>
      <c r="C15" s="303"/>
      <c r="D15" s="296">
        <f>D14/12</f>
        <v>15.5</v>
      </c>
      <c r="E15" s="299"/>
      <c r="F15" s="298"/>
      <c r="G15" s="299"/>
      <c r="H15" s="299"/>
      <c r="I15" s="300"/>
      <c r="J15" s="300"/>
      <c r="K15" s="301"/>
      <c r="L15" s="301"/>
    </row>
    <row r="16" spans="1:12" ht="13" hidden="1">
      <c r="A16" s="294" t="s">
        <v>5724</v>
      </c>
      <c r="B16" s="295">
        <v>2022</v>
      </c>
      <c r="C16" s="58" t="s">
        <v>5723</v>
      </c>
      <c r="D16" s="296">
        <v>168</v>
      </c>
      <c r="E16" s="297"/>
      <c r="F16" s="298"/>
      <c r="G16" s="300"/>
      <c r="H16" s="300"/>
      <c r="I16" s="300"/>
      <c r="J16" s="300"/>
      <c r="K16" s="301"/>
      <c r="L16" s="301"/>
    </row>
    <row r="17" spans="1:12" ht="13" hidden="1">
      <c r="A17" s="302" t="s">
        <v>1875</v>
      </c>
      <c r="B17" s="303"/>
      <c r="C17" s="303"/>
      <c r="D17" s="296">
        <f>D16/12</f>
        <v>14</v>
      </c>
      <c r="E17" s="300"/>
      <c r="F17" s="298"/>
      <c r="G17" s="300"/>
      <c r="H17" s="300"/>
      <c r="I17" s="300"/>
      <c r="J17" s="300"/>
      <c r="K17" s="301"/>
      <c r="L17" s="301"/>
    </row>
    <row r="18" spans="1:12" ht="13" hidden="1">
      <c r="A18" s="304" t="s">
        <v>5725</v>
      </c>
      <c r="B18" s="295">
        <v>2022</v>
      </c>
      <c r="C18" s="58" t="s">
        <v>5723</v>
      </c>
      <c r="D18" s="296">
        <v>144</v>
      </c>
      <c r="E18" s="297"/>
      <c r="F18" s="300"/>
      <c r="G18" s="297"/>
      <c r="H18" s="297"/>
      <c r="I18" s="300"/>
      <c r="J18" s="300"/>
      <c r="K18" s="301"/>
      <c r="L18" s="301"/>
    </row>
    <row r="19" spans="1:12" ht="13" hidden="1">
      <c r="A19" s="302" t="s">
        <v>1886</v>
      </c>
      <c r="B19" s="303"/>
      <c r="C19" s="303"/>
      <c r="D19" s="296">
        <f>D18/12</f>
        <v>12</v>
      </c>
      <c r="E19" s="297"/>
      <c r="F19" s="300"/>
      <c r="G19" s="297"/>
      <c r="H19" s="297"/>
      <c r="I19" s="300"/>
      <c r="J19" s="300"/>
      <c r="K19" s="301"/>
      <c r="L19" s="301"/>
    </row>
    <row r="20" spans="1:12" ht="13" hidden="1">
      <c r="A20" s="304" t="s">
        <v>5726</v>
      </c>
      <c r="B20" s="295">
        <v>2022</v>
      </c>
      <c r="C20" s="58" t="s">
        <v>5723</v>
      </c>
      <c r="D20" s="296">
        <v>168</v>
      </c>
      <c r="E20" s="297"/>
      <c r="F20" s="300"/>
      <c r="G20" s="297"/>
      <c r="H20" s="297"/>
      <c r="I20" s="300"/>
      <c r="J20" s="300"/>
      <c r="K20" s="301"/>
      <c r="L20" s="301"/>
    </row>
    <row r="21" spans="1:12" ht="13" hidden="1">
      <c r="A21" s="302" t="s">
        <v>1889</v>
      </c>
      <c r="B21" s="303"/>
      <c r="C21" s="303"/>
      <c r="D21" s="296">
        <f>D20/12</f>
        <v>14</v>
      </c>
      <c r="E21" s="297"/>
      <c r="F21" s="300"/>
      <c r="G21" s="297"/>
      <c r="H21" s="297"/>
      <c r="I21" s="300"/>
      <c r="J21" s="300"/>
      <c r="K21" s="301"/>
      <c r="L21" s="301"/>
    </row>
    <row r="22" spans="1:12" ht="13">
      <c r="A22" s="304" t="s">
        <v>5727</v>
      </c>
      <c r="B22" s="305" t="s">
        <v>5728</v>
      </c>
      <c r="C22" s="58" t="s">
        <v>5723</v>
      </c>
      <c r="D22" s="296">
        <v>204</v>
      </c>
      <c r="E22" s="297"/>
      <c r="F22" s="300"/>
      <c r="G22" s="297"/>
      <c r="H22" s="297"/>
      <c r="I22" s="300"/>
      <c r="J22" s="300"/>
      <c r="K22" s="301"/>
      <c r="L22" s="301"/>
    </row>
    <row r="23" spans="1:12" ht="13">
      <c r="A23" s="302" t="s">
        <v>5729</v>
      </c>
      <c r="B23" s="303"/>
      <c r="C23" s="303"/>
      <c r="D23" s="296">
        <f>D22/12</f>
        <v>17</v>
      </c>
      <c r="E23" s="297"/>
      <c r="F23" s="300"/>
      <c r="G23" s="297"/>
      <c r="H23" s="297"/>
      <c r="I23" s="300"/>
      <c r="J23" s="300"/>
      <c r="K23" s="301"/>
      <c r="L23" s="301"/>
    </row>
    <row r="24" spans="1:12" ht="13" hidden="1">
      <c r="A24" s="306" t="s">
        <v>5730</v>
      </c>
      <c r="B24" s="297">
        <v>2020</v>
      </c>
      <c r="C24" s="297" t="s">
        <v>5723</v>
      </c>
      <c r="D24" s="307">
        <v>340</v>
      </c>
      <c r="E24" s="297"/>
      <c r="F24" s="299"/>
      <c r="G24" s="297"/>
      <c r="H24" s="297"/>
      <c r="I24" s="297"/>
      <c r="J24" s="297"/>
      <c r="K24" s="308"/>
      <c r="L24" s="308"/>
    </row>
    <row r="25" spans="1:12" ht="13" hidden="1">
      <c r="A25" s="309" t="s">
        <v>155</v>
      </c>
      <c r="B25" s="299"/>
      <c r="C25" s="297"/>
      <c r="D25" s="307">
        <f>D24/12</f>
        <v>28.333333333333332</v>
      </c>
      <c r="E25" s="297"/>
      <c r="F25" s="299"/>
      <c r="G25" s="297"/>
      <c r="H25" s="297"/>
      <c r="I25" s="297"/>
      <c r="J25" s="297"/>
      <c r="K25" s="308"/>
      <c r="L25" s="308"/>
    </row>
    <row r="26" spans="1:12" ht="13" hidden="1">
      <c r="A26" s="306" t="s">
        <v>5731</v>
      </c>
      <c r="B26" s="297">
        <v>2020</v>
      </c>
      <c r="C26" s="297" t="s">
        <v>5732</v>
      </c>
      <c r="D26" s="307">
        <v>342</v>
      </c>
      <c r="E26" s="297"/>
      <c r="F26" s="299"/>
      <c r="G26" s="297"/>
      <c r="H26" s="297"/>
      <c r="I26" s="297"/>
      <c r="J26" s="297"/>
      <c r="K26" s="308"/>
      <c r="L26" s="308"/>
    </row>
    <row r="27" spans="1:12" ht="13" hidden="1">
      <c r="A27" s="309" t="s">
        <v>5733</v>
      </c>
      <c r="B27" s="299"/>
      <c r="C27" s="297"/>
      <c r="D27" s="307">
        <f>D26/12</f>
        <v>28.5</v>
      </c>
      <c r="E27" s="297"/>
      <c r="F27" s="299"/>
      <c r="G27" s="297"/>
      <c r="H27" s="297"/>
      <c r="I27" s="297"/>
      <c r="J27" s="297"/>
      <c r="K27" s="308"/>
      <c r="L27" s="308"/>
    </row>
    <row r="28" spans="1:12" ht="23">
      <c r="A28" s="742" t="s">
        <v>606</v>
      </c>
      <c r="B28" s="689"/>
      <c r="C28" s="689"/>
      <c r="D28" s="689"/>
      <c r="E28" s="689"/>
      <c r="F28" s="689"/>
      <c r="G28" s="689"/>
      <c r="H28" s="689"/>
      <c r="I28" s="690"/>
      <c r="J28" s="310"/>
      <c r="K28" s="311"/>
      <c r="L28" s="311"/>
    </row>
    <row r="29" spans="1:12" ht="18">
      <c r="A29" s="743" t="s">
        <v>5734</v>
      </c>
      <c r="B29" s="689"/>
      <c r="C29" s="689"/>
      <c r="D29" s="689"/>
      <c r="E29" s="689"/>
      <c r="F29" s="689"/>
      <c r="G29" s="689"/>
      <c r="H29" s="689"/>
      <c r="I29" s="690"/>
      <c r="J29" s="312"/>
      <c r="K29" s="313"/>
      <c r="L29" s="313"/>
    </row>
    <row r="30" spans="1:12" ht="18" hidden="1">
      <c r="A30" s="306" t="s">
        <v>5735</v>
      </c>
      <c r="B30" s="297">
        <v>2022</v>
      </c>
      <c r="C30" s="297" t="s">
        <v>5723</v>
      </c>
      <c r="D30" s="298">
        <v>216</v>
      </c>
      <c r="E30" s="299"/>
      <c r="F30" s="298"/>
      <c r="G30" s="314"/>
      <c r="H30" s="314"/>
      <c r="I30" s="314"/>
      <c r="J30" s="314"/>
      <c r="K30" s="315"/>
      <c r="L30" s="315"/>
    </row>
    <row r="31" spans="1:12" ht="18" hidden="1">
      <c r="A31" s="309" t="s">
        <v>463</v>
      </c>
      <c r="B31" s="299"/>
      <c r="C31" s="297"/>
      <c r="D31" s="298">
        <f>D30/12</f>
        <v>18</v>
      </c>
      <c r="E31" s="299"/>
      <c r="F31" s="298"/>
      <c r="G31" s="314"/>
      <c r="H31" s="314"/>
      <c r="I31" s="314"/>
      <c r="J31" s="314"/>
      <c r="K31" s="315"/>
      <c r="L31" s="315"/>
    </row>
    <row r="32" spans="1:12" ht="18" hidden="1">
      <c r="A32" s="316" t="s">
        <v>5736</v>
      </c>
      <c r="B32" s="297">
        <v>2022</v>
      </c>
      <c r="C32" s="297" t="s">
        <v>5723</v>
      </c>
      <c r="D32" s="298">
        <v>216</v>
      </c>
      <c r="E32" s="299"/>
      <c r="F32" s="298"/>
      <c r="G32" s="314"/>
      <c r="H32" s="314"/>
      <c r="I32" s="314"/>
      <c r="J32" s="314"/>
      <c r="K32" s="315"/>
      <c r="L32" s="315"/>
    </row>
    <row r="33" spans="1:12" ht="18" hidden="1">
      <c r="A33" s="309" t="s">
        <v>612</v>
      </c>
      <c r="B33" s="299"/>
      <c r="C33" s="297"/>
      <c r="D33" s="298">
        <f>D32/12</f>
        <v>18</v>
      </c>
      <c r="E33" s="299"/>
      <c r="F33" s="298"/>
      <c r="G33" s="314"/>
      <c r="H33" s="314"/>
      <c r="I33" s="314"/>
      <c r="J33" s="314"/>
      <c r="K33" s="315"/>
      <c r="L33" s="315"/>
    </row>
    <row r="34" spans="1:12" ht="18" hidden="1">
      <c r="A34" s="316" t="s">
        <v>5737</v>
      </c>
      <c r="B34" s="297">
        <v>2020</v>
      </c>
      <c r="C34" s="297" t="s">
        <v>5723</v>
      </c>
      <c r="D34" s="298">
        <v>216</v>
      </c>
      <c r="E34" s="299"/>
      <c r="F34" s="298"/>
      <c r="G34" s="314"/>
      <c r="H34" s="314"/>
      <c r="I34" s="314"/>
      <c r="J34" s="314"/>
      <c r="K34" s="315"/>
      <c r="L34" s="315"/>
    </row>
    <row r="35" spans="1:12" ht="18" hidden="1">
      <c r="A35" s="309" t="s">
        <v>612</v>
      </c>
      <c r="B35" s="299"/>
      <c r="C35" s="297"/>
      <c r="D35" s="298">
        <f>D34/12</f>
        <v>18</v>
      </c>
      <c r="E35" s="299"/>
      <c r="F35" s="298"/>
      <c r="G35" s="314"/>
      <c r="H35" s="314"/>
      <c r="I35" s="314"/>
      <c r="J35" s="314"/>
      <c r="K35" s="315"/>
      <c r="L35" s="315"/>
    </row>
    <row r="36" spans="1:12" ht="13" hidden="1">
      <c r="A36" s="316" t="s">
        <v>5738</v>
      </c>
      <c r="B36" s="297">
        <v>2020</v>
      </c>
      <c r="C36" s="297" t="s">
        <v>5723</v>
      </c>
      <c r="D36" s="298">
        <v>288</v>
      </c>
      <c r="E36" s="300"/>
      <c r="F36" s="317"/>
      <c r="G36" s="300"/>
      <c r="H36" s="300"/>
      <c r="I36" s="300"/>
      <c r="J36" s="300"/>
      <c r="K36" s="301"/>
      <c r="L36" s="301"/>
    </row>
    <row r="37" spans="1:12" ht="13" hidden="1">
      <c r="A37" s="309" t="s">
        <v>4</v>
      </c>
      <c r="B37" s="300"/>
      <c r="C37" s="300"/>
      <c r="D37" s="298">
        <f>D36/12</f>
        <v>24</v>
      </c>
      <c r="E37" s="300"/>
      <c r="F37" s="317"/>
      <c r="G37" s="300"/>
      <c r="H37" s="300"/>
      <c r="I37" s="300"/>
      <c r="J37" s="300"/>
      <c r="K37" s="301"/>
      <c r="L37" s="301"/>
    </row>
    <row r="38" spans="1:12" ht="18">
      <c r="A38" s="316" t="s">
        <v>5739</v>
      </c>
      <c r="B38" s="297">
        <v>2020</v>
      </c>
      <c r="C38" s="297" t="s">
        <v>5723</v>
      </c>
      <c r="D38" s="298">
        <v>498</v>
      </c>
      <c r="E38" s="299"/>
      <c r="F38" s="298"/>
      <c r="G38" s="314"/>
      <c r="H38" s="314"/>
      <c r="I38" s="314"/>
      <c r="J38" s="314"/>
      <c r="K38" s="315"/>
      <c r="L38" s="315"/>
    </row>
    <row r="39" spans="1:12" ht="18">
      <c r="A39" s="309" t="s">
        <v>4</v>
      </c>
      <c r="B39" s="299"/>
      <c r="C39" s="297"/>
      <c r="D39" s="298">
        <f>D38/12</f>
        <v>41.5</v>
      </c>
      <c r="E39" s="299"/>
      <c r="F39" s="298"/>
      <c r="G39" s="314"/>
      <c r="H39" s="314"/>
      <c r="I39" s="314"/>
      <c r="J39" s="314"/>
      <c r="K39" s="315"/>
      <c r="L39" s="315"/>
    </row>
    <row r="40" spans="1:12" ht="18">
      <c r="A40" s="316" t="s">
        <v>5740</v>
      </c>
      <c r="B40" s="297">
        <v>2020</v>
      </c>
      <c r="C40" s="297" t="s">
        <v>5723</v>
      </c>
      <c r="D40" s="298">
        <v>546</v>
      </c>
      <c r="E40" s="299"/>
      <c r="F40" s="298"/>
      <c r="G40" s="314"/>
      <c r="H40" s="314"/>
      <c r="I40" s="314"/>
      <c r="J40" s="314"/>
      <c r="K40" s="315"/>
      <c r="L40" s="315"/>
    </row>
    <row r="41" spans="1:12" ht="18">
      <c r="A41" s="309" t="s">
        <v>4</v>
      </c>
      <c r="B41" s="299"/>
      <c r="C41" s="297"/>
      <c r="D41" s="298">
        <f>D40/12</f>
        <v>45.5</v>
      </c>
      <c r="E41" s="299"/>
      <c r="F41" s="298"/>
      <c r="G41" s="314"/>
      <c r="H41" s="314"/>
      <c r="I41" s="314"/>
      <c r="J41" s="314"/>
      <c r="K41" s="315"/>
      <c r="L41" s="315"/>
    </row>
    <row r="42" spans="1:12" ht="18" hidden="1">
      <c r="A42" s="316" t="s">
        <v>5741</v>
      </c>
      <c r="B42" s="297">
        <v>2020</v>
      </c>
      <c r="C42" s="297" t="s">
        <v>5723</v>
      </c>
      <c r="D42" s="298">
        <v>546</v>
      </c>
      <c r="E42" s="299"/>
      <c r="F42" s="298"/>
      <c r="G42" s="314"/>
      <c r="H42" s="314"/>
      <c r="I42" s="314"/>
      <c r="J42" s="314"/>
      <c r="K42" s="315"/>
      <c r="L42" s="315"/>
    </row>
    <row r="43" spans="1:12" ht="18" hidden="1">
      <c r="A43" s="309" t="s">
        <v>4</v>
      </c>
      <c r="B43" s="299"/>
      <c r="C43" s="297"/>
      <c r="D43" s="298">
        <f>D42/12</f>
        <v>45.5</v>
      </c>
      <c r="E43" s="299"/>
      <c r="F43" s="298"/>
      <c r="G43" s="314"/>
      <c r="H43" s="314"/>
      <c r="I43" s="314"/>
      <c r="J43" s="314"/>
      <c r="K43" s="315"/>
      <c r="L43" s="315"/>
    </row>
    <row r="44" spans="1:12" ht="18" hidden="1">
      <c r="A44" s="316" t="s">
        <v>5742</v>
      </c>
      <c r="B44" s="297">
        <v>2020</v>
      </c>
      <c r="C44" s="297" t="s">
        <v>5723</v>
      </c>
      <c r="D44" s="298"/>
      <c r="E44" s="299"/>
      <c r="F44" s="298"/>
      <c r="G44" s="314"/>
      <c r="H44" s="314"/>
      <c r="I44" s="314"/>
      <c r="J44" s="314"/>
      <c r="K44" s="315"/>
      <c r="L44" s="315"/>
    </row>
    <row r="45" spans="1:12" ht="18" hidden="1">
      <c r="A45" s="309" t="s">
        <v>4</v>
      </c>
      <c r="B45" s="299"/>
      <c r="C45" s="297"/>
      <c r="D45" s="298">
        <f>D44/12</f>
        <v>0</v>
      </c>
      <c r="E45" s="299"/>
      <c r="F45" s="298"/>
      <c r="G45" s="314"/>
      <c r="H45" s="314"/>
      <c r="I45" s="314"/>
      <c r="J45" s="314"/>
      <c r="K45" s="315"/>
      <c r="L45" s="315"/>
    </row>
    <row r="46" spans="1:12" ht="18">
      <c r="A46" s="316" t="s">
        <v>5743</v>
      </c>
      <c r="B46" s="297">
        <v>2020</v>
      </c>
      <c r="C46" s="297" t="s">
        <v>5723</v>
      </c>
      <c r="D46" s="298">
        <v>516</v>
      </c>
      <c r="E46" s="299"/>
      <c r="F46" s="298"/>
      <c r="G46" s="314"/>
      <c r="H46" s="314"/>
      <c r="I46" s="314"/>
      <c r="J46" s="314"/>
      <c r="K46" s="315"/>
      <c r="L46" s="315"/>
    </row>
    <row r="47" spans="1:12" ht="18">
      <c r="A47" s="309" t="s">
        <v>4</v>
      </c>
      <c r="B47" s="299"/>
      <c r="C47" s="297"/>
      <c r="D47" s="298">
        <f>D46/12</f>
        <v>43</v>
      </c>
      <c r="E47" s="299"/>
      <c r="F47" s="298"/>
      <c r="G47" s="314"/>
      <c r="H47" s="314"/>
      <c r="I47" s="314"/>
      <c r="J47" s="314"/>
      <c r="K47" s="315"/>
      <c r="L47" s="315"/>
    </row>
    <row r="48" spans="1:12" ht="18" hidden="1">
      <c r="A48" s="316" t="s">
        <v>911</v>
      </c>
      <c r="B48" s="297">
        <v>2020</v>
      </c>
      <c r="C48" s="297" t="s">
        <v>5723</v>
      </c>
      <c r="D48" s="298">
        <v>288</v>
      </c>
      <c r="E48" s="299"/>
      <c r="F48" s="298"/>
      <c r="G48" s="314"/>
      <c r="H48" s="314"/>
      <c r="I48" s="314"/>
      <c r="J48" s="314"/>
      <c r="K48" s="315"/>
      <c r="L48" s="315"/>
    </row>
    <row r="49" spans="1:12" ht="18" hidden="1">
      <c r="A49" s="309" t="s">
        <v>4</v>
      </c>
      <c r="B49" s="299"/>
      <c r="C49" s="297"/>
      <c r="D49" s="298">
        <f>D48/12</f>
        <v>24</v>
      </c>
      <c r="E49" s="299"/>
      <c r="F49" s="298"/>
      <c r="G49" s="314"/>
      <c r="H49" s="314"/>
      <c r="I49" s="314"/>
      <c r="J49" s="314"/>
      <c r="K49" s="315"/>
      <c r="L49" s="315"/>
    </row>
    <row r="50" spans="1:12" ht="18" hidden="1">
      <c r="A50" s="306" t="s">
        <v>941</v>
      </c>
      <c r="B50" s="297">
        <v>2018</v>
      </c>
      <c r="C50" s="297" t="s">
        <v>5723</v>
      </c>
      <c r="D50" s="298">
        <v>900</v>
      </c>
      <c r="E50" s="297"/>
      <c r="F50" s="298"/>
      <c r="G50" s="314"/>
      <c r="H50" s="314"/>
      <c r="I50" s="314"/>
      <c r="J50" s="314"/>
      <c r="K50" s="315"/>
      <c r="L50" s="315"/>
    </row>
    <row r="51" spans="1:12" ht="18" hidden="1">
      <c r="A51" s="309" t="s">
        <v>463</v>
      </c>
      <c r="B51" s="299"/>
      <c r="C51" s="297"/>
      <c r="D51" s="298">
        <f t="shared" ref="D51:D52" si="0">D50/12</f>
        <v>75</v>
      </c>
      <c r="E51" s="299"/>
      <c r="F51" s="298"/>
      <c r="G51" s="314"/>
      <c r="H51" s="314"/>
      <c r="I51" s="314"/>
      <c r="J51" s="314"/>
      <c r="K51" s="315"/>
      <c r="L51" s="315"/>
    </row>
    <row r="52" spans="1:12" ht="18" hidden="1">
      <c r="A52" s="309" t="s">
        <v>463</v>
      </c>
      <c r="B52" s="299"/>
      <c r="C52" s="297"/>
      <c r="D52" s="298">
        <f t="shared" si="0"/>
        <v>6.25</v>
      </c>
      <c r="E52" s="299"/>
      <c r="F52" s="298"/>
      <c r="G52" s="314"/>
      <c r="H52" s="314"/>
      <c r="I52" s="314"/>
      <c r="J52" s="314"/>
      <c r="K52" s="315"/>
      <c r="L52" s="315"/>
    </row>
    <row r="53" spans="1:12" ht="18">
      <c r="A53" s="741" t="s">
        <v>5744</v>
      </c>
      <c r="B53" s="689"/>
      <c r="C53" s="689"/>
      <c r="D53" s="689"/>
      <c r="E53" s="689"/>
      <c r="F53" s="689"/>
      <c r="G53" s="689"/>
      <c r="H53" s="689"/>
      <c r="I53" s="690"/>
      <c r="J53" s="292"/>
      <c r="K53" s="293"/>
      <c r="L53" s="293"/>
    </row>
    <row r="54" spans="1:12" ht="13" hidden="1">
      <c r="A54" s="316" t="s">
        <v>5745</v>
      </c>
      <c r="B54" s="297">
        <v>2022</v>
      </c>
      <c r="C54" s="297" t="s">
        <v>5723</v>
      </c>
      <c r="D54" s="298">
        <v>220</v>
      </c>
      <c r="E54" s="300"/>
      <c r="F54" s="317"/>
      <c r="G54" s="300"/>
      <c r="H54" s="300"/>
      <c r="I54" s="300"/>
      <c r="J54" s="300"/>
      <c r="K54" s="301"/>
      <c r="L54" s="301"/>
    </row>
    <row r="55" spans="1:12" ht="13" hidden="1">
      <c r="A55" s="318" t="s">
        <v>5746</v>
      </c>
      <c r="B55" s="300"/>
      <c r="C55" s="297"/>
      <c r="D55" s="319">
        <f>D54/12</f>
        <v>18.333333333333332</v>
      </c>
      <c r="E55" s="300"/>
      <c r="F55" s="317"/>
      <c r="G55" s="300"/>
      <c r="H55" s="300"/>
      <c r="I55" s="300"/>
      <c r="J55" s="300"/>
      <c r="K55" s="301"/>
      <c r="L55" s="301"/>
    </row>
    <row r="56" spans="1:12" ht="13">
      <c r="A56" s="320" t="s">
        <v>5747</v>
      </c>
      <c r="B56" s="297">
        <v>2022</v>
      </c>
      <c r="C56" s="297" t="s">
        <v>5723</v>
      </c>
      <c r="D56" s="298">
        <v>228</v>
      </c>
      <c r="E56" s="300"/>
      <c r="F56" s="317"/>
      <c r="G56" s="300"/>
      <c r="H56" s="300"/>
      <c r="I56" s="300"/>
      <c r="J56" s="300"/>
      <c r="K56" s="301"/>
      <c r="L56" s="301"/>
    </row>
    <row r="57" spans="1:12" ht="13">
      <c r="A57" s="318" t="s">
        <v>5748</v>
      </c>
      <c r="B57" s="300"/>
      <c r="C57" s="297"/>
      <c r="D57" s="298">
        <f>D56/12</f>
        <v>19</v>
      </c>
      <c r="E57" s="300"/>
      <c r="F57" s="317"/>
      <c r="G57" s="300"/>
      <c r="H57" s="300"/>
      <c r="I57" s="300"/>
      <c r="J57" s="300"/>
      <c r="K57" s="301"/>
      <c r="L57" s="301"/>
    </row>
    <row r="58" spans="1:12" ht="13">
      <c r="A58" s="321" t="s">
        <v>949</v>
      </c>
      <c r="B58" s="297">
        <v>2022</v>
      </c>
      <c r="C58" s="297" t="s">
        <v>5723</v>
      </c>
      <c r="D58" s="319">
        <v>220</v>
      </c>
      <c r="E58" s="300"/>
      <c r="F58" s="317"/>
      <c r="G58" s="300"/>
      <c r="H58" s="300"/>
      <c r="I58" s="300"/>
      <c r="J58" s="300"/>
      <c r="K58" s="301"/>
      <c r="L58" s="301"/>
    </row>
    <row r="59" spans="1:12" ht="13">
      <c r="A59" s="318" t="s">
        <v>950</v>
      </c>
      <c r="B59" s="300"/>
      <c r="C59" s="300"/>
      <c r="D59" s="298">
        <f>D58/12</f>
        <v>18.333333333333332</v>
      </c>
      <c r="E59" s="300"/>
      <c r="F59" s="317"/>
      <c r="G59" s="300"/>
      <c r="H59" s="300"/>
      <c r="I59" s="300"/>
      <c r="J59" s="300"/>
      <c r="K59" s="301"/>
      <c r="L59" s="301"/>
    </row>
    <row r="60" spans="1:12" ht="13">
      <c r="A60" s="320" t="s">
        <v>5749</v>
      </c>
      <c r="B60" s="297">
        <v>2022</v>
      </c>
      <c r="C60" s="297" t="s">
        <v>5723</v>
      </c>
      <c r="D60" s="298">
        <v>288</v>
      </c>
      <c r="E60" s="300"/>
      <c r="F60" s="317"/>
      <c r="G60" s="300"/>
      <c r="H60" s="300"/>
      <c r="I60" s="300"/>
      <c r="J60" s="300"/>
      <c r="K60" s="301"/>
      <c r="L60" s="301"/>
    </row>
    <row r="61" spans="1:12" ht="13">
      <c r="A61" s="309" t="s">
        <v>5750</v>
      </c>
      <c r="B61" s="300"/>
      <c r="C61" s="297"/>
      <c r="D61" s="298">
        <f>D60/12</f>
        <v>24</v>
      </c>
      <c r="E61" s="300"/>
      <c r="F61" s="317"/>
      <c r="G61" s="300"/>
      <c r="H61" s="300"/>
      <c r="I61" s="300"/>
      <c r="J61" s="300"/>
      <c r="K61" s="301"/>
      <c r="L61" s="301"/>
    </row>
    <row r="62" spans="1:12" ht="13">
      <c r="A62" s="320" t="s">
        <v>5751</v>
      </c>
      <c r="B62" s="297">
        <v>2022</v>
      </c>
      <c r="C62" s="297" t="s">
        <v>5723</v>
      </c>
      <c r="D62" s="298">
        <v>260</v>
      </c>
      <c r="E62" s="300"/>
      <c r="F62" s="317"/>
      <c r="G62" s="300"/>
      <c r="H62" s="300"/>
      <c r="I62" s="300"/>
      <c r="J62" s="300"/>
      <c r="K62" s="301"/>
      <c r="L62" s="301"/>
    </row>
    <row r="63" spans="1:12" ht="13">
      <c r="A63" s="309" t="s">
        <v>5748</v>
      </c>
      <c r="B63" s="300"/>
      <c r="C63" s="297"/>
      <c r="D63" s="319">
        <f>D62/12</f>
        <v>21.666666666666668</v>
      </c>
      <c r="E63" s="300"/>
      <c r="F63" s="317"/>
      <c r="G63" s="300"/>
      <c r="H63" s="300"/>
      <c r="I63" s="300"/>
      <c r="J63" s="300"/>
      <c r="K63" s="301"/>
      <c r="L63" s="301"/>
    </row>
    <row r="64" spans="1:12" ht="13">
      <c r="A64" s="316" t="s">
        <v>966</v>
      </c>
      <c r="B64" s="297">
        <v>2016</v>
      </c>
      <c r="C64" s="297" t="s">
        <v>5752</v>
      </c>
      <c r="D64" s="298">
        <v>636</v>
      </c>
      <c r="E64" s="297"/>
      <c r="F64" s="299"/>
      <c r="G64" s="297"/>
      <c r="H64" s="297"/>
      <c r="I64" s="297"/>
      <c r="J64" s="297"/>
      <c r="K64" s="308"/>
      <c r="L64" s="308"/>
    </row>
    <row r="65" spans="1:12" ht="13">
      <c r="A65" s="309" t="s">
        <v>4</v>
      </c>
      <c r="B65" s="299"/>
      <c r="C65" s="297"/>
      <c r="D65" s="298">
        <v>106</v>
      </c>
      <c r="E65" s="297"/>
      <c r="F65" s="299"/>
      <c r="G65" s="297"/>
      <c r="H65" s="297"/>
      <c r="I65" s="297"/>
      <c r="J65" s="297"/>
      <c r="K65" s="308"/>
      <c r="L65" s="308"/>
    </row>
    <row r="66" spans="1:12" ht="13">
      <c r="A66" s="316" t="s">
        <v>962</v>
      </c>
      <c r="B66" s="297">
        <v>2018</v>
      </c>
      <c r="C66" s="297" t="s">
        <v>5723</v>
      </c>
      <c r="D66" s="298">
        <v>468</v>
      </c>
      <c r="E66" s="299"/>
      <c r="F66" s="299"/>
      <c r="G66" s="299"/>
      <c r="H66" s="299"/>
      <c r="I66" s="299"/>
      <c r="J66" s="299"/>
      <c r="K66" s="322"/>
      <c r="L66" s="322"/>
    </row>
    <row r="67" spans="1:12" ht="13">
      <c r="A67" s="309" t="s">
        <v>612</v>
      </c>
      <c r="B67" s="299"/>
      <c r="C67" s="297"/>
      <c r="D67" s="298">
        <f>D66/12</f>
        <v>39</v>
      </c>
      <c r="E67" s="299"/>
      <c r="F67" s="299"/>
      <c r="G67" s="299"/>
      <c r="H67" s="299"/>
      <c r="I67" s="299"/>
      <c r="J67" s="299"/>
      <c r="K67" s="322"/>
      <c r="L67" s="322"/>
    </row>
    <row r="68" spans="1:12" ht="13">
      <c r="A68" s="316" t="s">
        <v>964</v>
      </c>
      <c r="B68" s="299">
        <v>2018</v>
      </c>
      <c r="C68" s="297" t="s">
        <v>5723</v>
      </c>
      <c r="D68" s="298">
        <v>516</v>
      </c>
      <c r="E68" s="299"/>
      <c r="F68" s="299"/>
      <c r="G68" s="299"/>
      <c r="H68" s="299"/>
      <c r="I68" s="299"/>
      <c r="J68" s="299"/>
      <c r="K68" s="322"/>
      <c r="L68" s="322"/>
    </row>
    <row r="69" spans="1:12" ht="13">
      <c r="A69" s="309" t="s">
        <v>4</v>
      </c>
      <c r="B69" s="299"/>
      <c r="C69" s="297"/>
      <c r="D69" s="298">
        <f>D68/12</f>
        <v>43</v>
      </c>
      <c r="E69" s="299"/>
      <c r="F69" s="299"/>
      <c r="G69" s="299"/>
      <c r="H69" s="299"/>
      <c r="I69" s="299"/>
      <c r="J69" s="299"/>
      <c r="K69" s="322"/>
      <c r="L69" s="322"/>
    </row>
    <row r="70" spans="1:12" ht="13">
      <c r="A70" s="316" t="s">
        <v>5753</v>
      </c>
      <c r="B70" s="297">
        <v>2020</v>
      </c>
      <c r="C70" s="297" t="s">
        <v>5723</v>
      </c>
      <c r="D70" s="298">
        <v>288</v>
      </c>
      <c r="E70" s="299"/>
      <c r="F70" s="298"/>
      <c r="G70" s="299"/>
      <c r="H70" s="299"/>
      <c r="I70" s="299"/>
      <c r="J70" s="299"/>
      <c r="K70" s="322"/>
      <c r="L70" s="322"/>
    </row>
    <row r="71" spans="1:12" ht="13">
      <c r="A71" s="299" t="s">
        <v>4</v>
      </c>
      <c r="B71" s="297"/>
      <c r="C71" s="297"/>
      <c r="D71" s="298">
        <f>D70/12</f>
        <v>24</v>
      </c>
      <c r="E71" s="299"/>
      <c r="F71" s="298"/>
      <c r="G71" s="299"/>
      <c r="H71" s="299"/>
      <c r="I71" s="299"/>
      <c r="J71" s="299"/>
      <c r="K71" s="322"/>
      <c r="L71" s="322"/>
    </row>
    <row r="72" spans="1:12" ht="13" hidden="1">
      <c r="A72" s="316" t="s">
        <v>5754</v>
      </c>
      <c r="B72" s="297">
        <v>2021</v>
      </c>
      <c r="C72" s="297" t="s">
        <v>5723</v>
      </c>
      <c r="D72" s="298">
        <v>252</v>
      </c>
      <c r="E72" s="297"/>
      <c r="F72" s="299"/>
      <c r="G72" s="297"/>
      <c r="H72" s="297"/>
      <c r="I72" s="297"/>
      <c r="J72" s="297"/>
      <c r="K72" s="308"/>
      <c r="L72" s="308"/>
    </row>
    <row r="73" spans="1:12" ht="13" hidden="1">
      <c r="A73" s="309" t="s">
        <v>4</v>
      </c>
      <c r="B73" s="299"/>
      <c r="C73" s="297"/>
      <c r="D73" s="298">
        <f>D72/12</f>
        <v>21</v>
      </c>
      <c r="E73" s="297"/>
      <c r="F73" s="299"/>
      <c r="G73" s="297"/>
      <c r="H73" s="297"/>
      <c r="I73" s="297"/>
      <c r="J73" s="297"/>
      <c r="K73" s="308"/>
      <c r="L73" s="308"/>
    </row>
    <row r="74" spans="1:12" ht="13">
      <c r="A74" s="316" t="s">
        <v>5755</v>
      </c>
      <c r="B74" s="297">
        <v>2022</v>
      </c>
      <c r="C74" s="297" t="s">
        <v>5723</v>
      </c>
      <c r="D74" s="298">
        <v>220</v>
      </c>
      <c r="E74" s="299"/>
      <c r="F74" s="298"/>
      <c r="G74" s="299"/>
      <c r="H74" s="299"/>
      <c r="I74" s="299"/>
      <c r="J74" s="299"/>
      <c r="K74" s="322"/>
      <c r="L74" s="322"/>
    </row>
    <row r="75" spans="1:12" ht="13">
      <c r="A75" s="309" t="s">
        <v>612</v>
      </c>
      <c r="B75" s="299"/>
      <c r="C75" s="297"/>
      <c r="D75" s="298">
        <f>D74/12</f>
        <v>18.333333333333332</v>
      </c>
      <c r="E75" s="299"/>
      <c r="F75" s="298"/>
      <c r="G75" s="299"/>
      <c r="H75" s="299"/>
      <c r="I75" s="299"/>
      <c r="J75" s="299"/>
      <c r="K75" s="322"/>
      <c r="L75" s="322"/>
    </row>
    <row r="76" spans="1:12" ht="13" hidden="1">
      <c r="A76" s="306" t="s">
        <v>5756</v>
      </c>
      <c r="B76" s="297">
        <v>2021</v>
      </c>
      <c r="C76" s="297" t="s">
        <v>5723</v>
      </c>
      <c r="D76" s="298">
        <v>252</v>
      </c>
      <c r="E76" s="297"/>
      <c r="F76" s="299"/>
      <c r="G76" s="297"/>
      <c r="H76" s="297"/>
      <c r="I76" s="297"/>
      <c r="J76" s="297"/>
      <c r="K76" s="308"/>
      <c r="L76" s="308"/>
    </row>
    <row r="77" spans="1:12" ht="13" hidden="1">
      <c r="A77" s="309" t="s">
        <v>463</v>
      </c>
      <c r="B77" s="299"/>
      <c r="C77" s="297"/>
      <c r="D77" s="298">
        <f>D76/12</f>
        <v>21</v>
      </c>
      <c r="E77" s="297"/>
      <c r="F77" s="299"/>
      <c r="G77" s="297"/>
      <c r="H77" s="297"/>
      <c r="I77" s="297"/>
      <c r="J77" s="297"/>
      <c r="K77" s="308"/>
      <c r="L77" s="308"/>
    </row>
    <row r="78" spans="1:12" ht="13">
      <c r="A78" s="306" t="s">
        <v>5757</v>
      </c>
      <c r="B78" s="297">
        <v>2022</v>
      </c>
      <c r="C78" s="297" t="s">
        <v>5723</v>
      </c>
      <c r="D78" s="298">
        <v>220</v>
      </c>
      <c r="E78" s="299"/>
      <c r="F78" s="298"/>
      <c r="G78" s="299"/>
      <c r="H78" s="299"/>
      <c r="I78" s="299"/>
      <c r="J78" s="299"/>
      <c r="K78" s="322"/>
      <c r="L78" s="322"/>
    </row>
    <row r="79" spans="1:12" ht="13">
      <c r="A79" s="309" t="s">
        <v>519</v>
      </c>
      <c r="B79" s="299"/>
      <c r="C79" s="297"/>
      <c r="D79" s="298">
        <f>D78/12</f>
        <v>18.333333333333332</v>
      </c>
      <c r="E79" s="299"/>
      <c r="F79" s="298"/>
      <c r="G79" s="299"/>
      <c r="H79" s="299"/>
      <c r="I79" s="299"/>
      <c r="J79" s="299"/>
      <c r="K79" s="322"/>
      <c r="L79" s="322"/>
    </row>
    <row r="80" spans="1:12" ht="13">
      <c r="A80" s="306" t="s">
        <v>5758</v>
      </c>
      <c r="B80" s="297">
        <v>2022</v>
      </c>
      <c r="C80" s="297" t="s">
        <v>5723</v>
      </c>
      <c r="D80" s="298">
        <v>280</v>
      </c>
      <c r="E80" s="299"/>
      <c r="F80" s="298"/>
      <c r="G80" s="299"/>
      <c r="H80" s="299"/>
      <c r="I80" s="299"/>
      <c r="J80" s="299"/>
      <c r="K80" s="322"/>
      <c r="L80" s="322"/>
    </row>
    <row r="81" spans="1:12" ht="13">
      <c r="A81" s="309" t="s">
        <v>463</v>
      </c>
      <c r="B81" s="299"/>
      <c r="C81" s="297"/>
      <c r="D81" s="298">
        <f>D80/12</f>
        <v>23.333333333333332</v>
      </c>
      <c r="E81" s="299"/>
      <c r="F81" s="298"/>
      <c r="G81" s="299"/>
      <c r="H81" s="299"/>
      <c r="I81" s="299"/>
      <c r="J81" s="299"/>
      <c r="K81" s="322"/>
      <c r="L81" s="322"/>
    </row>
    <row r="82" spans="1:12" ht="13">
      <c r="A82" s="306" t="s">
        <v>985</v>
      </c>
      <c r="B82" s="297">
        <v>2022</v>
      </c>
      <c r="C82" s="297" t="s">
        <v>5723</v>
      </c>
      <c r="D82" s="298">
        <v>180</v>
      </c>
      <c r="E82" s="299"/>
      <c r="F82" s="298"/>
      <c r="G82" s="299"/>
      <c r="H82" s="299"/>
      <c r="I82" s="299"/>
      <c r="J82" s="299"/>
      <c r="K82" s="322"/>
      <c r="L82" s="322"/>
    </row>
    <row r="83" spans="1:12" ht="13">
      <c r="A83" s="309" t="s">
        <v>155</v>
      </c>
      <c r="B83" s="299"/>
      <c r="C83" s="297"/>
      <c r="D83" s="298">
        <f>D82/12</f>
        <v>15</v>
      </c>
      <c r="E83" s="299"/>
      <c r="F83" s="298"/>
      <c r="G83" s="299"/>
      <c r="H83" s="299"/>
      <c r="I83" s="299"/>
      <c r="J83" s="299"/>
      <c r="K83" s="322"/>
      <c r="L83" s="322"/>
    </row>
    <row r="84" spans="1:12" ht="23">
      <c r="A84" s="744" t="s">
        <v>5759</v>
      </c>
      <c r="B84" s="689"/>
      <c r="C84" s="689"/>
      <c r="D84" s="689"/>
      <c r="E84" s="689"/>
      <c r="F84" s="689"/>
      <c r="G84" s="689"/>
      <c r="H84" s="689"/>
      <c r="I84" s="690"/>
      <c r="J84" s="323"/>
      <c r="K84" s="324"/>
      <c r="L84" s="324"/>
    </row>
    <row r="85" spans="1:12" ht="18">
      <c r="A85" s="741" t="s">
        <v>5760</v>
      </c>
      <c r="B85" s="689"/>
      <c r="C85" s="689"/>
      <c r="D85" s="689"/>
      <c r="E85" s="689"/>
      <c r="F85" s="689"/>
      <c r="G85" s="689"/>
      <c r="H85" s="689"/>
      <c r="I85" s="690"/>
      <c r="J85" s="292"/>
      <c r="K85" s="293"/>
      <c r="L85" s="293"/>
    </row>
    <row r="86" spans="1:12" ht="13" hidden="1">
      <c r="A86" s="316" t="s">
        <v>5761</v>
      </c>
      <c r="B86" s="297">
        <v>2022</v>
      </c>
      <c r="C86" s="299" t="s">
        <v>5723</v>
      </c>
      <c r="D86" s="298">
        <v>192</v>
      </c>
      <c r="E86" s="297"/>
      <c r="F86" s="298"/>
      <c r="G86" s="297"/>
      <c r="H86" s="297"/>
      <c r="I86" s="297"/>
      <c r="J86" s="297"/>
      <c r="K86" s="308"/>
      <c r="L86" s="308"/>
    </row>
    <row r="87" spans="1:12" ht="13" hidden="1">
      <c r="A87" s="309" t="s">
        <v>1736</v>
      </c>
      <c r="B87" s="299"/>
      <c r="C87" s="299"/>
      <c r="D87" s="298">
        <f>D86/12</f>
        <v>16</v>
      </c>
      <c r="E87" s="299"/>
      <c r="F87" s="298"/>
      <c r="G87" s="299"/>
      <c r="H87" s="299"/>
      <c r="I87" s="299"/>
      <c r="J87" s="299"/>
      <c r="K87" s="322"/>
      <c r="L87" s="322"/>
    </row>
    <row r="88" spans="1:12" ht="13">
      <c r="A88" s="306" t="s">
        <v>5762</v>
      </c>
      <c r="B88" s="297">
        <v>2022</v>
      </c>
      <c r="C88" s="299" t="s">
        <v>5723</v>
      </c>
      <c r="D88" s="298">
        <v>180</v>
      </c>
      <c r="E88" s="297"/>
      <c r="F88" s="298"/>
      <c r="G88" s="297"/>
      <c r="H88" s="297"/>
      <c r="I88" s="297"/>
      <c r="J88" s="297"/>
      <c r="K88" s="308"/>
      <c r="L88" s="308"/>
    </row>
    <row r="89" spans="1:12" ht="13">
      <c r="A89" s="309" t="s">
        <v>1747</v>
      </c>
      <c r="B89" s="299"/>
      <c r="C89" s="299"/>
      <c r="D89" s="298">
        <f>D88/12</f>
        <v>15</v>
      </c>
      <c r="E89" s="299"/>
      <c r="F89" s="298"/>
      <c r="G89" s="299"/>
      <c r="H89" s="299"/>
      <c r="I89" s="299"/>
      <c r="J89" s="299"/>
      <c r="K89" s="322"/>
      <c r="L89" s="322"/>
    </row>
    <row r="90" spans="1:12" ht="13">
      <c r="A90" s="304" t="s">
        <v>5763</v>
      </c>
      <c r="B90" s="295">
        <v>2022</v>
      </c>
      <c r="C90" s="58" t="s">
        <v>5723</v>
      </c>
      <c r="D90" s="296">
        <v>144</v>
      </c>
      <c r="E90" s="295"/>
      <c r="F90" s="298"/>
      <c r="G90" s="299"/>
      <c r="H90" s="299"/>
      <c r="I90" s="299"/>
      <c r="J90" s="299"/>
      <c r="K90" s="322"/>
      <c r="L90" s="322"/>
    </row>
    <row r="91" spans="1:12" ht="13">
      <c r="A91" s="302" t="s">
        <v>52</v>
      </c>
      <c r="B91" s="303"/>
      <c r="C91" s="303"/>
      <c r="D91" s="296">
        <f>D90/12</f>
        <v>12</v>
      </c>
      <c r="E91" s="303"/>
      <c r="F91" s="298"/>
      <c r="G91" s="299"/>
      <c r="H91" s="299"/>
      <c r="I91" s="299"/>
      <c r="J91" s="299"/>
      <c r="K91" s="322"/>
      <c r="L91" s="322"/>
    </row>
    <row r="92" spans="1:12" ht="13">
      <c r="A92" s="304" t="s">
        <v>5764</v>
      </c>
      <c r="B92" s="295">
        <v>2021</v>
      </c>
      <c r="C92" s="58" t="s">
        <v>5723</v>
      </c>
      <c r="D92" s="296">
        <v>144</v>
      </c>
      <c r="E92" s="295"/>
      <c r="F92" s="298"/>
      <c r="G92" s="299"/>
      <c r="H92" s="299"/>
      <c r="I92" s="299"/>
      <c r="J92" s="299"/>
      <c r="K92" s="322"/>
      <c r="L92" s="322"/>
    </row>
    <row r="93" spans="1:12" ht="13">
      <c r="A93" s="302" t="s">
        <v>1750</v>
      </c>
      <c r="B93" s="303"/>
      <c r="C93" s="303"/>
      <c r="D93" s="296">
        <f>D92/12</f>
        <v>12</v>
      </c>
      <c r="E93" s="303"/>
      <c r="F93" s="298"/>
      <c r="G93" s="299"/>
      <c r="H93" s="299"/>
      <c r="I93" s="299"/>
      <c r="J93" s="299"/>
      <c r="K93" s="322"/>
      <c r="L93" s="322"/>
    </row>
    <row r="94" spans="1:12" ht="13">
      <c r="A94" s="304" t="s">
        <v>5765</v>
      </c>
      <c r="B94" s="295">
        <v>2021</v>
      </c>
      <c r="C94" s="58" t="s">
        <v>5723</v>
      </c>
      <c r="D94" s="296">
        <v>216</v>
      </c>
      <c r="E94" s="295"/>
      <c r="F94" s="298"/>
      <c r="G94" s="299"/>
      <c r="H94" s="299"/>
      <c r="I94" s="299"/>
      <c r="J94" s="299"/>
      <c r="K94" s="322"/>
      <c r="L94" s="322"/>
    </row>
    <row r="95" spans="1:12" ht="13">
      <c r="A95" s="302" t="s">
        <v>5766</v>
      </c>
      <c r="B95" s="303"/>
      <c r="C95" s="303"/>
      <c r="D95" s="296">
        <f>D94/12</f>
        <v>18</v>
      </c>
      <c r="E95" s="303"/>
      <c r="F95" s="298"/>
      <c r="G95" s="299"/>
      <c r="H95" s="299"/>
      <c r="I95" s="299"/>
      <c r="J95" s="299"/>
      <c r="K95" s="322"/>
      <c r="L95" s="322"/>
    </row>
    <row r="96" spans="1:12" ht="13" hidden="1">
      <c r="A96" s="304" t="s">
        <v>5767</v>
      </c>
      <c r="B96" s="295" t="s">
        <v>5</v>
      </c>
      <c r="C96" s="325" t="s">
        <v>5768</v>
      </c>
      <c r="D96" s="296">
        <v>126</v>
      </c>
      <c r="E96" s="295"/>
      <c r="F96" s="298"/>
      <c r="G96" s="299"/>
      <c r="H96" s="299"/>
      <c r="I96" s="299"/>
      <c r="J96" s="299"/>
      <c r="K96" s="322"/>
      <c r="L96" s="322"/>
    </row>
    <row r="97" spans="1:12" ht="13" hidden="1">
      <c r="A97" s="302" t="s">
        <v>23</v>
      </c>
      <c r="B97" s="303"/>
      <c r="C97" s="303"/>
      <c r="D97" s="296">
        <v>21</v>
      </c>
      <c r="E97" s="303"/>
      <c r="F97" s="298"/>
      <c r="G97" s="299"/>
      <c r="H97" s="299"/>
      <c r="I97" s="299"/>
      <c r="J97" s="299"/>
      <c r="K97" s="322"/>
      <c r="L97" s="322"/>
    </row>
    <row r="98" spans="1:12" ht="23">
      <c r="A98" s="744" t="s">
        <v>1468</v>
      </c>
      <c r="B98" s="689"/>
      <c r="C98" s="689"/>
      <c r="D98" s="689"/>
      <c r="E98" s="689"/>
      <c r="F98" s="689"/>
      <c r="G98" s="689"/>
      <c r="H98" s="689"/>
      <c r="I98" s="690"/>
      <c r="J98" s="323"/>
      <c r="K98" s="324"/>
      <c r="L98" s="324"/>
    </row>
    <row r="99" spans="1:12" ht="18">
      <c r="A99" s="741" t="s">
        <v>5769</v>
      </c>
      <c r="B99" s="689"/>
      <c r="C99" s="689"/>
      <c r="D99" s="689"/>
      <c r="E99" s="689"/>
      <c r="F99" s="689"/>
      <c r="G99" s="689"/>
      <c r="H99" s="689"/>
      <c r="I99" s="690"/>
      <c r="J99" s="292"/>
      <c r="K99" s="293"/>
      <c r="L99" s="293"/>
    </row>
    <row r="100" spans="1:12" ht="13" hidden="1">
      <c r="A100" s="306" t="s">
        <v>5770</v>
      </c>
      <c r="B100" s="297">
        <v>2021</v>
      </c>
      <c r="C100" s="299" t="s">
        <v>5723</v>
      </c>
      <c r="D100" s="298">
        <v>156</v>
      </c>
      <c r="E100" s="326"/>
      <c r="F100" s="299"/>
      <c r="G100" s="326"/>
      <c r="H100" s="326"/>
      <c r="I100" s="326"/>
      <c r="J100" s="326"/>
      <c r="K100" s="327"/>
      <c r="L100" s="327"/>
    </row>
    <row r="101" spans="1:12" ht="13" hidden="1">
      <c r="A101" s="309" t="s">
        <v>5771</v>
      </c>
      <c r="B101" s="297"/>
      <c r="C101" s="299"/>
      <c r="D101" s="298">
        <f>D100/12</f>
        <v>13</v>
      </c>
      <c r="E101" s="326"/>
      <c r="F101" s="299"/>
      <c r="G101" s="326"/>
      <c r="H101" s="326"/>
      <c r="I101" s="326"/>
      <c r="J101" s="326"/>
      <c r="K101" s="327"/>
      <c r="L101" s="327"/>
    </row>
    <row r="102" spans="1:12" ht="13" hidden="1">
      <c r="A102" s="306" t="s">
        <v>5772</v>
      </c>
      <c r="B102" s="297">
        <v>2021</v>
      </c>
      <c r="C102" s="299" t="s">
        <v>5773</v>
      </c>
      <c r="D102" s="298">
        <v>54</v>
      </c>
      <c r="E102" s="326"/>
      <c r="F102" s="299"/>
      <c r="G102" s="326"/>
      <c r="H102" s="326"/>
      <c r="I102" s="326"/>
      <c r="J102" s="326"/>
      <c r="K102" s="327"/>
      <c r="L102" s="327"/>
    </row>
    <row r="103" spans="1:12" ht="13" hidden="1">
      <c r="A103" s="309" t="s">
        <v>5774</v>
      </c>
      <c r="B103" s="297"/>
      <c r="C103" s="299"/>
      <c r="D103" s="298">
        <v>9</v>
      </c>
      <c r="E103" s="326"/>
      <c r="F103" s="299"/>
      <c r="G103" s="326"/>
      <c r="H103" s="326"/>
      <c r="I103" s="326"/>
      <c r="J103" s="326"/>
      <c r="K103" s="327"/>
      <c r="L103" s="327"/>
    </row>
    <row r="104" spans="1:12" ht="13">
      <c r="A104" s="306" t="s">
        <v>5775</v>
      </c>
      <c r="B104" s="297">
        <v>2021</v>
      </c>
      <c r="C104" s="299" t="s">
        <v>5776</v>
      </c>
      <c r="D104" s="298">
        <v>54</v>
      </c>
      <c r="E104" s="326"/>
      <c r="F104" s="299"/>
      <c r="G104" s="326"/>
      <c r="H104" s="326"/>
      <c r="I104" s="326"/>
      <c r="J104" s="326"/>
      <c r="K104" s="327"/>
      <c r="L104" s="327"/>
    </row>
    <row r="105" spans="1:12" ht="13">
      <c r="A105" s="309" t="s">
        <v>5777</v>
      </c>
      <c r="B105" s="297"/>
      <c r="C105" s="299"/>
      <c r="D105" s="298">
        <v>9</v>
      </c>
      <c r="E105" s="326"/>
      <c r="F105" s="299"/>
      <c r="G105" s="326"/>
      <c r="H105" s="326"/>
      <c r="I105" s="326"/>
      <c r="J105" s="326"/>
      <c r="K105" s="327"/>
      <c r="L105" s="327"/>
    </row>
    <row r="106" spans="1:12" ht="18">
      <c r="A106" s="741" t="s">
        <v>5778</v>
      </c>
      <c r="B106" s="689"/>
      <c r="C106" s="689"/>
      <c r="D106" s="689"/>
      <c r="E106" s="689"/>
      <c r="F106" s="689"/>
      <c r="G106" s="689"/>
      <c r="H106" s="689"/>
      <c r="I106" s="690"/>
      <c r="J106" s="292"/>
      <c r="K106" s="293"/>
      <c r="L106" s="293"/>
    </row>
    <row r="107" spans="1:12" ht="13">
      <c r="A107" s="321" t="s">
        <v>1768</v>
      </c>
      <c r="B107" s="297">
        <v>2021</v>
      </c>
      <c r="C107" s="299" t="s">
        <v>5723</v>
      </c>
      <c r="D107" s="298">
        <v>178</v>
      </c>
      <c r="E107" s="326"/>
      <c r="F107" s="299"/>
      <c r="G107" s="326"/>
      <c r="H107" s="326"/>
      <c r="I107" s="326"/>
      <c r="J107" s="326"/>
      <c r="K107" s="327"/>
      <c r="L107" s="327"/>
    </row>
    <row r="108" spans="1:12" ht="13">
      <c r="A108" s="309" t="s">
        <v>61</v>
      </c>
      <c r="B108" s="299"/>
      <c r="C108" s="299"/>
      <c r="D108" s="298">
        <v>20</v>
      </c>
      <c r="E108" s="299"/>
      <c r="F108" s="299"/>
      <c r="G108" s="299"/>
      <c r="H108" s="299"/>
      <c r="I108" s="299"/>
      <c r="J108" s="299"/>
      <c r="K108" s="322"/>
      <c r="L108" s="322"/>
    </row>
    <row r="109" spans="1:12" ht="13">
      <c r="A109" s="306" t="s">
        <v>5779</v>
      </c>
      <c r="B109" s="297">
        <v>2019</v>
      </c>
      <c r="C109" s="299" t="s">
        <v>5723</v>
      </c>
      <c r="D109" s="328">
        <v>144</v>
      </c>
      <c r="E109" s="326"/>
      <c r="F109" s="299"/>
      <c r="G109" s="326"/>
      <c r="H109" s="326"/>
      <c r="I109" s="326"/>
      <c r="J109" s="326"/>
      <c r="K109" s="327"/>
      <c r="L109" s="327"/>
    </row>
    <row r="110" spans="1:12" ht="13">
      <c r="A110" s="309" t="s">
        <v>61</v>
      </c>
      <c r="B110" s="297"/>
      <c r="C110" s="299"/>
      <c r="D110" s="329">
        <f>D109/12</f>
        <v>12</v>
      </c>
      <c r="E110" s="326"/>
      <c r="F110" s="299"/>
      <c r="G110" s="326"/>
      <c r="H110" s="326"/>
      <c r="I110" s="326"/>
      <c r="J110" s="326"/>
      <c r="K110" s="327"/>
      <c r="L110" s="327"/>
    </row>
    <row r="111" spans="1:12" ht="13">
      <c r="A111" s="306" t="s">
        <v>1773</v>
      </c>
      <c r="B111" s="297">
        <v>2021</v>
      </c>
      <c r="C111" s="299" t="s">
        <v>5723</v>
      </c>
      <c r="D111" s="298">
        <v>160</v>
      </c>
      <c r="E111" s="326"/>
      <c r="F111" s="299"/>
      <c r="G111" s="326"/>
      <c r="H111" s="326"/>
      <c r="I111" s="326"/>
      <c r="J111" s="326"/>
      <c r="K111" s="327"/>
      <c r="L111" s="327"/>
    </row>
    <row r="112" spans="1:12" ht="13">
      <c r="A112" s="309" t="s">
        <v>482</v>
      </c>
      <c r="B112" s="297"/>
      <c r="C112" s="299"/>
      <c r="D112" s="298">
        <f>D111/12</f>
        <v>13.333333333333334</v>
      </c>
      <c r="E112" s="326"/>
      <c r="F112" s="299"/>
      <c r="G112" s="326"/>
      <c r="H112" s="326"/>
      <c r="I112" s="326"/>
      <c r="J112" s="326"/>
      <c r="K112" s="327"/>
      <c r="L112" s="327"/>
    </row>
    <row r="113" spans="1:12" ht="13">
      <c r="A113" s="306" t="s">
        <v>5780</v>
      </c>
      <c r="B113" s="297">
        <v>2021</v>
      </c>
      <c r="C113" s="299" t="s">
        <v>5723</v>
      </c>
      <c r="D113" s="328">
        <v>114</v>
      </c>
      <c r="E113" s="326"/>
      <c r="F113" s="299"/>
      <c r="G113" s="326"/>
      <c r="H113" s="326"/>
      <c r="I113" s="326"/>
      <c r="J113" s="326"/>
      <c r="K113" s="327"/>
      <c r="L113" s="327"/>
    </row>
    <row r="114" spans="1:12" ht="13">
      <c r="A114" s="309" t="s">
        <v>5781</v>
      </c>
      <c r="B114" s="297"/>
      <c r="C114" s="299"/>
      <c r="D114" s="329">
        <f>D113/12</f>
        <v>9.5</v>
      </c>
      <c r="E114" s="326"/>
      <c r="F114" s="299"/>
      <c r="G114" s="326"/>
      <c r="H114" s="326"/>
      <c r="I114" s="326"/>
      <c r="J114" s="326"/>
      <c r="K114" s="327"/>
      <c r="L114" s="327"/>
    </row>
    <row r="115" spans="1:12" ht="18">
      <c r="A115" s="741" t="s">
        <v>5782</v>
      </c>
      <c r="B115" s="689"/>
      <c r="C115" s="689"/>
      <c r="D115" s="689"/>
      <c r="E115" s="689"/>
      <c r="F115" s="689"/>
      <c r="G115" s="689"/>
      <c r="H115" s="689"/>
      <c r="I115" s="690"/>
      <c r="J115" s="292"/>
      <c r="K115" s="293"/>
      <c r="L115" s="293"/>
    </row>
    <row r="116" spans="1:12" ht="13">
      <c r="A116" s="306" t="s">
        <v>5783</v>
      </c>
      <c r="B116" s="297">
        <v>2021</v>
      </c>
      <c r="C116" s="297" t="s">
        <v>5723</v>
      </c>
      <c r="D116" s="298">
        <v>144</v>
      </c>
      <c r="E116" s="326"/>
      <c r="F116" s="299"/>
      <c r="G116" s="326"/>
      <c r="H116" s="326"/>
      <c r="I116" s="326"/>
      <c r="J116" s="326"/>
      <c r="K116" s="327"/>
      <c r="L116" s="327"/>
    </row>
    <row r="117" spans="1:12" ht="13">
      <c r="A117" s="309" t="s">
        <v>5784</v>
      </c>
      <c r="B117" s="297"/>
      <c r="C117" s="297"/>
      <c r="D117" s="298">
        <f>D116/12</f>
        <v>12</v>
      </c>
      <c r="E117" s="326"/>
      <c r="F117" s="299"/>
      <c r="G117" s="326"/>
      <c r="H117" s="326"/>
      <c r="I117" s="326"/>
      <c r="J117" s="326"/>
      <c r="K117" s="327"/>
      <c r="L117" s="327"/>
    </row>
    <row r="118" spans="1:12" ht="18">
      <c r="A118" s="741" t="s">
        <v>5785</v>
      </c>
      <c r="B118" s="689"/>
      <c r="C118" s="689"/>
      <c r="D118" s="689"/>
      <c r="E118" s="689"/>
      <c r="F118" s="689"/>
      <c r="G118" s="689"/>
      <c r="H118" s="689"/>
      <c r="I118" s="690"/>
      <c r="J118" s="292"/>
      <c r="K118" s="293"/>
      <c r="L118" s="293"/>
    </row>
    <row r="119" spans="1:12" ht="13">
      <c r="A119" s="306" t="s">
        <v>5786</v>
      </c>
      <c r="B119" s="297">
        <v>2022</v>
      </c>
      <c r="C119" s="299" t="s">
        <v>5723</v>
      </c>
      <c r="D119" s="298">
        <v>102</v>
      </c>
      <c r="E119" s="326"/>
      <c r="F119" s="299"/>
      <c r="G119" s="326"/>
      <c r="H119" s="326"/>
      <c r="I119" s="326"/>
      <c r="J119" s="326"/>
      <c r="K119" s="327"/>
      <c r="L119" s="327"/>
    </row>
    <row r="120" spans="1:12" ht="13">
      <c r="A120" s="309" t="s">
        <v>111</v>
      </c>
      <c r="B120" s="297"/>
      <c r="C120" s="299"/>
      <c r="D120" s="298">
        <f>D119/12</f>
        <v>8.5</v>
      </c>
      <c r="E120" s="326"/>
      <c r="F120" s="299"/>
      <c r="G120" s="326"/>
      <c r="H120" s="326"/>
      <c r="I120" s="326"/>
      <c r="J120" s="326"/>
      <c r="K120" s="327"/>
      <c r="L120" s="327"/>
    </row>
    <row r="121" spans="1:12" ht="23">
      <c r="A121" s="744" t="s">
        <v>5787</v>
      </c>
      <c r="B121" s="689"/>
      <c r="C121" s="689"/>
      <c r="D121" s="689"/>
      <c r="E121" s="689"/>
      <c r="F121" s="689"/>
      <c r="G121" s="689"/>
      <c r="H121" s="689"/>
      <c r="I121" s="690"/>
      <c r="J121" s="323"/>
      <c r="K121" s="324"/>
      <c r="L121" s="324"/>
    </row>
    <row r="122" spans="1:12" ht="18" hidden="1">
      <c r="A122" s="745" t="s">
        <v>5788</v>
      </c>
      <c r="B122" s="689"/>
      <c r="C122" s="689"/>
      <c r="D122" s="689"/>
      <c r="E122" s="689"/>
      <c r="F122" s="689"/>
      <c r="G122" s="689"/>
      <c r="H122" s="689"/>
      <c r="I122" s="690"/>
      <c r="J122" s="330"/>
      <c r="K122" s="331"/>
      <c r="L122" s="331"/>
    </row>
    <row r="123" spans="1:12" ht="13" hidden="1">
      <c r="A123" s="299" t="s">
        <v>5789</v>
      </c>
      <c r="B123" s="297">
        <v>2022</v>
      </c>
      <c r="C123" s="299" t="s">
        <v>5723</v>
      </c>
      <c r="D123" s="298">
        <v>216</v>
      </c>
      <c r="E123" s="326" t="s">
        <v>5790</v>
      </c>
      <c r="F123" s="299"/>
      <c r="G123" s="326"/>
      <c r="H123" s="326"/>
      <c r="I123" s="326" t="s">
        <v>5790</v>
      </c>
      <c r="J123" s="326"/>
      <c r="K123" s="327"/>
      <c r="L123" s="327"/>
    </row>
    <row r="124" spans="1:12" ht="13" hidden="1">
      <c r="A124" s="309" t="s">
        <v>5791</v>
      </c>
      <c r="B124" s="297"/>
      <c r="C124" s="299"/>
      <c r="D124" s="298">
        <f>D123/12</f>
        <v>18</v>
      </c>
      <c r="E124" s="326" t="s">
        <v>5790</v>
      </c>
      <c r="F124" s="299"/>
      <c r="G124" s="326"/>
      <c r="H124" s="326"/>
      <c r="I124" s="326" t="s">
        <v>5790</v>
      </c>
      <c r="J124" s="326"/>
      <c r="K124" s="327"/>
      <c r="L124" s="327"/>
    </row>
    <row r="125" spans="1:12" ht="13" hidden="1">
      <c r="A125" s="299" t="s">
        <v>5792</v>
      </c>
      <c r="B125" s="297">
        <v>2022</v>
      </c>
      <c r="C125" s="299" t="s">
        <v>5732</v>
      </c>
      <c r="D125" s="298">
        <v>276</v>
      </c>
      <c r="E125" s="326"/>
      <c r="F125" s="299"/>
      <c r="G125" s="326"/>
      <c r="H125" s="326"/>
      <c r="I125" s="326"/>
      <c r="J125" s="326"/>
      <c r="K125" s="327"/>
      <c r="L125" s="327"/>
    </row>
    <row r="126" spans="1:12" ht="13" hidden="1">
      <c r="A126" s="309" t="s">
        <v>5793</v>
      </c>
      <c r="B126" s="297"/>
      <c r="C126" s="299"/>
      <c r="D126" s="298">
        <f>D125/12</f>
        <v>23</v>
      </c>
      <c r="E126" s="326"/>
      <c r="F126" s="299"/>
      <c r="G126" s="326"/>
      <c r="H126" s="326"/>
      <c r="I126" s="326"/>
      <c r="J126" s="326"/>
      <c r="K126" s="327"/>
      <c r="L126" s="327"/>
    </row>
    <row r="127" spans="1:12" ht="13" hidden="1">
      <c r="A127" s="304" t="s">
        <v>5794</v>
      </c>
      <c r="B127" s="295">
        <v>2023</v>
      </c>
      <c r="C127" s="58" t="s">
        <v>5723</v>
      </c>
      <c r="D127" s="298">
        <v>150</v>
      </c>
      <c r="E127" s="295"/>
      <c r="F127" s="296"/>
      <c r="G127" s="332"/>
      <c r="H127" s="296"/>
      <c r="I127" s="333"/>
      <c r="J127" s="296" t="s">
        <v>5790</v>
      </c>
      <c r="K127" s="334"/>
      <c r="L127" s="335" t="s">
        <v>5790</v>
      </c>
    </row>
    <row r="128" spans="1:12" ht="13" hidden="1">
      <c r="A128" s="302" t="s">
        <v>5795</v>
      </c>
      <c r="B128" s="303"/>
      <c r="C128" s="303"/>
      <c r="D128" s="298">
        <f>D127/12</f>
        <v>12.5</v>
      </c>
      <c r="E128" s="303"/>
      <c r="F128" s="296"/>
      <c r="G128" s="303"/>
      <c r="H128" s="296"/>
      <c r="I128" s="333"/>
      <c r="J128" s="296" t="s">
        <v>5790</v>
      </c>
      <c r="K128" s="334"/>
      <c r="L128" s="335" t="s">
        <v>5790</v>
      </c>
    </row>
    <row r="129" spans="1:12" ht="13" hidden="1">
      <c r="A129" s="336" t="s">
        <v>5794</v>
      </c>
      <c r="B129" s="295">
        <v>2023</v>
      </c>
      <c r="C129" s="58" t="s">
        <v>5732</v>
      </c>
      <c r="D129" s="296">
        <v>150</v>
      </c>
      <c r="E129" s="303"/>
      <c r="F129" s="296" t="s">
        <v>5790</v>
      </c>
      <c r="G129" s="303"/>
      <c r="H129" s="296" t="s">
        <v>5790</v>
      </c>
      <c r="I129" s="333"/>
      <c r="J129" s="296" t="s">
        <v>5790</v>
      </c>
      <c r="K129" s="334"/>
      <c r="L129" s="335" t="s">
        <v>5790</v>
      </c>
    </row>
    <row r="130" spans="1:12" ht="13" hidden="1">
      <c r="A130" s="302" t="s">
        <v>5795</v>
      </c>
      <c r="B130" s="303"/>
      <c r="C130" s="303"/>
      <c r="D130" s="296">
        <f>D129/6</f>
        <v>25</v>
      </c>
      <c r="E130" s="303"/>
      <c r="F130" s="296" t="s">
        <v>5790</v>
      </c>
      <c r="G130" s="303"/>
      <c r="H130" s="296" t="s">
        <v>5790</v>
      </c>
      <c r="I130" s="333"/>
      <c r="J130" s="296" t="s">
        <v>5790</v>
      </c>
      <c r="K130" s="334"/>
      <c r="L130" s="335" t="s">
        <v>5790</v>
      </c>
    </row>
    <row r="131" spans="1:12" ht="13" hidden="1">
      <c r="A131" s="306" t="s">
        <v>5796</v>
      </c>
      <c r="B131" s="297">
        <v>2022</v>
      </c>
      <c r="C131" s="299" t="s">
        <v>5723</v>
      </c>
      <c r="D131" s="298">
        <v>240</v>
      </c>
      <c r="E131" s="326"/>
      <c r="F131" s="299"/>
      <c r="G131" s="326"/>
      <c r="H131" s="326"/>
      <c r="I131" s="326"/>
      <c r="J131" s="326"/>
      <c r="K131" s="327"/>
      <c r="L131" s="327"/>
    </row>
    <row r="132" spans="1:12" ht="13" hidden="1">
      <c r="A132" s="309" t="s">
        <v>5797</v>
      </c>
      <c r="B132" s="297"/>
      <c r="C132" s="299"/>
      <c r="D132" s="298">
        <f>D131/12</f>
        <v>20</v>
      </c>
      <c r="E132" s="326"/>
      <c r="F132" s="299"/>
      <c r="G132" s="326"/>
      <c r="H132" s="326"/>
      <c r="I132" s="326"/>
      <c r="J132" s="326"/>
      <c r="K132" s="327"/>
      <c r="L132" s="327"/>
    </row>
    <row r="133" spans="1:12" ht="13" hidden="1">
      <c r="A133" s="306" t="s">
        <v>5798</v>
      </c>
      <c r="B133" s="297">
        <v>2022</v>
      </c>
      <c r="C133" s="299" t="s">
        <v>5723</v>
      </c>
      <c r="D133" s="328">
        <v>144</v>
      </c>
      <c r="E133" s="326"/>
      <c r="F133" s="299"/>
      <c r="G133" s="326"/>
      <c r="H133" s="326"/>
      <c r="I133" s="326"/>
      <c r="J133" s="326"/>
      <c r="K133" s="327"/>
      <c r="L133" s="327"/>
    </row>
    <row r="134" spans="1:12" ht="13" hidden="1">
      <c r="A134" s="309" t="s">
        <v>61</v>
      </c>
      <c r="B134" s="297"/>
      <c r="C134" s="299"/>
      <c r="D134" s="329">
        <f>D133/12</f>
        <v>12</v>
      </c>
      <c r="E134" s="326"/>
      <c r="F134" s="299"/>
      <c r="G134" s="326"/>
      <c r="H134" s="326"/>
      <c r="I134" s="326"/>
      <c r="J134" s="326"/>
      <c r="K134" s="327"/>
      <c r="L134" s="327"/>
    </row>
    <row r="135" spans="1:12" ht="13" hidden="1">
      <c r="A135" s="306" t="s">
        <v>5799</v>
      </c>
      <c r="B135" s="297">
        <v>2022</v>
      </c>
      <c r="C135" s="299" t="s">
        <v>5732</v>
      </c>
      <c r="D135" s="328">
        <v>168</v>
      </c>
      <c r="E135" s="326"/>
      <c r="F135" s="299"/>
      <c r="G135" s="326"/>
      <c r="H135" s="326"/>
      <c r="I135" s="326"/>
      <c r="J135" s="326"/>
      <c r="K135" s="327"/>
      <c r="L135" s="327"/>
    </row>
    <row r="136" spans="1:12" ht="13" hidden="1">
      <c r="A136" s="309" t="s">
        <v>61</v>
      </c>
      <c r="B136" s="297"/>
      <c r="C136" s="299"/>
      <c r="D136" s="329">
        <f>D135/12</f>
        <v>14</v>
      </c>
      <c r="E136" s="326"/>
      <c r="F136" s="299"/>
      <c r="G136" s="326"/>
      <c r="H136" s="326"/>
      <c r="I136" s="326"/>
      <c r="J136" s="326"/>
      <c r="K136" s="327"/>
      <c r="L136" s="327"/>
    </row>
    <row r="137" spans="1:12" ht="18" hidden="1">
      <c r="A137" s="750" t="s">
        <v>5800</v>
      </c>
      <c r="B137" s="689"/>
      <c r="C137" s="689"/>
      <c r="D137" s="689"/>
      <c r="E137" s="689"/>
      <c r="F137" s="689"/>
      <c r="G137" s="689"/>
      <c r="H137" s="689"/>
      <c r="I137" s="690"/>
      <c r="J137" s="314"/>
      <c r="K137" s="315"/>
      <c r="L137" s="315"/>
    </row>
    <row r="138" spans="1:12" ht="13" hidden="1">
      <c r="A138" s="299" t="s">
        <v>87</v>
      </c>
      <c r="B138" s="297">
        <v>2022</v>
      </c>
      <c r="C138" s="299" t="s">
        <v>5773</v>
      </c>
      <c r="D138" s="298">
        <v>102</v>
      </c>
      <c r="E138" s="297"/>
      <c r="F138" s="298"/>
      <c r="G138" s="326"/>
      <c r="H138" s="326"/>
      <c r="I138" s="326"/>
      <c r="J138" s="326"/>
      <c r="K138" s="327"/>
      <c r="L138" s="327"/>
    </row>
    <row r="139" spans="1:12" ht="13" hidden="1">
      <c r="A139" s="309" t="s">
        <v>78</v>
      </c>
      <c r="B139" s="297"/>
      <c r="C139" s="299"/>
      <c r="D139" s="298">
        <f>D138/12</f>
        <v>8.5</v>
      </c>
      <c r="E139" s="299"/>
      <c r="F139" s="298"/>
      <c r="G139" s="326"/>
      <c r="H139" s="326"/>
      <c r="I139" s="326"/>
      <c r="J139" s="326"/>
      <c r="K139" s="327"/>
      <c r="L139" s="327"/>
    </row>
    <row r="140" spans="1:12" ht="18">
      <c r="A140" s="745" t="s">
        <v>5801</v>
      </c>
      <c r="B140" s="689"/>
      <c r="C140" s="689"/>
      <c r="D140" s="689"/>
      <c r="E140" s="689"/>
      <c r="F140" s="689"/>
      <c r="G140" s="689"/>
      <c r="H140" s="689"/>
      <c r="I140" s="690"/>
      <c r="J140" s="330"/>
      <c r="K140" s="331"/>
      <c r="L140" s="331"/>
    </row>
    <row r="141" spans="1:12" ht="13">
      <c r="A141" s="316" t="s">
        <v>5802</v>
      </c>
      <c r="B141" s="297">
        <v>2022</v>
      </c>
      <c r="C141" s="299" t="s">
        <v>5723</v>
      </c>
      <c r="D141" s="328">
        <v>108</v>
      </c>
      <c r="E141" s="326"/>
      <c r="F141" s="299"/>
      <c r="G141" s="326"/>
      <c r="H141" s="326"/>
      <c r="I141" s="326"/>
      <c r="J141" s="326"/>
      <c r="K141" s="327"/>
      <c r="L141" s="327"/>
    </row>
    <row r="142" spans="1:12" ht="13">
      <c r="A142" s="309" t="s">
        <v>4</v>
      </c>
      <c r="B142" s="297"/>
      <c r="C142" s="299"/>
      <c r="D142" s="298">
        <f>D141/12</f>
        <v>9</v>
      </c>
      <c r="E142" s="326"/>
      <c r="F142" s="299"/>
      <c r="G142" s="326"/>
      <c r="H142" s="326"/>
      <c r="I142" s="326"/>
      <c r="J142" s="326"/>
      <c r="K142" s="327"/>
      <c r="L142" s="327"/>
    </row>
    <row r="143" spans="1:12" ht="13">
      <c r="A143" s="306" t="s">
        <v>5803</v>
      </c>
      <c r="B143" s="297">
        <v>2021</v>
      </c>
      <c r="C143" s="299" t="s">
        <v>5773</v>
      </c>
      <c r="D143" s="328">
        <v>108</v>
      </c>
      <c r="E143" s="326"/>
      <c r="F143" s="299"/>
      <c r="G143" s="326"/>
      <c r="H143" s="326"/>
      <c r="I143" s="326"/>
      <c r="J143" s="326"/>
      <c r="K143" s="327"/>
      <c r="L143" s="327"/>
    </row>
    <row r="144" spans="1:12" ht="13">
      <c r="A144" s="309" t="s">
        <v>88</v>
      </c>
      <c r="B144" s="297"/>
      <c r="C144" s="299"/>
      <c r="D144" s="298">
        <f>D143/12</f>
        <v>9</v>
      </c>
      <c r="E144" s="326"/>
      <c r="F144" s="299"/>
      <c r="G144" s="326"/>
      <c r="H144" s="326"/>
      <c r="I144" s="326"/>
      <c r="J144" s="326"/>
      <c r="K144" s="327"/>
      <c r="L144" s="327"/>
    </row>
    <row r="145" spans="1:12" ht="13">
      <c r="A145" s="306" t="s">
        <v>5804</v>
      </c>
      <c r="B145" s="297">
        <v>2022</v>
      </c>
      <c r="C145" s="299" t="s">
        <v>5773</v>
      </c>
      <c r="D145" s="328">
        <v>108</v>
      </c>
      <c r="E145" s="326"/>
      <c r="F145" s="299"/>
      <c r="G145" s="326"/>
      <c r="H145" s="326"/>
      <c r="I145" s="326"/>
      <c r="J145" s="326"/>
      <c r="K145" s="327"/>
      <c r="L145" s="327"/>
    </row>
    <row r="146" spans="1:12" ht="13">
      <c r="A146" s="309" t="s">
        <v>5805</v>
      </c>
      <c r="B146" s="297"/>
      <c r="C146" s="299"/>
      <c r="D146" s="329">
        <f>D145/12</f>
        <v>9</v>
      </c>
      <c r="E146" s="326"/>
      <c r="F146" s="299"/>
      <c r="G146" s="326"/>
      <c r="H146" s="326"/>
      <c r="I146" s="326"/>
      <c r="J146" s="326"/>
      <c r="K146" s="327"/>
      <c r="L146" s="327"/>
    </row>
    <row r="147" spans="1:12" ht="13">
      <c r="A147" s="321" t="s">
        <v>5806</v>
      </c>
      <c r="B147" s="297">
        <v>2022</v>
      </c>
      <c r="C147" s="299" t="s">
        <v>5723</v>
      </c>
      <c r="D147" s="328">
        <v>120</v>
      </c>
      <c r="E147" s="326"/>
      <c r="F147" s="299"/>
      <c r="G147" s="326"/>
      <c r="H147" s="326"/>
      <c r="I147" s="326"/>
      <c r="J147" s="326"/>
      <c r="K147" s="327"/>
      <c r="L147" s="327"/>
    </row>
    <row r="148" spans="1:12" ht="13">
      <c r="A148" s="309" t="s">
        <v>52</v>
      </c>
      <c r="B148" s="297"/>
      <c r="C148" s="299"/>
      <c r="D148" s="329">
        <f>D147/12</f>
        <v>10</v>
      </c>
      <c r="E148" s="326"/>
      <c r="F148" s="299"/>
      <c r="G148" s="326"/>
      <c r="H148" s="326"/>
      <c r="I148" s="326"/>
      <c r="J148" s="326"/>
      <c r="K148" s="327"/>
      <c r="L148" s="327"/>
    </row>
    <row r="149" spans="1:12" ht="13">
      <c r="A149" s="321" t="s">
        <v>5807</v>
      </c>
      <c r="B149" s="297">
        <v>2022</v>
      </c>
      <c r="C149" s="299" t="s">
        <v>5732</v>
      </c>
      <c r="D149" s="328">
        <v>132</v>
      </c>
      <c r="E149" s="326"/>
      <c r="F149" s="299"/>
      <c r="G149" s="326"/>
      <c r="H149" s="326"/>
      <c r="I149" s="326"/>
      <c r="J149" s="326"/>
      <c r="K149" s="327"/>
      <c r="L149" s="327"/>
    </row>
    <row r="150" spans="1:12" ht="13">
      <c r="A150" s="309" t="s">
        <v>52</v>
      </c>
      <c r="B150" s="297"/>
      <c r="C150" s="299"/>
      <c r="D150" s="329">
        <f>D149/6</f>
        <v>22</v>
      </c>
      <c r="E150" s="326"/>
      <c r="F150" s="299"/>
      <c r="G150" s="326"/>
      <c r="H150" s="326"/>
      <c r="I150" s="326"/>
      <c r="J150" s="326"/>
      <c r="K150" s="327"/>
      <c r="L150" s="327"/>
    </row>
    <row r="151" spans="1:12" ht="18">
      <c r="A151" s="745" t="s">
        <v>5808</v>
      </c>
      <c r="B151" s="689"/>
      <c r="C151" s="689"/>
      <c r="D151" s="689"/>
      <c r="E151" s="689"/>
      <c r="F151" s="689"/>
      <c r="G151" s="689"/>
      <c r="H151" s="689"/>
      <c r="I151" s="690"/>
      <c r="J151" s="330"/>
      <c r="K151" s="331"/>
      <c r="L151" s="331"/>
    </row>
    <row r="152" spans="1:12" ht="13">
      <c r="A152" s="306" t="s">
        <v>5809</v>
      </c>
      <c r="B152" s="297">
        <v>2022</v>
      </c>
      <c r="C152" s="299" t="s">
        <v>5723</v>
      </c>
      <c r="D152" s="328">
        <v>108</v>
      </c>
      <c r="E152" s="326"/>
      <c r="F152" s="299"/>
      <c r="G152" s="326"/>
      <c r="H152" s="326"/>
      <c r="I152" s="326"/>
      <c r="J152" s="326"/>
      <c r="K152" s="327"/>
      <c r="L152" s="327"/>
    </row>
    <row r="153" spans="1:12" ht="13">
      <c r="A153" s="309" t="s">
        <v>5795</v>
      </c>
      <c r="B153" s="297"/>
      <c r="C153" s="299"/>
      <c r="D153" s="298">
        <f>D152/12</f>
        <v>9</v>
      </c>
      <c r="E153" s="326"/>
      <c r="F153" s="299"/>
      <c r="G153" s="326"/>
      <c r="H153" s="326"/>
      <c r="I153" s="326"/>
      <c r="J153" s="326"/>
      <c r="K153" s="327"/>
      <c r="L153" s="327"/>
    </row>
    <row r="154" spans="1:12" ht="18">
      <c r="A154" s="745" t="s">
        <v>5810</v>
      </c>
      <c r="B154" s="689"/>
      <c r="C154" s="689"/>
      <c r="D154" s="689"/>
      <c r="E154" s="689"/>
      <c r="F154" s="689"/>
      <c r="G154" s="689"/>
      <c r="H154" s="689"/>
      <c r="I154" s="690"/>
      <c r="J154" s="330"/>
      <c r="K154" s="331"/>
      <c r="L154" s="331"/>
    </row>
    <row r="155" spans="1:12" ht="13" hidden="1">
      <c r="A155" s="299" t="s">
        <v>5811</v>
      </c>
      <c r="B155" s="297">
        <v>2021</v>
      </c>
      <c r="C155" s="299" t="s">
        <v>5723</v>
      </c>
      <c r="D155" s="298">
        <v>294</v>
      </c>
      <c r="E155" s="297"/>
      <c r="F155" s="299"/>
      <c r="G155" s="297"/>
      <c r="H155" s="297"/>
      <c r="I155" s="297"/>
      <c r="J155" s="297"/>
      <c r="K155" s="308"/>
      <c r="L155" s="308"/>
    </row>
    <row r="156" spans="1:12" ht="13" hidden="1">
      <c r="A156" s="309" t="s">
        <v>5812</v>
      </c>
      <c r="B156" s="299"/>
      <c r="C156" s="299"/>
      <c r="D156" s="298">
        <f>D155/12</f>
        <v>24.5</v>
      </c>
      <c r="E156" s="297"/>
      <c r="F156" s="299"/>
      <c r="G156" s="297"/>
      <c r="H156" s="297"/>
      <c r="I156" s="297"/>
      <c r="J156" s="297"/>
      <c r="K156" s="308"/>
      <c r="L156" s="308"/>
    </row>
    <row r="157" spans="1:12" ht="13">
      <c r="A157" s="306" t="s">
        <v>5813</v>
      </c>
      <c r="B157" s="297">
        <v>2021</v>
      </c>
      <c r="C157" s="299" t="s">
        <v>5723</v>
      </c>
      <c r="D157" s="328">
        <v>240</v>
      </c>
      <c r="E157" s="297"/>
      <c r="F157" s="299"/>
      <c r="G157" s="297"/>
      <c r="H157" s="297"/>
      <c r="I157" s="297"/>
      <c r="J157" s="297"/>
      <c r="K157" s="308"/>
      <c r="L157" s="308"/>
    </row>
    <row r="158" spans="1:12" ht="13">
      <c r="A158" s="309" t="s">
        <v>67</v>
      </c>
      <c r="B158" s="299"/>
      <c r="C158" s="299"/>
      <c r="D158" s="298">
        <f>D157/12</f>
        <v>20</v>
      </c>
      <c r="E158" s="297"/>
      <c r="F158" s="299"/>
      <c r="G158" s="297"/>
      <c r="H158" s="297"/>
      <c r="I158" s="297"/>
      <c r="J158" s="297"/>
      <c r="K158" s="308"/>
      <c r="L158" s="308"/>
    </row>
    <row r="159" spans="1:12" ht="18">
      <c r="A159" s="745" t="s">
        <v>5814</v>
      </c>
      <c r="B159" s="689"/>
      <c r="C159" s="689"/>
      <c r="D159" s="689"/>
      <c r="E159" s="689"/>
      <c r="F159" s="689"/>
      <c r="G159" s="689"/>
      <c r="H159" s="689"/>
      <c r="I159" s="690"/>
      <c r="J159" s="314"/>
      <c r="K159" s="315"/>
      <c r="L159" s="315"/>
    </row>
    <row r="160" spans="1:12" ht="23">
      <c r="A160" s="337" t="s">
        <v>5815</v>
      </c>
      <c r="B160" s="297" t="s">
        <v>5</v>
      </c>
      <c r="C160" s="338" t="s">
        <v>5816</v>
      </c>
      <c r="D160" s="328">
        <v>84</v>
      </c>
      <c r="E160" s="339"/>
      <c r="F160" s="339"/>
      <c r="G160" s="339"/>
      <c r="H160" s="339"/>
      <c r="I160" s="339"/>
      <c r="J160" s="339"/>
      <c r="K160" s="340"/>
      <c r="L160" s="340"/>
    </row>
    <row r="161" spans="1:12" ht="23">
      <c r="A161" s="341"/>
      <c r="B161" s="297"/>
      <c r="C161" s="299"/>
      <c r="D161" s="298">
        <f>D160/6</f>
        <v>14</v>
      </c>
      <c r="E161" s="339"/>
      <c r="F161" s="339"/>
      <c r="G161" s="339"/>
      <c r="H161" s="339"/>
      <c r="I161" s="339"/>
      <c r="J161" s="339"/>
      <c r="K161" s="340"/>
      <c r="L161" s="340"/>
    </row>
    <row r="162" spans="1:12" ht="23">
      <c r="A162" s="316" t="s">
        <v>5817</v>
      </c>
      <c r="B162" s="297" t="s">
        <v>5</v>
      </c>
      <c r="C162" s="299" t="s">
        <v>5752</v>
      </c>
      <c r="D162" s="329">
        <v>60</v>
      </c>
      <c r="E162" s="339"/>
      <c r="F162" s="339"/>
      <c r="G162" s="339"/>
      <c r="H162" s="339"/>
      <c r="I162" s="339"/>
      <c r="J162" s="339"/>
      <c r="K162" s="340"/>
      <c r="L162" s="340"/>
    </row>
    <row r="163" spans="1:12" ht="23">
      <c r="A163" s="341"/>
      <c r="B163" s="297"/>
      <c r="C163" s="299"/>
      <c r="D163" s="329">
        <f>D162/6</f>
        <v>10</v>
      </c>
      <c r="E163" s="339"/>
      <c r="F163" s="339"/>
      <c r="G163" s="339"/>
      <c r="H163" s="339"/>
      <c r="I163" s="339"/>
      <c r="J163" s="339"/>
      <c r="K163" s="340"/>
      <c r="L163" s="340"/>
    </row>
    <row r="164" spans="1:12" ht="23">
      <c r="A164" s="337" t="s">
        <v>5818</v>
      </c>
      <c r="B164" s="297" t="s">
        <v>5</v>
      </c>
      <c r="C164" s="299" t="s">
        <v>5752</v>
      </c>
      <c r="D164" s="329">
        <v>60</v>
      </c>
      <c r="E164" s="339"/>
      <c r="F164" s="339"/>
      <c r="G164" s="339"/>
      <c r="H164" s="339"/>
      <c r="I164" s="339"/>
      <c r="J164" s="339"/>
      <c r="K164" s="340"/>
      <c r="L164" s="340"/>
    </row>
    <row r="165" spans="1:12" ht="23">
      <c r="A165" s="341"/>
      <c r="B165" s="297"/>
      <c r="C165" s="299"/>
      <c r="D165" s="329">
        <f>D164/6</f>
        <v>10</v>
      </c>
      <c r="E165" s="339"/>
      <c r="F165" s="339"/>
      <c r="G165" s="339"/>
      <c r="H165" s="339"/>
      <c r="I165" s="339"/>
      <c r="J165" s="339"/>
      <c r="K165" s="340"/>
      <c r="L165" s="340"/>
    </row>
    <row r="166" spans="1:12" ht="23">
      <c r="A166" s="337" t="s">
        <v>5819</v>
      </c>
      <c r="B166" s="297" t="s">
        <v>5</v>
      </c>
      <c r="C166" s="299" t="s">
        <v>5752</v>
      </c>
      <c r="D166" s="329">
        <v>60</v>
      </c>
      <c r="E166" s="339"/>
      <c r="F166" s="339"/>
      <c r="G166" s="339"/>
      <c r="H166" s="339"/>
      <c r="I166" s="339"/>
      <c r="J166" s="339"/>
      <c r="K166" s="340"/>
      <c r="L166" s="340"/>
    </row>
    <row r="167" spans="1:12" ht="23">
      <c r="A167" s="341"/>
      <c r="B167" s="297"/>
      <c r="C167" s="299"/>
      <c r="D167" s="329">
        <f>D166/6</f>
        <v>10</v>
      </c>
      <c r="E167" s="339"/>
      <c r="F167" s="339"/>
      <c r="G167" s="339"/>
      <c r="H167" s="339"/>
      <c r="I167" s="339"/>
      <c r="J167" s="339"/>
      <c r="K167" s="340"/>
      <c r="L167" s="340"/>
    </row>
    <row r="168" spans="1:12" ht="23">
      <c r="A168" s="744" t="s">
        <v>99</v>
      </c>
      <c r="B168" s="689"/>
      <c r="C168" s="689"/>
      <c r="D168" s="689"/>
      <c r="E168" s="689"/>
      <c r="F168" s="689"/>
      <c r="G168" s="689"/>
      <c r="H168" s="689"/>
      <c r="I168" s="690"/>
      <c r="J168" s="323"/>
      <c r="K168" s="324"/>
      <c r="L168" s="324"/>
    </row>
    <row r="169" spans="1:12" ht="18">
      <c r="A169" s="745" t="s">
        <v>5820</v>
      </c>
      <c r="B169" s="689"/>
      <c r="C169" s="689"/>
      <c r="D169" s="689"/>
      <c r="E169" s="689"/>
      <c r="F169" s="689"/>
      <c r="G169" s="689"/>
      <c r="H169" s="689"/>
      <c r="I169" s="690"/>
      <c r="J169" s="330"/>
      <c r="K169" s="331"/>
      <c r="L169" s="331"/>
    </row>
    <row r="170" spans="1:12" ht="13">
      <c r="A170" s="316" t="s">
        <v>5821</v>
      </c>
      <c r="B170" s="297">
        <v>2022</v>
      </c>
      <c r="C170" s="299" t="s">
        <v>5723</v>
      </c>
      <c r="D170" s="328">
        <v>144</v>
      </c>
      <c r="E170" s="326"/>
      <c r="F170" s="299"/>
      <c r="G170" s="326"/>
      <c r="H170" s="326"/>
      <c r="I170" s="326"/>
      <c r="J170" s="326"/>
      <c r="K170" s="327"/>
      <c r="L170" s="327"/>
    </row>
    <row r="171" spans="1:12" ht="13">
      <c r="A171" s="309" t="s">
        <v>5822</v>
      </c>
      <c r="B171" s="297"/>
      <c r="C171" s="299"/>
      <c r="D171" s="298">
        <f>D170/12</f>
        <v>12</v>
      </c>
      <c r="E171" s="326"/>
      <c r="F171" s="299"/>
      <c r="G171" s="326"/>
      <c r="H171" s="326"/>
      <c r="I171" s="326"/>
      <c r="J171" s="326"/>
      <c r="K171" s="327"/>
      <c r="L171" s="327"/>
    </row>
    <row r="172" spans="1:12" ht="13" hidden="1">
      <c r="A172" s="321" t="s">
        <v>5823</v>
      </c>
      <c r="B172" s="297">
        <v>2022</v>
      </c>
      <c r="C172" s="299" t="s">
        <v>5723</v>
      </c>
      <c r="D172" s="298">
        <v>144</v>
      </c>
      <c r="E172" s="326"/>
      <c r="F172" s="299"/>
      <c r="G172" s="326"/>
      <c r="H172" s="326"/>
      <c r="I172" s="326"/>
      <c r="J172" s="326"/>
      <c r="K172" s="327"/>
      <c r="L172" s="327"/>
    </row>
    <row r="173" spans="1:12" ht="13" hidden="1">
      <c r="A173" s="309" t="s">
        <v>85</v>
      </c>
      <c r="B173" s="297"/>
      <c r="C173" s="299"/>
      <c r="D173" s="298">
        <f>D172/12</f>
        <v>12</v>
      </c>
      <c r="E173" s="326"/>
      <c r="F173" s="299"/>
      <c r="G173" s="326"/>
      <c r="H173" s="326"/>
      <c r="I173" s="326"/>
      <c r="J173" s="326"/>
      <c r="K173" s="327"/>
      <c r="L173" s="327"/>
    </row>
    <row r="174" spans="1:12" ht="18">
      <c r="A174" s="745" t="s">
        <v>5824</v>
      </c>
      <c r="B174" s="689"/>
      <c r="C174" s="689"/>
      <c r="D174" s="689"/>
      <c r="E174" s="689"/>
      <c r="F174" s="689"/>
      <c r="G174" s="689"/>
      <c r="H174" s="689"/>
      <c r="I174" s="690"/>
      <c r="J174" s="330"/>
      <c r="K174" s="331"/>
      <c r="L174" s="331"/>
    </row>
    <row r="175" spans="1:12" ht="13">
      <c r="A175" s="316" t="s">
        <v>5825</v>
      </c>
      <c r="B175" s="297">
        <v>2021</v>
      </c>
      <c r="C175" s="299" t="s">
        <v>5773</v>
      </c>
      <c r="D175" s="328">
        <v>84</v>
      </c>
      <c r="E175" s="326"/>
      <c r="F175" s="299"/>
      <c r="G175" s="326"/>
      <c r="H175" s="326"/>
      <c r="I175" s="326"/>
      <c r="J175" s="326"/>
      <c r="K175" s="327"/>
      <c r="L175" s="327"/>
    </row>
    <row r="176" spans="1:12" ht="13">
      <c r="A176" s="342" t="s">
        <v>5826</v>
      </c>
      <c r="B176" s="297"/>
      <c r="C176" s="299"/>
      <c r="D176" s="298">
        <f>D175/6</f>
        <v>14</v>
      </c>
      <c r="E176" s="326"/>
      <c r="F176" s="299"/>
      <c r="G176" s="326"/>
      <c r="H176" s="326"/>
      <c r="I176" s="326"/>
      <c r="J176" s="326"/>
      <c r="K176" s="327"/>
      <c r="L176" s="327"/>
    </row>
    <row r="177" spans="1:12" ht="13">
      <c r="A177" s="343" t="s">
        <v>5827</v>
      </c>
      <c r="B177" s="297"/>
      <c r="C177" s="299"/>
      <c r="D177" s="298"/>
      <c r="E177" s="326"/>
      <c r="F177" s="299"/>
      <c r="G177" s="326"/>
      <c r="H177" s="326"/>
      <c r="I177" s="326"/>
      <c r="J177" s="326"/>
      <c r="K177" s="327"/>
      <c r="L177" s="327"/>
    </row>
    <row r="178" spans="1:12" ht="13" hidden="1">
      <c r="A178" s="316" t="s">
        <v>5828</v>
      </c>
      <c r="B178" s="297">
        <v>2020</v>
      </c>
      <c r="C178" s="299" t="s">
        <v>5723</v>
      </c>
      <c r="D178" s="298">
        <v>176</v>
      </c>
      <c r="E178" s="326"/>
      <c r="F178" s="299"/>
      <c r="G178" s="326"/>
      <c r="H178" s="326"/>
      <c r="I178" s="326"/>
      <c r="J178" s="326"/>
      <c r="K178" s="327"/>
      <c r="L178" s="327"/>
    </row>
    <row r="179" spans="1:12" ht="13" hidden="1">
      <c r="A179" s="309" t="s">
        <v>5829</v>
      </c>
      <c r="B179" s="297"/>
      <c r="C179" s="299"/>
      <c r="D179" s="298">
        <f>D178/12</f>
        <v>14.666666666666666</v>
      </c>
      <c r="E179" s="326"/>
      <c r="F179" s="299"/>
      <c r="G179" s="326"/>
      <c r="H179" s="326"/>
      <c r="I179" s="326"/>
      <c r="J179" s="326"/>
      <c r="K179" s="327"/>
      <c r="L179" s="327"/>
    </row>
    <row r="180" spans="1:12" ht="13">
      <c r="A180" s="306" t="s">
        <v>5830</v>
      </c>
      <c r="B180" s="297">
        <v>2021</v>
      </c>
      <c r="C180" s="299" t="s">
        <v>5773</v>
      </c>
      <c r="D180" s="298">
        <v>96</v>
      </c>
      <c r="E180" s="326"/>
      <c r="F180" s="299"/>
      <c r="G180" s="326"/>
      <c r="H180" s="326"/>
      <c r="I180" s="326"/>
      <c r="J180" s="326"/>
      <c r="K180" s="327"/>
      <c r="L180" s="327"/>
    </row>
    <row r="181" spans="1:12" ht="13">
      <c r="A181" s="309" t="s">
        <v>5831</v>
      </c>
      <c r="B181" s="297"/>
      <c r="C181" s="299"/>
      <c r="D181" s="298">
        <f>D180/6</f>
        <v>16</v>
      </c>
      <c r="E181" s="326"/>
      <c r="F181" s="299"/>
      <c r="G181" s="326"/>
      <c r="H181" s="326"/>
      <c r="I181" s="326"/>
      <c r="J181" s="326"/>
      <c r="K181" s="327"/>
      <c r="L181" s="327"/>
    </row>
    <row r="182" spans="1:12" ht="13">
      <c r="A182" s="306" t="s">
        <v>5832</v>
      </c>
      <c r="B182" s="297">
        <v>2021</v>
      </c>
      <c r="C182" s="299" t="s">
        <v>5773</v>
      </c>
      <c r="D182" s="298">
        <v>96</v>
      </c>
      <c r="E182" s="326"/>
      <c r="F182" s="299"/>
      <c r="G182" s="326"/>
      <c r="H182" s="326"/>
      <c r="I182" s="326"/>
      <c r="J182" s="326"/>
      <c r="K182" s="327"/>
      <c r="L182" s="327"/>
    </row>
    <row r="183" spans="1:12" ht="13">
      <c r="A183" s="309" t="s">
        <v>5833</v>
      </c>
      <c r="B183" s="297"/>
      <c r="C183" s="299"/>
      <c r="D183" s="298">
        <f>D182/6</f>
        <v>16</v>
      </c>
      <c r="E183" s="326"/>
      <c r="F183" s="299"/>
      <c r="G183" s="326"/>
      <c r="H183" s="326"/>
      <c r="I183" s="326"/>
      <c r="J183" s="326"/>
      <c r="K183" s="327"/>
      <c r="L183" s="327"/>
    </row>
    <row r="184" spans="1:12" ht="13">
      <c r="A184" s="306" t="s">
        <v>5834</v>
      </c>
      <c r="B184" s="297">
        <v>2020</v>
      </c>
      <c r="C184" s="299" t="s">
        <v>5723</v>
      </c>
      <c r="D184" s="298">
        <v>144</v>
      </c>
      <c r="E184" s="326"/>
      <c r="F184" s="299"/>
      <c r="G184" s="326"/>
      <c r="H184" s="326"/>
      <c r="I184" s="326"/>
      <c r="J184" s="326"/>
      <c r="K184" s="327"/>
      <c r="L184" s="327"/>
    </row>
    <row r="185" spans="1:12" ht="13">
      <c r="A185" s="309" t="s">
        <v>5835</v>
      </c>
      <c r="B185" s="297"/>
      <c r="C185" s="299"/>
      <c r="D185" s="298">
        <f>D184/12</f>
        <v>12</v>
      </c>
      <c r="E185" s="326"/>
      <c r="F185" s="299"/>
      <c r="G185" s="326"/>
      <c r="H185" s="326"/>
      <c r="I185" s="326"/>
      <c r="J185" s="326"/>
      <c r="K185" s="327"/>
      <c r="L185" s="327"/>
    </row>
    <row r="186" spans="1:12" ht="18">
      <c r="A186" s="745" t="s">
        <v>5836</v>
      </c>
      <c r="B186" s="689"/>
      <c r="C186" s="689"/>
      <c r="D186" s="689"/>
      <c r="E186" s="689"/>
      <c r="F186" s="689"/>
      <c r="G186" s="689"/>
      <c r="H186" s="689"/>
      <c r="I186" s="690"/>
      <c r="J186" s="330"/>
      <c r="K186" s="331"/>
      <c r="L186" s="331"/>
    </row>
    <row r="187" spans="1:12" ht="13">
      <c r="A187" s="316" t="s">
        <v>5837</v>
      </c>
      <c r="B187" s="297">
        <v>2022</v>
      </c>
      <c r="C187" s="299" t="s">
        <v>5723</v>
      </c>
      <c r="D187" s="298">
        <v>168</v>
      </c>
      <c r="E187" s="326"/>
      <c r="F187" s="299"/>
      <c r="G187" s="326"/>
      <c r="H187" s="326"/>
      <c r="I187" s="326"/>
      <c r="J187" s="326"/>
      <c r="K187" s="327"/>
      <c r="L187" s="327"/>
    </row>
    <row r="188" spans="1:12" ht="13">
      <c r="A188" s="309" t="s">
        <v>5838</v>
      </c>
      <c r="B188" s="297"/>
      <c r="C188" s="299"/>
      <c r="D188" s="298">
        <f>D187/12</f>
        <v>14</v>
      </c>
      <c r="E188" s="326"/>
      <c r="F188" s="299"/>
      <c r="G188" s="326"/>
      <c r="H188" s="326"/>
      <c r="I188" s="326"/>
      <c r="J188" s="326"/>
      <c r="K188" s="327"/>
      <c r="L188" s="327"/>
    </row>
    <row r="189" spans="1:12" ht="13">
      <c r="A189" s="321" t="s">
        <v>5839</v>
      </c>
      <c r="B189" s="297">
        <v>2022</v>
      </c>
      <c r="C189" s="299" t="s">
        <v>5723</v>
      </c>
      <c r="D189" s="328">
        <v>144</v>
      </c>
      <c r="E189" s="326"/>
      <c r="F189" s="299"/>
      <c r="G189" s="326"/>
      <c r="H189" s="326"/>
      <c r="I189" s="326"/>
      <c r="J189" s="326"/>
      <c r="K189" s="327"/>
      <c r="L189" s="327"/>
    </row>
    <row r="190" spans="1:12" ht="13">
      <c r="A190" s="299" t="s">
        <v>106</v>
      </c>
      <c r="B190" s="297"/>
      <c r="C190" s="299"/>
      <c r="D190" s="298">
        <f>D189/12</f>
        <v>12</v>
      </c>
      <c r="E190" s="326"/>
      <c r="F190" s="299"/>
      <c r="G190" s="326"/>
      <c r="H190" s="326"/>
      <c r="I190" s="326"/>
      <c r="J190" s="326"/>
      <c r="K190" s="327"/>
      <c r="L190" s="327"/>
    </row>
    <row r="191" spans="1:12" ht="13">
      <c r="A191" s="306" t="s">
        <v>5840</v>
      </c>
      <c r="B191" s="297">
        <v>2022</v>
      </c>
      <c r="C191" s="299" t="s">
        <v>5723</v>
      </c>
      <c r="D191" s="328">
        <v>108</v>
      </c>
      <c r="E191" s="326"/>
      <c r="F191" s="299"/>
      <c r="G191" s="326"/>
      <c r="H191" s="326"/>
      <c r="I191" s="326"/>
      <c r="J191" s="326"/>
      <c r="K191" s="327"/>
      <c r="L191" s="327"/>
    </row>
    <row r="192" spans="1:12" ht="13">
      <c r="A192" s="309" t="s">
        <v>67</v>
      </c>
      <c r="B192" s="297"/>
      <c r="C192" s="299"/>
      <c r="D192" s="298">
        <f>D191/12</f>
        <v>9</v>
      </c>
      <c r="E192" s="326"/>
      <c r="F192" s="299"/>
      <c r="G192" s="326"/>
      <c r="H192" s="326"/>
      <c r="I192" s="326"/>
      <c r="J192" s="326"/>
      <c r="K192" s="327"/>
      <c r="L192" s="327"/>
    </row>
    <row r="193" spans="1:12" ht="13">
      <c r="A193" s="306" t="s">
        <v>5841</v>
      </c>
      <c r="B193" s="297">
        <v>2021</v>
      </c>
      <c r="C193" s="299" t="s">
        <v>5723</v>
      </c>
      <c r="D193" s="298">
        <v>188</v>
      </c>
      <c r="E193" s="326"/>
      <c r="F193" s="299"/>
      <c r="G193" s="326"/>
      <c r="H193" s="326"/>
      <c r="I193" s="326"/>
      <c r="J193" s="326"/>
      <c r="K193" s="327"/>
      <c r="L193" s="327"/>
    </row>
    <row r="194" spans="1:12" ht="13">
      <c r="A194" s="309" t="s">
        <v>225</v>
      </c>
      <c r="B194" s="297"/>
      <c r="C194" s="299"/>
      <c r="D194" s="298">
        <f>D193/12</f>
        <v>15.666666666666666</v>
      </c>
      <c r="E194" s="326"/>
      <c r="F194" s="299"/>
      <c r="G194" s="326"/>
      <c r="H194" s="326"/>
      <c r="I194" s="326"/>
      <c r="J194" s="326"/>
      <c r="K194" s="327"/>
      <c r="L194" s="327"/>
    </row>
    <row r="195" spans="1:12" ht="13">
      <c r="A195" s="306" t="s">
        <v>5842</v>
      </c>
      <c r="B195" s="297">
        <v>2022</v>
      </c>
      <c r="C195" s="299" t="s">
        <v>5723</v>
      </c>
      <c r="D195" s="298">
        <v>162</v>
      </c>
      <c r="E195" s="326"/>
      <c r="F195" s="299"/>
      <c r="G195" s="326"/>
      <c r="H195" s="326"/>
      <c r="I195" s="326"/>
      <c r="J195" s="326"/>
      <c r="K195" s="327"/>
      <c r="L195" s="327"/>
    </row>
    <row r="196" spans="1:12" ht="13">
      <c r="A196" s="309" t="s">
        <v>5843</v>
      </c>
      <c r="B196" s="297"/>
      <c r="C196" s="299"/>
      <c r="D196" s="298">
        <f>D195/12</f>
        <v>13.5</v>
      </c>
      <c r="E196" s="326"/>
      <c r="F196" s="299"/>
      <c r="G196" s="326"/>
      <c r="H196" s="326"/>
      <c r="I196" s="326"/>
      <c r="J196" s="326"/>
      <c r="K196" s="327"/>
      <c r="L196" s="327"/>
    </row>
    <row r="197" spans="1:12" ht="13">
      <c r="A197" s="746" t="s">
        <v>3942</v>
      </c>
      <c r="B197" s="689"/>
      <c r="C197" s="689"/>
      <c r="D197" s="689"/>
      <c r="E197" s="689"/>
      <c r="F197" s="689"/>
      <c r="G197" s="689"/>
      <c r="H197" s="689"/>
      <c r="I197" s="690"/>
      <c r="J197" s="344"/>
      <c r="K197" s="345"/>
      <c r="L197" s="345"/>
    </row>
    <row r="198" spans="1:12" ht="13">
      <c r="A198" s="747" t="s">
        <v>3943</v>
      </c>
      <c r="B198" s="689"/>
      <c r="C198" s="689"/>
      <c r="D198" s="689"/>
      <c r="E198" s="689"/>
      <c r="F198" s="689"/>
      <c r="G198" s="689"/>
      <c r="H198" s="689"/>
      <c r="I198" s="690"/>
      <c r="J198" s="346"/>
      <c r="K198" s="347"/>
      <c r="L198" s="347"/>
    </row>
    <row r="199" spans="1:12" ht="13">
      <c r="A199" s="748" t="s">
        <v>3945</v>
      </c>
      <c r="B199" s="689"/>
      <c r="C199" s="689"/>
      <c r="D199" s="689"/>
      <c r="E199" s="689"/>
      <c r="F199" s="689"/>
      <c r="G199" s="689"/>
      <c r="H199" s="689"/>
      <c r="I199" s="690"/>
      <c r="J199" s="348"/>
      <c r="K199" s="349"/>
      <c r="L199" s="349"/>
    </row>
    <row r="200" spans="1:12" ht="13">
      <c r="A200" s="749" t="s">
        <v>3947</v>
      </c>
      <c r="B200" s="689"/>
      <c r="C200" s="689"/>
      <c r="D200" s="689"/>
      <c r="E200" s="689"/>
      <c r="F200" s="689"/>
      <c r="G200" s="689"/>
      <c r="H200" s="689"/>
      <c r="I200" s="690"/>
      <c r="J200" s="350"/>
      <c r="K200" s="351"/>
      <c r="L200" s="351"/>
    </row>
  </sheetData>
  <mergeCells count="28">
    <mergeCell ref="A200:I200"/>
    <mergeCell ref="A122:I122"/>
    <mergeCell ref="A137:I137"/>
    <mergeCell ref="A140:I140"/>
    <mergeCell ref="A151:I151"/>
    <mergeCell ref="A154:I154"/>
    <mergeCell ref="A159:I159"/>
    <mergeCell ref="A168:I168"/>
    <mergeCell ref="A174:I174"/>
    <mergeCell ref="A186:I186"/>
    <mergeCell ref="A197:I197"/>
    <mergeCell ref="A198:I198"/>
    <mergeCell ref="A199:I199"/>
    <mergeCell ref="A106:I106"/>
    <mergeCell ref="A115:I115"/>
    <mergeCell ref="A118:I118"/>
    <mergeCell ref="A121:I121"/>
    <mergeCell ref="A169:I169"/>
    <mergeCell ref="A53:I53"/>
    <mergeCell ref="A84:I84"/>
    <mergeCell ref="A85:I85"/>
    <mergeCell ref="A98:I98"/>
    <mergeCell ref="A99:I99"/>
    <mergeCell ref="A11:I11"/>
    <mergeCell ref="A12:I12"/>
    <mergeCell ref="A13:I13"/>
    <mergeCell ref="A28:I28"/>
    <mergeCell ref="A29:I29"/>
  </mergeCells>
  <printOptions horizontalCentered="1" gridLines="1"/>
  <pageMargins left="0.7" right="0.7" top="0.75" bottom="0.75" header="0" footer="0"/>
  <pageSetup fitToHeight="0" pageOrder="overThenDown" orientation="portrait" cellComments="atEnd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61"/>
  <sheetViews>
    <sheetView workbookViewId="0"/>
  </sheetViews>
  <sheetFormatPr baseColWidth="10" defaultColWidth="12.6640625" defaultRowHeight="15.75" customHeight="1"/>
  <cols>
    <col min="1" max="1" width="19.6640625" customWidth="1"/>
    <col min="2" max="2" width="86.1640625" customWidth="1"/>
    <col min="3" max="3" width="64.5" customWidth="1"/>
    <col min="4" max="4" width="18.83203125" customWidth="1"/>
    <col min="5" max="5" width="19.1640625" customWidth="1"/>
  </cols>
  <sheetData>
    <row r="1" spans="1:5" ht="47.25" customHeight="1">
      <c r="A1" s="352"/>
      <c r="B1" s="353"/>
      <c r="C1" s="353"/>
      <c r="D1" s="353"/>
      <c r="E1" s="353"/>
    </row>
    <row r="2" spans="1:5" ht="16">
      <c r="A2" s="354" t="s">
        <v>5844</v>
      </c>
      <c r="B2" s="354" t="s">
        <v>5845</v>
      </c>
      <c r="C2" s="354" t="s">
        <v>5846</v>
      </c>
      <c r="D2" s="354" t="s">
        <v>5847</v>
      </c>
      <c r="E2" s="354" t="s">
        <v>5848</v>
      </c>
    </row>
    <row r="3" spans="1:5" ht="20">
      <c r="A3" s="751" t="s">
        <v>4255</v>
      </c>
      <c r="B3" s="725"/>
      <c r="C3" s="725"/>
      <c r="D3" s="725"/>
      <c r="E3" s="725"/>
    </row>
    <row r="4" spans="1:5" ht="16">
      <c r="A4" s="355" t="s">
        <v>844</v>
      </c>
      <c r="B4" s="356" t="s">
        <v>5849</v>
      </c>
      <c r="C4" s="355" t="s">
        <v>3133</v>
      </c>
      <c r="D4" s="357">
        <v>306</v>
      </c>
      <c r="E4" s="358">
        <v>240</v>
      </c>
    </row>
    <row r="5" spans="1:5" ht="16">
      <c r="A5" s="355" t="s">
        <v>850</v>
      </c>
      <c r="B5" s="356" t="s">
        <v>5850</v>
      </c>
      <c r="C5" s="355" t="s">
        <v>3133</v>
      </c>
      <c r="D5" s="357">
        <v>360</v>
      </c>
      <c r="E5" s="358">
        <v>240</v>
      </c>
    </row>
    <row r="6" spans="1:5" ht="16">
      <c r="A6" s="355" t="s">
        <v>5851</v>
      </c>
      <c r="B6" s="356" t="s">
        <v>5852</v>
      </c>
      <c r="C6" s="355" t="s">
        <v>3160</v>
      </c>
      <c r="D6" s="357">
        <v>642</v>
      </c>
      <c r="E6" s="358">
        <v>480</v>
      </c>
    </row>
    <row r="7" spans="1:5" ht="16">
      <c r="A7" s="355" t="s">
        <v>1720</v>
      </c>
      <c r="B7" s="356" t="s">
        <v>5853</v>
      </c>
      <c r="C7" s="355" t="s">
        <v>5854</v>
      </c>
      <c r="D7" s="357">
        <v>144</v>
      </c>
      <c r="E7" s="358">
        <v>108</v>
      </c>
    </row>
    <row r="8" spans="1:5" ht="16">
      <c r="A8" s="359" t="s">
        <v>5855</v>
      </c>
      <c r="B8" s="356" t="s">
        <v>5856</v>
      </c>
      <c r="C8" s="355" t="s">
        <v>5857</v>
      </c>
      <c r="D8" s="357">
        <v>120</v>
      </c>
      <c r="E8" s="358">
        <v>84</v>
      </c>
    </row>
    <row r="9" spans="1:5" ht="16">
      <c r="A9" s="355" t="s">
        <v>1729</v>
      </c>
      <c r="B9" s="356" t="s">
        <v>5858</v>
      </c>
      <c r="C9" s="355" t="s">
        <v>5857</v>
      </c>
      <c r="D9" s="357">
        <v>192</v>
      </c>
      <c r="E9" s="358">
        <v>156</v>
      </c>
    </row>
    <row r="10" spans="1:5" ht="16">
      <c r="A10" s="355" t="s">
        <v>1725</v>
      </c>
      <c r="B10" s="356" t="s">
        <v>5859</v>
      </c>
      <c r="C10" s="355" t="s">
        <v>5857</v>
      </c>
      <c r="D10" s="357">
        <v>156</v>
      </c>
      <c r="E10" s="358">
        <v>120</v>
      </c>
    </row>
    <row r="11" spans="1:5" ht="16">
      <c r="A11" s="355" t="s">
        <v>5860</v>
      </c>
      <c r="B11" s="356" t="s">
        <v>5861</v>
      </c>
      <c r="C11" s="355" t="s">
        <v>5862</v>
      </c>
      <c r="D11" s="357">
        <v>384</v>
      </c>
      <c r="E11" s="358">
        <v>252</v>
      </c>
    </row>
    <row r="12" spans="1:5" ht="16">
      <c r="A12" s="355" t="s">
        <v>259</v>
      </c>
      <c r="B12" s="356" t="s">
        <v>5863</v>
      </c>
      <c r="C12" s="355" t="s">
        <v>5864</v>
      </c>
      <c r="D12" s="357">
        <v>198</v>
      </c>
      <c r="E12" s="358">
        <v>162</v>
      </c>
    </row>
    <row r="13" spans="1:5" ht="16">
      <c r="A13" s="355" t="s">
        <v>5865</v>
      </c>
      <c r="B13" s="356" t="s">
        <v>5866</v>
      </c>
      <c r="C13" s="355" t="s">
        <v>5867</v>
      </c>
      <c r="D13" s="357">
        <v>192</v>
      </c>
      <c r="E13" s="358">
        <v>144</v>
      </c>
    </row>
    <row r="14" spans="1:5" ht="16">
      <c r="A14" s="355" t="s">
        <v>1156</v>
      </c>
      <c r="B14" s="356" t="s">
        <v>5868</v>
      </c>
      <c r="C14" s="355" t="s">
        <v>3133</v>
      </c>
      <c r="D14" s="357">
        <v>180</v>
      </c>
      <c r="E14" s="358">
        <v>96</v>
      </c>
    </row>
    <row r="15" spans="1:5" ht="16">
      <c r="A15" s="355" t="s">
        <v>5869</v>
      </c>
      <c r="B15" s="356" t="s">
        <v>5870</v>
      </c>
      <c r="C15" s="355" t="s">
        <v>5854</v>
      </c>
      <c r="D15" s="357">
        <v>384</v>
      </c>
      <c r="E15" s="358">
        <v>240</v>
      </c>
    </row>
    <row r="16" spans="1:5" ht="16">
      <c r="A16" s="355" t="s">
        <v>5871</v>
      </c>
      <c r="B16" s="356" t="s">
        <v>5872</v>
      </c>
      <c r="C16" s="355" t="s">
        <v>5857</v>
      </c>
      <c r="D16" s="357">
        <v>384</v>
      </c>
      <c r="E16" s="358">
        <v>240</v>
      </c>
    </row>
    <row r="17" spans="1:5" ht="16">
      <c r="A17" s="355" t="s">
        <v>1034</v>
      </c>
      <c r="B17" s="356" t="s">
        <v>5873</v>
      </c>
      <c r="C17" s="355" t="s">
        <v>5874</v>
      </c>
      <c r="D17" s="357">
        <v>240</v>
      </c>
      <c r="E17" s="358">
        <v>216</v>
      </c>
    </row>
    <row r="18" spans="1:5" ht="16">
      <c r="A18" s="355" t="s">
        <v>5875</v>
      </c>
      <c r="B18" s="356" t="s">
        <v>5876</v>
      </c>
      <c r="C18" s="355" t="s">
        <v>5877</v>
      </c>
      <c r="D18" s="357">
        <v>180</v>
      </c>
      <c r="E18" s="358">
        <v>96</v>
      </c>
    </row>
    <row r="19" spans="1:5" ht="16">
      <c r="A19" s="355" t="s">
        <v>5878</v>
      </c>
      <c r="B19" s="356" t="s">
        <v>5879</v>
      </c>
      <c r="C19" s="355" t="s">
        <v>5877</v>
      </c>
      <c r="D19" s="357">
        <v>198</v>
      </c>
      <c r="E19" s="358">
        <v>60</v>
      </c>
    </row>
    <row r="20" spans="1:5" ht="20">
      <c r="A20" s="751" t="s">
        <v>4887</v>
      </c>
      <c r="B20" s="725"/>
      <c r="C20" s="725"/>
      <c r="D20" s="725"/>
      <c r="E20" s="725"/>
    </row>
    <row r="21" spans="1:5" ht="16">
      <c r="A21" s="355" t="s">
        <v>2309</v>
      </c>
      <c r="B21" s="356" t="s">
        <v>5880</v>
      </c>
      <c r="C21" s="360" t="s">
        <v>5881</v>
      </c>
      <c r="D21" s="357">
        <v>222</v>
      </c>
      <c r="E21" s="358">
        <v>180</v>
      </c>
    </row>
    <row r="22" spans="1:5" ht="16">
      <c r="A22" s="355" t="s">
        <v>2320</v>
      </c>
      <c r="B22" s="356" t="s">
        <v>5882</v>
      </c>
      <c r="C22" s="360" t="s">
        <v>5883</v>
      </c>
      <c r="D22" s="357">
        <v>150</v>
      </c>
      <c r="E22" s="358">
        <v>114</v>
      </c>
    </row>
    <row r="23" spans="1:5" ht="16">
      <c r="A23" s="355" t="s">
        <v>2324</v>
      </c>
      <c r="B23" s="356" t="s">
        <v>5884</v>
      </c>
      <c r="C23" s="360" t="s">
        <v>5885</v>
      </c>
      <c r="D23" s="357">
        <v>168</v>
      </c>
      <c r="E23" s="358">
        <v>126</v>
      </c>
    </row>
    <row r="24" spans="1:5" ht="16">
      <c r="A24" s="355" t="s">
        <v>2332</v>
      </c>
      <c r="B24" s="356" t="s">
        <v>5886</v>
      </c>
      <c r="C24" s="361" t="s">
        <v>5887</v>
      </c>
      <c r="D24" s="357">
        <v>168</v>
      </c>
      <c r="E24" s="358">
        <v>126</v>
      </c>
    </row>
    <row r="25" spans="1:5" ht="16">
      <c r="A25" s="355" t="s">
        <v>5888</v>
      </c>
      <c r="B25" s="356" t="s">
        <v>5889</v>
      </c>
      <c r="C25" s="360" t="s">
        <v>5890</v>
      </c>
      <c r="D25" s="357">
        <v>168</v>
      </c>
      <c r="E25" s="358">
        <v>126</v>
      </c>
    </row>
    <row r="26" spans="1:5" ht="16">
      <c r="A26" s="355" t="s">
        <v>5891</v>
      </c>
      <c r="B26" s="356" t="s">
        <v>5892</v>
      </c>
      <c r="C26" s="355" t="s">
        <v>3151</v>
      </c>
      <c r="D26" s="357">
        <v>168</v>
      </c>
      <c r="E26" s="358">
        <v>126</v>
      </c>
    </row>
    <row r="27" spans="1:5" ht="16">
      <c r="A27" s="355" t="s">
        <v>2375</v>
      </c>
      <c r="B27" s="356" t="s">
        <v>5893</v>
      </c>
      <c r="C27" s="355" t="s">
        <v>3151</v>
      </c>
      <c r="D27" s="357">
        <v>270</v>
      </c>
      <c r="E27" s="358">
        <v>180</v>
      </c>
    </row>
    <row r="28" spans="1:5" ht="16">
      <c r="A28" s="355" t="s">
        <v>2377</v>
      </c>
      <c r="B28" s="356" t="s">
        <v>5894</v>
      </c>
      <c r="C28" s="355" t="s">
        <v>5895</v>
      </c>
      <c r="D28" s="357">
        <v>210</v>
      </c>
      <c r="E28" s="358">
        <v>168</v>
      </c>
    </row>
    <row r="29" spans="1:5" ht="16">
      <c r="A29" s="355" t="s">
        <v>2383</v>
      </c>
      <c r="B29" s="356" t="s">
        <v>5896</v>
      </c>
      <c r="C29" s="355" t="s">
        <v>5897</v>
      </c>
      <c r="D29" s="357">
        <v>204</v>
      </c>
      <c r="E29" s="358">
        <v>156</v>
      </c>
    </row>
    <row r="30" spans="1:5" ht="16">
      <c r="A30" s="355" t="s">
        <v>2822</v>
      </c>
      <c r="B30" s="356" t="s">
        <v>5898</v>
      </c>
      <c r="C30" s="355" t="s">
        <v>5899</v>
      </c>
      <c r="D30" s="357">
        <v>168</v>
      </c>
      <c r="E30" s="358">
        <v>120</v>
      </c>
    </row>
    <row r="31" spans="1:5" ht="16">
      <c r="A31" s="355" t="s">
        <v>2787</v>
      </c>
      <c r="B31" s="356" t="s">
        <v>5900</v>
      </c>
      <c r="C31" s="355" t="s">
        <v>5901</v>
      </c>
      <c r="D31" s="357">
        <v>168</v>
      </c>
      <c r="E31" s="358">
        <v>120</v>
      </c>
    </row>
    <row r="32" spans="1:5" ht="20">
      <c r="A32" s="751" t="s">
        <v>3971</v>
      </c>
      <c r="B32" s="725"/>
      <c r="C32" s="725"/>
      <c r="D32" s="725"/>
      <c r="E32" s="725"/>
    </row>
    <row r="33" spans="1:5" ht="16">
      <c r="A33" s="362" t="s">
        <v>5902</v>
      </c>
      <c r="B33" s="363" t="s">
        <v>5903</v>
      </c>
      <c r="C33" s="355" t="s">
        <v>5904</v>
      </c>
      <c r="D33" s="357">
        <v>186</v>
      </c>
      <c r="E33" s="358">
        <v>144</v>
      </c>
    </row>
    <row r="34" spans="1:5" ht="16">
      <c r="A34" s="362" t="s">
        <v>5905</v>
      </c>
      <c r="B34" s="363" t="s">
        <v>5906</v>
      </c>
      <c r="C34" s="355" t="s">
        <v>5907</v>
      </c>
      <c r="D34" s="357">
        <v>252</v>
      </c>
      <c r="E34" s="358">
        <v>96</v>
      </c>
    </row>
    <row r="35" spans="1:5" ht="16">
      <c r="A35" s="361" t="s">
        <v>5908</v>
      </c>
      <c r="B35" s="363" t="s">
        <v>5909</v>
      </c>
      <c r="C35" s="355" t="s">
        <v>5907</v>
      </c>
      <c r="D35" s="357">
        <v>252</v>
      </c>
      <c r="E35" s="358">
        <v>120</v>
      </c>
    </row>
    <row r="36" spans="1:5" ht="16">
      <c r="A36" s="362" t="s">
        <v>2686</v>
      </c>
      <c r="B36" s="363" t="s">
        <v>5910</v>
      </c>
      <c r="C36" s="355" t="s">
        <v>5911</v>
      </c>
      <c r="D36" s="357">
        <v>258</v>
      </c>
      <c r="E36" s="358">
        <v>180</v>
      </c>
    </row>
    <row r="37" spans="1:5" ht="16">
      <c r="A37" s="361" t="s">
        <v>5912</v>
      </c>
      <c r="B37" s="363" t="s">
        <v>5913</v>
      </c>
      <c r="C37" s="355" t="s">
        <v>5914</v>
      </c>
      <c r="D37" s="357">
        <v>252</v>
      </c>
      <c r="E37" s="358">
        <v>60</v>
      </c>
    </row>
    <row r="38" spans="1:5" ht="16">
      <c r="A38" s="362" t="s">
        <v>2690</v>
      </c>
      <c r="B38" s="363" t="s">
        <v>5915</v>
      </c>
      <c r="C38" s="355" t="s">
        <v>5916</v>
      </c>
      <c r="D38" s="357">
        <v>252</v>
      </c>
      <c r="E38" s="358">
        <v>96</v>
      </c>
    </row>
    <row r="39" spans="1:5" ht="16">
      <c r="A39" s="362" t="s">
        <v>5917</v>
      </c>
      <c r="B39" s="363" t="s">
        <v>5918</v>
      </c>
      <c r="C39" s="355" t="s">
        <v>5919</v>
      </c>
      <c r="D39" s="357">
        <v>252</v>
      </c>
      <c r="E39" s="358">
        <v>60</v>
      </c>
    </row>
    <row r="40" spans="1:5" ht="16">
      <c r="A40" s="362" t="s">
        <v>5920</v>
      </c>
      <c r="B40" s="363" t="s">
        <v>5921</v>
      </c>
      <c r="C40" s="355" t="s">
        <v>5922</v>
      </c>
      <c r="D40" s="357">
        <v>252</v>
      </c>
      <c r="E40" s="358">
        <v>96</v>
      </c>
    </row>
    <row r="41" spans="1:5" ht="16">
      <c r="A41" s="362" t="s">
        <v>5923</v>
      </c>
      <c r="B41" s="363" t="s">
        <v>5924</v>
      </c>
      <c r="C41" s="355" t="s">
        <v>5925</v>
      </c>
      <c r="D41" s="357">
        <v>258</v>
      </c>
      <c r="E41" s="358">
        <v>96</v>
      </c>
    </row>
    <row r="42" spans="1:5" ht="16">
      <c r="A42" s="362" t="s">
        <v>5926</v>
      </c>
      <c r="B42" s="363" t="s">
        <v>5927</v>
      </c>
      <c r="C42" s="355" t="s">
        <v>5928</v>
      </c>
      <c r="D42" s="357">
        <v>168</v>
      </c>
      <c r="E42" s="358">
        <v>96</v>
      </c>
    </row>
    <row r="43" spans="1:5" ht="20">
      <c r="A43" s="751" t="s">
        <v>5158</v>
      </c>
      <c r="B43" s="725"/>
      <c r="C43" s="725"/>
      <c r="D43" s="725"/>
      <c r="E43" s="725"/>
    </row>
    <row r="44" spans="1:5" ht="16">
      <c r="A44" s="355" t="s">
        <v>3192</v>
      </c>
      <c r="B44" s="363" t="s">
        <v>5929</v>
      </c>
      <c r="C44" s="355" t="s">
        <v>5930</v>
      </c>
      <c r="D44" s="357">
        <v>246</v>
      </c>
      <c r="E44" s="358">
        <v>192</v>
      </c>
    </row>
    <row r="45" spans="1:5" ht="20">
      <c r="A45" s="751" t="s">
        <v>5931</v>
      </c>
      <c r="B45" s="725"/>
      <c r="C45" s="725"/>
      <c r="D45" s="725"/>
      <c r="E45" s="725"/>
    </row>
    <row r="46" spans="1:5" ht="16">
      <c r="A46" s="355" t="s">
        <v>2849</v>
      </c>
      <c r="B46" s="356" t="s">
        <v>5932</v>
      </c>
      <c r="C46" s="355" t="s">
        <v>5933</v>
      </c>
      <c r="D46" s="357">
        <v>198</v>
      </c>
      <c r="E46" s="358">
        <v>138</v>
      </c>
    </row>
    <row r="47" spans="1:5" ht="16">
      <c r="A47" s="355" t="s">
        <v>2940</v>
      </c>
      <c r="B47" s="356" t="s">
        <v>5934</v>
      </c>
      <c r="C47" s="355" t="s">
        <v>5935</v>
      </c>
      <c r="D47" s="357">
        <v>234</v>
      </c>
      <c r="E47" s="358">
        <v>180</v>
      </c>
    </row>
    <row r="48" spans="1:5" ht="20">
      <c r="A48" s="751" t="s">
        <v>4940</v>
      </c>
      <c r="B48" s="725"/>
      <c r="C48" s="725"/>
      <c r="D48" s="725"/>
      <c r="E48" s="725"/>
    </row>
    <row r="49" spans="1:5" ht="16">
      <c r="A49" s="355" t="s">
        <v>5936</v>
      </c>
      <c r="B49" s="356" t="s">
        <v>5937</v>
      </c>
      <c r="C49" s="355" t="s">
        <v>5938</v>
      </c>
      <c r="D49" s="357">
        <v>120</v>
      </c>
      <c r="E49" s="358">
        <v>60</v>
      </c>
    </row>
    <row r="50" spans="1:5" ht="16">
      <c r="A50" s="355" t="s">
        <v>3303</v>
      </c>
      <c r="B50" s="356" t="s">
        <v>5939</v>
      </c>
      <c r="C50" s="355" t="s">
        <v>5940</v>
      </c>
      <c r="D50" s="357">
        <v>348</v>
      </c>
      <c r="E50" s="358">
        <v>144</v>
      </c>
    </row>
    <row r="51" spans="1:5" ht="16">
      <c r="A51" s="355" t="s">
        <v>5941</v>
      </c>
      <c r="B51" s="356" t="s">
        <v>5942</v>
      </c>
      <c r="C51" s="355" t="s">
        <v>5943</v>
      </c>
      <c r="D51" s="357">
        <v>156</v>
      </c>
      <c r="E51" s="358">
        <v>132</v>
      </c>
    </row>
    <row r="52" spans="1:5" ht="16">
      <c r="A52" s="355" t="s">
        <v>5944</v>
      </c>
      <c r="B52" s="356" t="s">
        <v>5945</v>
      </c>
      <c r="C52" s="355" t="s">
        <v>5946</v>
      </c>
      <c r="D52" s="357">
        <v>168</v>
      </c>
      <c r="E52" s="358">
        <v>144</v>
      </c>
    </row>
    <row r="53" spans="1:5" ht="16">
      <c r="A53" s="355" t="s">
        <v>5947</v>
      </c>
      <c r="B53" s="356" t="s">
        <v>5948</v>
      </c>
      <c r="C53" s="355" t="s">
        <v>5949</v>
      </c>
      <c r="D53" s="357">
        <v>360</v>
      </c>
      <c r="E53" s="358">
        <v>60</v>
      </c>
    </row>
    <row r="54" spans="1:5" ht="16">
      <c r="A54" s="355" t="s">
        <v>5950</v>
      </c>
      <c r="B54" s="356" t="s">
        <v>5951</v>
      </c>
      <c r="C54" s="355" t="s">
        <v>5952</v>
      </c>
      <c r="D54" s="357">
        <v>228</v>
      </c>
      <c r="E54" s="358">
        <v>216</v>
      </c>
    </row>
    <row r="55" spans="1:5" ht="16">
      <c r="A55" s="355" t="s">
        <v>3391</v>
      </c>
      <c r="B55" s="356" t="s">
        <v>5953</v>
      </c>
      <c r="C55" s="355" t="s">
        <v>5954</v>
      </c>
      <c r="D55" s="357">
        <v>180</v>
      </c>
      <c r="E55" s="358">
        <v>120</v>
      </c>
    </row>
    <row r="56" spans="1:5" ht="16">
      <c r="A56" s="355" t="s">
        <v>5955</v>
      </c>
      <c r="B56" s="356" t="s">
        <v>5956</v>
      </c>
      <c r="C56" s="355" t="s">
        <v>5957</v>
      </c>
      <c r="D56" s="357">
        <v>180</v>
      </c>
      <c r="E56" s="358">
        <v>120</v>
      </c>
    </row>
    <row r="57" spans="1:5" ht="16">
      <c r="A57" s="355" t="s">
        <v>3370</v>
      </c>
      <c r="B57" s="356" t="s">
        <v>5958</v>
      </c>
      <c r="C57" s="355" t="s">
        <v>5959</v>
      </c>
      <c r="D57" s="357">
        <v>180</v>
      </c>
      <c r="E57" s="358">
        <v>120</v>
      </c>
    </row>
    <row r="58" spans="1:5" ht="20">
      <c r="A58" s="751" t="s">
        <v>4908</v>
      </c>
      <c r="B58" s="725"/>
      <c r="C58" s="725"/>
      <c r="D58" s="725"/>
      <c r="E58" s="725"/>
    </row>
    <row r="59" spans="1:5" ht="16">
      <c r="A59" s="355" t="s">
        <v>3686</v>
      </c>
      <c r="B59" s="356" t="s">
        <v>5960</v>
      </c>
      <c r="C59" s="355" t="s">
        <v>5961</v>
      </c>
      <c r="D59" s="357">
        <v>156</v>
      </c>
      <c r="E59" s="358">
        <v>120</v>
      </c>
    </row>
    <row r="60" spans="1:5" ht="16">
      <c r="A60" s="355" t="s">
        <v>3684</v>
      </c>
      <c r="B60" s="356" t="s">
        <v>5962</v>
      </c>
      <c r="C60" s="355" t="s">
        <v>5961</v>
      </c>
      <c r="D60" s="357">
        <v>330</v>
      </c>
      <c r="E60" s="358">
        <v>240</v>
      </c>
    </row>
    <row r="61" spans="1:5" ht="16">
      <c r="A61" s="355" t="s">
        <v>3681</v>
      </c>
      <c r="B61" s="356" t="s">
        <v>5963</v>
      </c>
      <c r="C61" s="355" t="s">
        <v>5961</v>
      </c>
      <c r="D61" s="357">
        <v>156</v>
      </c>
      <c r="E61" s="358">
        <v>120</v>
      </c>
    </row>
  </sheetData>
  <mergeCells count="7">
    <mergeCell ref="A48:E48"/>
    <mergeCell ref="A58:E58"/>
    <mergeCell ref="A3:E3"/>
    <mergeCell ref="A20:E20"/>
    <mergeCell ref="A32:E32"/>
    <mergeCell ref="A43:E43"/>
    <mergeCell ref="A45:E4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307"/>
  <sheetViews>
    <sheetView workbookViewId="0"/>
  </sheetViews>
  <sheetFormatPr baseColWidth="10" defaultColWidth="12.6640625" defaultRowHeight="15.75" customHeight="1"/>
  <cols>
    <col min="1" max="1" width="13.1640625" customWidth="1"/>
    <col min="2" max="2" width="16.1640625" customWidth="1"/>
    <col min="3" max="3" width="48.83203125" customWidth="1"/>
    <col min="4" max="5" width="9.1640625" customWidth="1"/>
    <col min="6" max="6" width="8.33203125" customWidth="1"/>
    <col min="7" max="7" width="9" customWidth="1"/>
    <col min="8" max="8" width="10.1640625" customWidth="1"/>
    <col min="9" max="9" width="8.1640625" customWidth="1"/>
    <col min="10" max="10" width="8.6640625" customWidth="1"/>
  </cols>
  <sheetData>
    <row r="1" spans="1:10" ht="15.75" customHeight="1">
      <c r="A1" s="752" t="s">
        <v>5964</v>
      </c>
      <c r="B1" s="725"/>
      <c r="C1" s="725"/>
      <c r="D1" s="725"/>
      <c r="E1" s="725"/>
      <c r="F1" s="725"/>
      <c r="G1" s="725"/>
      <c r="H1" s="725"/>
      <c r="I1" s="725"/>
      <c r="J1" s="725"/>
    </row>
    <row r="2" spans="1:10" ht="15.75" customHeight="1">
      <c r="A2" s="364" t="s">
        <v>3952</v>
      </c>
      <c r="B2" s="365" t="s">
        <v>5965</v>
      </c>
      <c r="C2" s="364" t="s">
        <v>5845</v>
      </c>
      <c r="D2" s="364" t="s">
        <v>3956</v>
      </c>
      <c r="E2" s="366" t="s">
        <v>5966</v>
      </c>
      <c r="F2" s="366" t="s">
        <v>5967</v>
      </c>
      <c r="G2" s="364" t="s">
        <v>3960</v>
      </c>
      <c r="H2" s="364" t="s">
        <v>5968</v>
      </c>
      <c r="I2" s="364" t="s">
        <v>5969</v>
      </c>
      <c r="J2" s="364" t="s">
        <v>5970</v>
      </c>
    </row>
    <row r="3" spans="1:10" ht="15.75" customHeight="1">
      <c r="A3" s="367"/>
      <c r="B3" s="368"/>
      <c r="C3" s="369" t="s">
        <v>5971</v>
      </c>
      <c r="D3" s="370"/>
      <c r="E3" s="371"/>
      <c r="F3" s="371"/>
      <c r="G3" s="367"/>
      <c r="H3" s="367"/>
      <c r="I3" s="372"/>
      <c r="J3" s="372"/>
    </row>
    <row r="4" spans="1:10" ht="15.75" customHeight="1">
      <c r="A4" s="373" t="s">
        <v>4255</v>
      </c>
      <c r="B4" s="374" t="s">
        <v>5972</v>
      </c>
      <c r="C4" s="375" t="s">
        <v>5973</v>
      </c>
      <c r="D4" s="376">
        <v>2021</v>
      </c>
      <c r="E4" s="377" t="s">
        <v>5974</v>
      </c>
      <c r="F4" s="378">
        <v>19</v>
      </c>
      <c r="G4" s="379">
        <v>222</v>
      </c>
      <c r="H4" s="367"/>
      <c r="I4" s="376">
        <v>14.2</v>
      </c>
      <c r="J4" s="380">
        <v>45231</v>
      </c>
    </row>
    <row r="5" spans="1:10" ht="15.75" customHeight="1">
      <c r="A5" s="373" t="s">
        <v>4255</v>
      </c>
      <c r="B5" s="374" t="s">
        <v>1529</v>
      </c>
      <c r="C5" s="375" t="s">
        <v>1530</v>
      </c>
      <c r="D5" s="376">
        <v>2021</v>
      </c>
      <c r="E5" s="377" t="s">
        <v>5974</v>
      </c>
      <c r="F5" s="378">
        <v>10</v>
      </c>
      <c r="G5" s="379">
        <v>192</v>
      </c>
      <c r="H5" s="367"/>
      <c r="I5" s="376">
        <v>14.2</v>
      </c>
      <c r="J5" s="380">
        <v>45231</v>
      </c>
    </row>
    <row r="6" spans="1:10" ht="15.75" customHeight="1">
      <c r="A6" s="373" t="s">
        <v>4255</v>
      </c>
      <c r="B6" s="374" t="s">
        <v>1558</v>
      </c>
      <c r="C6" s="375" t="s">
        <v>4257</v>
      </c>
      <c r="D6" s="376">
        <v>2022</v>
      </c>
      <c r="E6" s="377" t="s">
        <v>5974</v>
      </c>
      <c r="F6" s="378">
        <v>75</v>
      </c>
      <c r="G6" s="379">
        <v>192</v>
      </c>
      <c r="H6" s="367"/>
      <c r="I6" s="376">
        <v>14.2</v>
      </c>
      <c r="J6" s="380">
        <v>45231</v>
      </c>
    </row>
    <row r="7" spans="1:10" ht="15.75" customHeight="1">
      <c r="A7" s="373" t="s">
        <v>4255</v>
      </c>
      <c r="B7" s="374" t="s">
        <v>1556</v>
      </c>
      <c r="C7" s="375" t="s">
        <v>5975</v>
      </c>
      <c r="D7" s="376" t="s">
        <v>5</v>
      </c>
      <c r="E7" s="375" t="s">
        <v>5974</v>
      </c>
      <c r="F7" s="376">
        <v>10</v>
      </c>
      <c r="G7" s="379">
        <v>222</v>
      </c>
      <c r="H7" s="367"/>
      <c r="I7" s="376">
        <v>14.2</v>
      </c>
      <c r="J7" s="381">
        <v>45219</v>
      </c>
    </row>
    <row r="8" spans="1:10" ht="15.75" customHeight="1">
      <c r="A8" s="370"/>
      <c r="B8" s="368"/>
      <c r="C8" s="369" t="s">
        <v>4259</v>
      </c>
      <c r="D8" s="370"/>
      <c r="E8" s="370"/>
      <c r="F8" s="370"/>
      <c r="G8" s="367"/>
      <c r="H8" s="367"/>
      <c r="I8" s="370"/>
      <c r="J8" s="372"/>
    </row>
    <row r="9" spans="1:10" ht="15.75" customHeight="1">
      <c r="A9" s="382" t="s">
        <v>4255</v>
      </c>
      <c r="B9" s="374" t="s">
        <v>5976</v>
      </c>
      <c r="C9" s="375" t="s">
        <v>952</v>
      </c>
      <c r="D9" s="376">
        <v>2022</v>
      </c>
      <c r="E9" s="375" t="s">
        <v>5974</v>
      </c>
      <c r="F9" s="376">
        <v>10</v>
      </c>
      <c r="G9" s="379">
        <v>228</v>
      </c>
      <c r="H9" s="367"/>
      <c r="I9" s="376">
        <v>12</v>
      </c>
      <c r="J9" s="381">
        <v>45219</v>
      </c>
    </row>
    <row r="10" spans="1:10" ht="15.75" customHeight="1">
      <c r="A10" s="373" t="s">
        <v>4255</v>
      </c>
      <c r="B10" s="374" t="s">
        <v>5977</v>
      </c>
      <c r="C10" s="375" t="s">
        <v>952</v>
      </c>
      <c r="D10" s="376">
        <v>2022</v>
      </c>
      <c r="E10" s="375" t="s">
        <v>5978</v>
      </c>
      <c r="F10" s="376">
        <v>10</v>
      </c>
      <c r="G10" s="379">
        <v>133.5</v>
      </c>
      <c r="H10" s="367"/>
      <c r="I10" s="376">
        <v>12</v>
      </c>
      <c r="J10" s="381">
        <v>45219</v>
      </c>
    </row>
    <row r="11" spans="1:10" ht="15.75" customHeight="1">
      <c r="A11" s="373" t="s">
        <v>4255</v>
      </c>
      <c r="B11" s="374" t="s">
        <v>5979</v>
      </c>
      <c r="C11" s="375" t="s">
        <v>4280</v>
      </c>
      <c r="D11" s="376">
        <v>2022</v>
      </c>
      <c r="E11" s="375" t="s">
        <v>5974</v>
      </c>
      <c r="F11" s="376">
        <v>15</v>
      </c>
      <c r="G11" s="379">
        <v>252</v>
      </c>
      <c r="H11" s="367"/>
      <c r="I11" s="376">
        <v>12.5</v>
      </c>
      <c r="J11" s="381">
        <v>45219</v>
      </c>
    </row>
    <row r="12" spans="1:10" ht="15.75" customHeight="1">
      <c r="A12" s="373" t="s">
        <v>4255</v>
      </c>
      <c r="B12" s="374" t="s">
        <v>837</v>
      </c>
      <c r="C12" s="375" t="s">
        <v>5980</v>
      </c>
      <c r="D12" s="376">
        <v>2022</v>
      </c>
      <c r="E12" s="375" t="s">
        <v>5974</v>
      </c>
      <c r="F12" s="376">
        <v>10</v>
      </c>
      <c r="G12" s="379">
        <v>246</v>
      </c>
      <c r="H12" s="367"/>
      <c r="I12" s="376">
        <v>12.5</v>
      </c>
      <c r="J12" s="381">
        <v>45219</v>
      </c>
    </row>
    <row r="13" spans="1:10" ht="15.75" customHeight="1">
      <c r="A13" s="373" t="s">
        <v>4255</v>
      </c>
      <c r="B13" s="374" t="s">
        <v>4266</v>
      </c>
      <c r="C13" s="375" t="s">
        <v>4267</v>
      </c>
      <c r="D13" s="376">
        <v>2022</v>
      </c>
      <c r="E13" s="375" t="s">
        <v>5974</v>
      </c>
      <c r="F13" s="383">
        <v>15</v>
      </c>
      <c r="G13" s="379">
        <v>204</v>
      </c>
      <c r="H13" s="367"/>
      <c r="I13" s="376">
        <v>12</v>
      </c>
      <c r="J13" s="381">
        <v>45219</v>
      </c>
    </row>
    <row r="14" spans="1:10" ht="15.75" customHeight="1">
      <c r="A14" s="373" t="s">
        <v>4255</v>
      </c>
      <c r="B14" s="374" t="s">
        <v>4268</v>
      </c>
      <c r="C14" s="375" t="s">
        <v>4267</v>
      </c>
      <c r="D14" s="376">
        <v>2022</v>
      </c>
      <c r="E14" s="375" t="s">
        <v>5978</v>
      </c>
      <c r="F14" s="376">
        <v>10</v>
      </c>
      <c r="G14" s="379">
        <v>121.5</v>
      </c>
      <c r="H14" s="367"/>
      <c r="I14" s="376">
        <v>12</v>
      </c>
      <c r="J14" s="381">
        <v>45219</v>
      </c>
    </row>
    <row r="15" spans="1:10" ht="15.75" customHeight="1">
      <c r="A15" s="382" t="s">
        <v>4255</v>
      </c>
      <c r="B15" s="374" t="s">
        <v>5981</v>
      </c>
      <c r="C15" s="375" t="s">
        <v>4260</v>
      </c>
      <c r="D15" s="376">
        <v>2022</v>
      </c>
      <c r="E15" s="375" t="s">
        <v>5974</v>
      </c>
      <c r="F15" s="376">
        <v>15</v>
      </c>
      <c r="G15" s="379">
        <v>222</v>
      </c>
      <c r="H15" s="367"/>
      <c r="I15" s="376">
        <v>12</v>
      </c>
      <c r="J15" s="381">
        <v>45219</v>
      </c>
    </row>
    <row r="16" spans="1:10" ht="15.75" customHeight="1">
      <c r="A16" s="373" t="s">
        <v>4255</v>
      </c>
      <c r="B16" s="374" t="s">
        <v>5982</v>
      </c>
      <c r="C16" s="375" t="s">
        <v>4278</v>
      </c>
      <c r="D16" s="376">
        <v>2022</v>
      </c>
      <c r="E16" s="375" t="s">
        <v>5974</v>
      </c>
      <c r="F16" s="376">
        <v>15</v>
      </c>
      <c r="G16" s="379">
        <v>252</v>
      </c>
      <c r="H16" s="367"/>
      <c r="I16" s="376">
        <v>12.5</v>
      </c>
      <c r="J16" s="381">
        <v>45219</v>
      </c>
    </row>
    <row r="17" spans="1:10" ht="15.75" customHeight="1">
      <c r="A17" s="373" t="s">
        <v>4255</v>
      </c>
      <c r="B17" s="374" t="s">
        <v>874</v>
      </c>
      <c r="C17" s="375" t="s">
        <v>4270</v>
      </c>
      <c r="D17" s="376">
        <v>2022</v>
      </c>
      <c r="E17" s="375" t="s">
        <v>5974</v>
      </c>
      <c r="F17" s="376">
        <v>10</v>
      </c>
      <c r="G17" s="379">
        <v>270</v>
      </c>
      <c r="H17" s="367"/>
      <c r="I17" s="376">
        <v>12.5</v>
      </c>
      <c r="J17" s="381">
        <v>45219</v>
      </c>
    </row>
    <row r="18" spans="1:10" ht="15.75" customHeight="1">
      <c r="A18" s="373" t="s">
        <v>4255</v>
      </c>
      <c r="B18" s="374" t="s">
        <v>5983</v>
      </c>
      <c r="C18" s="375" t="s">
        <v>5984</v>
      </c>
      <c r="D18" s="376">
        <v>2022</v>
      </c>
      <c r="E18" s="375" t="s">
        <v>5974</v>
      </c>
      <c r="F18" s="376">
        <v>10</v>
      </c>
      <c r="G18" s="379">
        <v>228</v>
      </c>
      <c r="H18" s="367"/>
      <c r="I18" s="376">
        <v>12.5</v>
      </c>
      <c r="J18" s="381">
        <v>45219</v>
      </c>
    </row>
    <row r="19" spans="1:10" ht="15.75" customHeight="1">
      <c r="A19" s="373" t="s">
        <v>4255</v>
      </c>
      <c r="B19" s="374" t="s">
        <v>5985</v>
      </c>
      <c r="C19" s="375" t="s">
        <v>4265</v>
      </c>
      <c r="D19" s="376" t="s">
        <v>5</v>
      </c>
      <c r="E19" s="375" t="s">
        <v>5974</v>
      </c>
      <c r="F19" s="376">
        <v>10</v>
      </c>
      <c r="G19" s="379">
        <v>180</v>
      </c>
      <c r="H19" s="367"/>
      <c r="I19" s="376">
        <v>12</v>
      </c>
      <c r="J19" s="381">
        <v>45219</v>
      </c>
    </row>
    <row r="20" spans="1:10" ht="15.75" customHeight="1">
      <c r="A20" s="370"/>
      <c r="B20" s="368"/>
      <c r="C20" s="369" t="s">
        <v>5986</v>
      </c>
      <c r="D20" s="370"/>
      <c r="E20" s="370"/>
      <c r="F20" s="370"/>
      <c r="G20" s="367"/>
      <c r="H20" s="367"/>
      <c r="I20" s="370"/>
      <c r="J20" s="370"/>
    </row>
    <row r="21" spans="1:10" ht="15.75" customHeight="1">
      <c r="A21" s="373" t="s">
        <v>4255</v>
      </c>
      <c r="B21" s="374" t="s">
        <v>1353</v>
      </c>
      <c r="C21" s="375" t="s">
        <v>5987</v>
      </c>
      <c r="D21" s="376">
        <v>2022</v>
      </c>
      <c r="E21" s="375" t="s">
        <v>5974</v>
      </c>
      <c r="F21" s="376" t="s">
        <v>1946</v>
      </c>
      <c r="G21" s="379">
        <v>168</v>
      </c>
      <c r="H21" s="367"/>
      <c r="I21" s="376">
        <v>13.75</v>
      </c>
      <c r="J21" s="381">
        <v>45219</v>
      </c>
    </row>
    <row r="22" spans="1:10" ht="15.75" customHeight="1">
      <c r="A22" s="373" t="s">
        <v>4255</v>
      </c>
      <c r="B22" s="374" t="s">
        <v>5988</v>
      </c>
      <c r="C22" s="375" t="s">
        <v>1357</v>
      </c>
      <c r="D22" s="376">
        <v>2022</v>
      </c>
      <c r="E22" s="375" t="s">
        <v>5974</v>
      </c>
      <c r="F22" s="376" t="s">
        <v>1946</v>
      </c>
      <c r="G22" s="379">
        <v>228</v>
      </c>
      <c r="H22" s="367"/>
      <c r="I22" s="376">
        <v>13.75</v>
      </c>
      <c r="J22" s="381">
        <v>45219</v>
      </c>
    </row>
    <row r="23" spans="1:10" ht="15.75" customHeight="1">
      <c r="A23" s="373" t="s">
        <v>4255</v>
      </c>
      <c r="B23" s="374" t="s">
        <v>5989</v>
      </c>
      <c r="C23" s="375" t="s">
        <v>1357</v>
      </c>
      <c r="D23" s="376">
        <v>2022</v>
      </c>
      <c r="E23" s="375" t="s">
        <v>5990</v>
      </c>
      <c r="F23" s="376" t="s">
        <v>1946</v>
      </c>
      <c r="G23" s="379">
        <v>225</v>
      </c>
      <c r="H23" s="367"/>
      <c r="I23" s="376">
        <v>12.75</v>
      </c>
      <c r="J23" s="381">
        <v>45219</v>
      </c>
    </row>
    <row r="24" spans="1:10" ht="15.75" customHeight="1">
      <c r="A24" s="373" t="s">
        <v>4255</v>
      </c>
      <c r="B24" s="374" t="s">
        <v>1356</v>
      </c>
      <c r="C24" s="375" t="s">
        <v>1361</v>
      </c>
      <c r="D24" s="376">
        <v>2021</v>
      </c>
      <c r="E24" s="375" t="s">
        <v>5974</v>
      </c>
      <c r="F24" s="376" t="s">
        <v>1946</v>
      </c>
      <c r="G24" s="379">
        <v>228</v>
      </c>
      <c r="H24" s="367"/>
      <c r="I24" s="376">
        <v>13.75</v>
      </c>
      <c r="J24" s="381">
        <v>45219</v>
      </c>
    </row>
    <row r="25" spans="1:10" ht="15.75" customHeight="1">
      <c r="A25" s="373" t="s">
        <v>4255</v>
      </c>
      <c r="B25" s="374" t="s">
        <v>1359</v>
      </c>
      <c r="C25" s="375" t="s">
        <v>1361</v>
      </c>
      <c r="D25" s="376">
        <v>2021</v>
      </c>
      <c r="E25" s="377" t="s">
        <v>5990</v>
      </c>
      <c r="F25" s="376" t="s">
        <v>1946</v>
      </c>
      <c r="G25" s="379">
        <v>234</v>
      </c>
      <c r="H25" s="367"/>
      <c r="I25" s="376">
        <v>12.75</v>
      </c>
      <c r="J25" s="381">
        <v>45219</v>
      </c>
    </row>
    <row r="26" spans="1:10" ht="15.75" customHeight="1">
      <c r="A26" s="382" t="s">
        <v>4255</v>
      </c>
      <c r="B26" s="374" t="s">
        <v>1396</v>
      </c>
      <c r="C26" s="375" t="s">
        <v>1397</v>
      </c>
      <c r="D26" s="376">
        <v>2021</v>
      </c>
      <c r="E26" s="377" t="s">
        <v>5974</v>
      </c>
      <c r="F26" s="378" t="s">
        <v>1946</v>
      </c>
      <c r="G26" s="379">
        <v>276</v>
      </c>
      <c r="H26" s="367"/>
      <c r="I26" s="376">
        <v>13.75</v>
      </c>
      <c r="J26" s="381">
        <v>45219</v>
      </c>
    </row>
    <row r="27" spans="1:10" ht="15.75" customHeight="1">
      <c r="A27" s="382" t="s">
        <v>4255</v>
      </c>
      <c r="B27" s="374" t="s">
        <v>5991</v>
      </c>
      <c r="C27" s="375" t="s">
        <v>1386</v>
      </c>
      <c r="D27" s="376">
        <v>2021</v>
      </c>
      <c r="E27" s="377" t="s">
        <v>5992</v>
      </c>
      <c r="F27" s="376" t="s">
        <v>1946</v>
      </c>
      <c r="G27" s="379">
        <v>360</v>
      </c>
      <c r="H27" s="367"/>
      <c r="I27" s="376">
        <v>13.75</v>
      </c>
      <c r="J27" s="381">
        <v>45219</v>
      </c>
    </row>
    <row r="28" spans="1:10" ht="15.75" customHeight="1">
      <c r="A28" s="382" t="s">
        <v>4255</v>
      </c>
      <c r="B28" s="374" t="s">
        <v>1391</v>
      </c>
      <c r="C28" s="375" t="s">
        <v>1392</v>
      </c>
      <c r="D28" s="376">
        <v>2019</v>
      </c>
      <c r="E28" s="377" t="s">
        <v>5992</v>
      </c>
      <c r="F28" s="376" t="s">
        <v>1946</v>
      </c>
      <c r="G28" s="379">
        <v>360</v>
      </c>
      <c r="H28" s="367"/>
      <c r="I28" s="376">
        <v>13.75</v>
      </c>
      <c r="J28" s="381">
        <v>45219</v>
      </c>
    </row>
    <row r="29" spans="1:10" ht="15.75" customHeight="1">
      <c r="A29" s="382" t="s">
        <v>4255</v>
      </c>
      <c r="B29" s="374" t="s">
        <v>1388</v>
      </c>
      <c r="C29" s="375" t="s">
        <v>1389</v>
      </c>
      <c r="D29" s="376">
        <v>2020</v>
      </c>
      <c r="E29" s="377" t="s">
        <v>5992</v>
      </c>
      <c r="F29" s="376" t="s">
        <v>1946</v>
      </c>
      <c r="G29" s="379">
        <v>444</v>
      </c>
      <c r="H29" s="367"/>
      <c r="I29" s="376">
        <v>13.75</v>
      </c>
      <c r="J29" s="381">
        <v>45219</v>
      </c>
    </row>
    <row r="30" spans="1:10" ht="15.75" customHeight="1">
      <c r="A30" s="382" t="s">
        <v>4255</v>
      </c>
      <c r="B30" s="374" t="s">
        <v>1381</v>
      </c>
      <c r="C30" s="375" t="s">
        <v>1382</v>
      </c>
      <c r="D30" s="376">
        <v>2019</v>
      </c>
      <c r="E30" s="377" t="s">
        <v>5992</v>
      </c>
      <c r="F30" s="376" t="s">
        <v>1946</v>
      </c>
      <c r="G30" s="379">
        <v>444</v>
      </c>
      <c r="H30" s="367"/>
      <c r="I30" s="376">
        <v>13.75</v>
      </c>
      <c r="J30" s="381">
        <v>45219</v>
      </c>
    </row>
    <row r="31" spans="1:10" ht="15.75" customHeight="1">
      <c r="A31" s="382" t="s">
        <v>4255</v>
      </c>
      <c r="B31" s="374" t="s">
        <v>1383</v>
      </c>
      <c r="C31" s="375" t="s">
        <v>1384</v>
      </c>
      <c r="D31" s="376">
        <v>2018</v>
      </c>
      <c r="E31" s="377" t="s">
        <v>5992</v>
      </c>
      <c r="F31" s="376" t="s">
        <v>1946</v>
      </c>
      <c r="G31" s="379">
        <v>528</v>
      </c>
      <c r="H31" s="367"/>
      <c r="I31" s="376">
        <v>13.75</v>
      </c>
      <c r="J31" s="381">
        <v>45219</v>
      </c>
    </row>
    <row r="32" spans="1:10" ht="15.75" customHeight="1">
      <c r="A32" s="382" t="s">
        <v>4255</v>
      </c>
      <c r="B32" s="374" t="s">
        <v>1398</v>
      </c>
      <c r="C32" s="375" t="s">
        <v>1399</v>
      </c>
      <c r="D32" s="376">
        <v>2019</v>
      </c>
      <c r="E32" s="377" t="s">
        <v>5974</v>
      </c>
      <c r="F32" s="376" t="s">
        <v>1946</v>
      </c>
      <c r="G32" s="379">
        <v>276</v>
      </c>
      <c r="H32" s="367"/>
      <c r="I32" s="376">
        <v>12.75</v>
      </c>
      <c r="J32" s="381">
        <v>45219</v>
      </c>
    </row>
    <row r="33" spans="1:10" ht="15.75" customHeight="1">
      <c r="A33" s="382" t="s">
        <v>4255</v>
      </c>
      <c r="B33" s="374" t="s">
        <v>1401</v>
      </c>
      <c r="C33" s="375" t="s">
        <v>1399</v>
      </c>
      <c r="D33" s="376">
        <v>2020</v>
      </c>
      <c r="E33" s="377" t="s">
        <v>5974</v>
      </c>
      <c r="F33" s="376" t="s">
        <v>1946</v>
      </c>
      <c r="G33" s="379">
        <v>276</v>
      </c>
      <c r="H33" s="367"/>
      <c r="I33" s="376">
        <v>12.75</v>
      </c>
      <c r="J33" s="381">
        <v>45219</v>
      </c>
    </row>
    <row r="34" spans="1:10" ht="15.75" customHeight="1">
      <c r="A34" s="367"/>
      <c r="B34" s="368"/>
      <c r="C34" s="369" t="s">
        <v>5993</v>
      </c>
      <c r="D34" s="370"/>
      <c r="E34" s="371"/>
      <c r="F34" s="370"/>
      <c r="G34" s="384"/>
      <c r="H34" s="367"/>
      <c r="I34" s="370"/>
      <c r="J34" s="372"/>
    </row>
    <row r="35" spans="1:10" ht="15.75" customHeight="1">
      <c r="A35" s="382" t="s">
        <v>4255</v>
      </c>
      <c r="B35" s="374" t="s">
        <v>1903</v>
      </c>
      <c r="C35" s="375" t="s">
        <v>4884</v>
      </c>
      <c r="D35" s="376">
        <v>2022</v>
      </c>
      <c r="E35" s="377" t="s">
        <v>5974</v>
      </c>
      <c r="F35" s="376" t="s">
        <v>1946</v>
      </c>
      <c r="G35" s="379">
        <v>288</v>
      </c>
      <c r="H35" s="367"/>
      <c r="I35" s="376">
        <v>12.5</v>
      </c>
      <c r="J35" s="380">
        <v>45231</v>
      </c>
    </row>
    <row r="36" spans="1:10" ht="15.75" customHeight="1">
      <c r="A36" s="382" t="s">
        <v>4255</v>
      </c>
      <c r="B36" s="374" t="s">
        <v>5994</v>
      </c>
      <c r="C36" s="375" t="s">
        <v>4884</v>
      </c>
      <c r="D36" s="376">
        <v>2022</v>
      </c>
      <c r="E36" s="377" t="s">
        <v>5978</v>
      </c>
      <c r="F36" s="376" t="s">
        <v>1946</v>
      </c>
      <c r="G36" s="379">
        <v>154.5</v>
      </c>
      <c r="H36" s="367"/>
      <c r="I36" s="376">
        <v>12.5</v>
      </c>
      <c r="J36" s="380">
        <v>45231</v>
      </c>
    </row>
    <row r="37" spans="1:10" ht="15.75" customHeight="1">
      <c r="A37" s="382" t="s">
        <v>4255</v>
      </c>
      <c r="B37" s="374" t="s">
        <v>1912</v>
      </c>
      <c r="C37" s="375" t="s">
        <v>5995</v>
      </c>
      <c r="D37" s="376">
        <v>2022</v>
      </c>
      <c r="E37" s="377" t="s">
        <v>5974</v>
      </c>
      <c r="F37" s="376" t="s">
        <v>1946</v>
      </c>
      <c r="G37" s="379">
        <v>300</v>
      </c>
      <c r="H37" s="367"/>
      <c r="I37" s="376">
        <v>11.5</v>
      </c>
      <c r="J37" s="380">
        <v>45231</v>
      </c>
    </row>
    <row r="38" spans="1:10" ht="15.75" customHeight="1">
      <c r="A38" s="382" t="s">
        <v>4255</v>
      </c>
      <c r="B38" s="374" t="s">
        <v>1915</v>
      </c>
      <c r="C38" s="375" t="s">
        <v>5995</v>
      </c>
      <c r="D38" s="376">
        <v>2022</v>
      </c>
      <c r="E38" s="377" t="s">
        <v>5978</v>
      </c>
      <c r="F38" s="378" t="s">
        <v>1946</v>
      </c>
      <c r="G38" s="379">
        <v>162</v>
      </c>
      <c r="H38" s="367"/>
      <c r="I38" s="376">
        <v>11.5</v>
      </c>
      <c r="J38" s="380">
        <v>45231</v>
      </c>
    </row>
    <row r="39" spans="1:10" ht="15.75" customHeight="1">
      <c r="A39" s="373" t="s">
        <v>4255</v>
      </c>
      <c r="B39" s="374" t="s">
        <v>1907</v>
      </c>
      <c r="C39" s="375" t="s">
        <v>1908</v>
      </c>
      <c r="D39" s="376">
        <v>2022</v>
      </c>
      <c r="E39" s="377" t="s">
        <v>5974</v>
      </c>
      <c r="F39" s="376" t="s">
        <v>1946</v>
      </c>
      <c r="G39" s="379">
        <v>270</v>
      </c>
      <c r="H39" s="367"/>
      <c r="I39" s="376">
        <v>12.5</v>
      </c>
      <c r="J39" s="380">
        <v>45231</v>
      </c>
    </row>
    <row r="40" spans="1:10" ht="15.75" customHeight="1">
      <c r="A40" s="373" t="s">
        <v>4255</v>
      </c>
      <c r="B40" s="374" t="s">
        <v>1910</v>
      </c>
      <c r="C40" s="375" t="s">
        <v>1908</v>
      </c>
      <c r="D40" s="376">
        <v>2022</v>
      </c>
      <c r="E40" s="377" t="s">
        <v>5978</v>
      </c>
      <c r="F40" s="376" t="s">
        <v>1946</v>
      </c>
      <c r="G40" s="379">
        <v>145.5</v>
      </c>
      <c r="H40" s="367"/>
      <c r="I40" s="376">
        <v>12.5</v>
      </c>
      <c r="J40" s="380">
        <v>45231</v>
      </c>
    </row>
    <row r="41" spans="1:10" ht="15.75" customHeight="1">
      <c r="A41" s="370"/>
      <c r="B41" s="368"/>
      <c r="C41" s="369" t="s">
        <v>5996</v>
      </c>
      <c r="D41" s="370"/>
      <c r="E41" s="371"/>
      <c r="F41" s="370"/>
      <c r="G41" s="367"/>
      <c r="H41" s="367"/>
      <c r="I41" s="370"/>
      <c r="J41" s="372"/>
    </row>
    <row r="42" spans="1:10" ht="15.75" customHeight="1">
      <c r="A42" s="373" t="s">
        <v>4255</v>
      </c>
      <c r="B42" s="374" t="s">
        <v>2262</v>
      </c>
      <c r="C42" s="375" t="s">
        <v>5997</v>
      </c>
      <c r="D42" s="376">
        <v>2019</v>
      </c>
      <c r="E42" s="377" t="s">
        <v>5974</v>
      </c>
      <c r="F42" s="376">
        <v>50</v>
      </c>
      <c r="G42" s="379">
        <v>102</v>
      </c>
      <c r="H42" s="367"/>
      <c r="I42" s="376">
        <v>14.5</v>
      </c>
      <c r="J42" s="380">
        <v>45231</v>
      </c>
    </row>
    <row r="43" spans="1:10" ht="15.75" customHeight="1">
      <c r="A43" s="373" t="s">
        <v>4255</v>
      </c>
      <c r="B43" s="374" t="s">
        <v>2264</v>
      </c>
      <c r="C43" s="375" t="s">
        <v>4769</v>
      </c>
      <c r="D43" s="376">
        <v>2020</v>
      </c>
      <c r="E43" s="377" t="s">
        <v>5974</v>
      </c>
      <c r="F43" s="376">
        <v>25</v>
      </c>
      <c r="G43" s="379">
        <v>126</v>
      </c>
      <c r="H43" s="367"/>
      <c r="I43" s="376">
        <v>14</v>
      </c>
      <c r="J43" s="380">
        <v>45231</v>
      </c>
    </row>
    <row r="44" spans="1:10" ht="15.75" customHeight="1">
      <c r="A44" s="373" t="s">
        <v>4255</v>
      </c>
      <c r="B44" s="374" t="s">
        <v>5998</v>
      </c>
      <c r="C44" s="375" t="s">
        <v>4771</v>
      </c>
      <c r="D44" s="376">
        <v>2022</v>
      </c>
      <c r="E44" s="377" t="s">
        <v>5974</v>
      </c>
      <c r="F44" s="376">
        <v>15</v>
      </c>
      <c r="G44" s="379">
        <v>138</v>
      </c>
      <c r="H44" s="367"/>
      <c r="I44" s="376">
        <v>13</v>
      </c>
      <c r="J44" s="380">
        <v>45231</v>
      </c>
    </row>
    <row r="45" spans="1:10" ht="15.75" customHeight="1">
      <c r="A45" s="373" t="s">
        <v>4255</v>
      </c>
      <c r="B45" s="374" t="s">
        <v>5999</v>
      </c>
      <c r="C45" s="375" t="s">
        <v>6000</v>
      </c>
      <c r="D45" s="376">
        <v>2021</v>
      </c>
      <c r="E45" s="377" t="s">
        <v>5974</v>
      </c>
      <c r="F45" s="376">
        <v>10</v>
      </c>
      <c r="G45" s="379">
        <v>174</v>
      </c>
      <c r="H45" s="367"/>
      <c r="I45" s="376">
        <v>12</v>
      </c>
      <c r="J45" s="380">
        <v>45231</v>
      </c>
    </row>
    <row r="46" spans="1:10" ht="15.75" customHeight="1">
      <c r="A46" s="370"/>
      <c r="B46" s="368"/>
      <c r="C46" s="369" t="s">
        <v>6001</v>
      </c>
      <c r="D46" s="370"/>
      <c r="E46" s="371"/>
      <c r="F46" s="370"/>
      <c r="G46" s="367"/>
      <c r="H46" s="367"/>
      <c r="I46" s="370"/>
      <c r="J46" s="372"/>
    </row>
    <row r="47" spans="1:10" ht="15.75" customHeight="1">
      <c r="A47" s="373" t="s">
        <v>4255</v>
      </c>
      <c r="B47" s="374" t="s">
        <v>1190</v>
      </c>
      <c r="C47" s="375" t="s">
        <v>6002</v>
      </c>
      <c r="D47" s="376" t="s">
        <v>5</v>
      </c>
      <c r="E47" s="377" t="s">
        <v>5974</v>
      </c>
      <c r="F47" s="376" t="s">
        <v>1946</v>
      </c>
      <c r="G47" s="379">
        <v>192</v>
      </c>
      <c r="H47" s="367"/>
      <c r="I47" s="376">
        <v>12</v>
      </c>
      <c r="J47" s="380">
        <v>45231</v>
      </c>
    </row>
    <row r="48" spans="1:10" ht="15.75" customHeight="1">
      <c r="A48" s="373" t="s">
        <v>4255</v>
      </c>
      <c r="B48" s="374" t="s">
        <v>1177</v>
      </c>
      <c r="C48" s="375" t="s">
        <v>6003</v>
      </c>
      <c r="D48" s="376">
        <v>2022</v>
      </c>
      <c r="E48" s="377" t="s">
        <v>5974</v>
      </c>
      <c r="F48" s="376" t="s">
        <v>1946</v>
      </c>
      <c r="G48" s="379">
        <v>204</v>
      </c>
      <c r="H48" s="367"/>
      <c r="I48" s="376">
        <v>11.5</v>
      </c>
      <c r="J48" s="380">
        <v>45231</v>
      </c>
    </row>
    <row r="49" spans="1:10" ht="15.75" customHeight="1">
      <c r="A49" s="373" t="s">
        <v>4255</v>
      </c>
      <c r="B49" s="374" t="s">
        <v>1202</v>
      </c>
      <c r="C49" s="375" t="s">
        <v>6004</v>
      </c>
      <c r="D49" s="376">
        <v>2022</v>
      </c>
      <c r="E49" s="377" t="s">
        <v>5974</v>
      </c>
      <c r="F49" s="376" t="s">
        <v>1946</v>
      </c>
      <c r="G49" s="379">
        <v>180</v>
      </c>
      <c r="H49" s="367"/>
      <c r="I49" s="376">
        <v>12</v>
      </c>
      <c r="J49" s="380">
        <v>45231</v>
      </c>
    </row>
    <row r="50" spans="1:10" ht="13">
      <c r="A50" s="382" t="s">
        <v>4255</v>
      </c>
      <c r="B50" s="374" t="s">
        <v>1207</v>
      </c>
      <c r="C50" s="375" t="s">
        <v>6005</v>
      </c>
      <c r="D50" s="376">
        <v>2021</v>
      </c>
      <c r="E50" s="377" t="s">
        <v>5974</v>
      </c>
      <c r="F50" s="378" t="s">
        <v>1946</v>
      </c>
      <c r="G50" s="379">
        <v>162</v>
      </c>
      <c r="H50" s="367"/>
      <c r="I50" s="376">
        <v>12</v>
      </c>
      <c r="J50" s="380">
        <v>45231</v>
      </c>
    </row>
    <row r="51" spans="1:10" ht="13">
      <c r="A51" s="373" t="s">
        <v>4255</v>
      </c>
      <c r="B51" s="374" t="s">
        <v>1217</v>
      </c>
      <c r="C51" s="375" t="s">
        <v>6006</v>
      </c>
      <c r="D51" s="376">
        <v>2022</v>
      </c>
      <c r="E51" s="377" t="s">
        <v>5974</v>
      </c>
      <c r="F51" s="376" t="s">
        <v>1946</v>
      </c>
      <c r="G51" s="379">
        <v>210</v>
      </c>
      <c r="H51" s="367"/>
      <c r="I51" s="376">
        <v>13</v>
      </c>
      <c r="J51" s="380">
        <v>45231</v>
      </c>
    </row>
    <row r="52" spans="1:10" ht="13">
      <c r="A52" s="373" t="s">
        <v>4255</v>
      </c>
      <c r="B52" s="374" t="s">
        <v>1196</v>
      </c>
      <c r="C52" s="375" t="s">
        <v>6007</v>
      </c>
      <c r="D52" s="376">
        <v>2022</v>
      </c>
      <c r="E52" s="377" t="s">
        <v>5974</v>
      </c>
      <c r="F52" s="376" t="s">
        <v>1946</v>
      </c>
      <c r="G52" s="379">
        <v>210</v>
      </c>
      <c r="H52" s="367"/>
      <c r="I52" s="376">
        <v>13</v>
      </c>
      <c r="J52" s="380">
        <v>45231</v>
      </c>
    </row>
    <row r="53" spans="1:10" ht="13">
      <c r="A53" s="373" t="s">
        <v>4255</v>
      </c>
      <c r="B53" s="374" t="s">
        <v>1215</v>
      </c>
      <c r="C53" s="375" t="s">
        <v>6008</v>
      </c>
      <c r="D53" s="376">
        <v>2022</v>
      </c>
      <c r="E53" s="377" t="s">
        <v>5974</v>
      </c>
      <c r="F53" s="376" t="s">
        <v>1946</v>
      </c>
      <c r="G53" s="379">
        <v>180</v>
      </c>
      <c r="H53" s="367"/>
      <c r="I53" s="376">
        <v>13</v>
      </c>
      <c r="J53" s="380">
        <v>45231</v>
      </c>
    </row>
    <row r="54" spans="1:10" ht="13">
      <c r="A54" s="370"/>
      <c r="B54" s="368"/>
      <c r="C54" s="369" t="s">
        <v>6009</v>
      </c>
      <c r="D54" s="370"/>
      <c r="E54" s="371"/>
      <c r="F54" s="370"/>
      <c r="G54" s="367"/>
      <c r="H54" s="367"/>
      <c r="I54" s="370"/>
      <c r="J54" s="372"/>
    </row>
    <row r="55" spans="1:10" ht="13">
      <c r="A55" s="373" t="s">
        <v>4255</v>
      </c>
      <c r="B55" s="374" t="s">
        <v>6010</v>
      </c>
      <c r="C55" s="375" t="s">
        <v>6011</v>
      </c>
      <c r="D55" s="376">
        <v>2022</v>
      </c>
      <c r="E55" s="377" t="s">
        <v>5990</v>
      </c>
      <c r="F55" s="376">
        <v>4</v>
      </c>
      <c r="G55" s="379">
        <v>114</v>
      </c>
      <c r="H55" s="367"/>
      <c r="I55" s="376">
        <v>15</v>
      </c>
      <c r="J55" s="380">
        <v>45231</v>
      </c>
    </row>
    <row r="56" spans="1:10" ht="13">
      <c r="A56" s="373" t="s">
        <v>4255</v>
      </c>
      <c r="B56" s="374" t="s">
        <v>1146</v>
      </c>
      <c r="C56" s="375" t="s">
        <v>4585</v>
      </c>
      <c r="D56" s="376">
        <v>2022</v>
      </c>
      <c r="E56" s="377" t="s">
        <v>5974</v>
      </c>
      <c r="F56" s="376">
        <v>50</v>
      </c>
      <c r="G56" s="379">
        <v>192</v>
      </c>
      <c r="H56" s="367"/>
      <c r="I56" s="376">
        <v>12.5</v>
      </c>
      <c r="J56" s="380">
        <v>45231</v>
      </c>
    </row>
    <row r="57" spans="1:10" ht="13">
      <c r="A57" s="370"/>
      <c r="B57" s="368"/>
      <c r="C57" s="369" t="s">
        <v>6012</v>
      </c>
      <c r="D57" s="370"/>
      <c r="E57" s="371"/>
      <c r="F57" s="370"/>
      <c r="G57" s="367"/>
      <c r="H57" s="367"/>
      <c r="I57" s="370"/>
      <c r="J57" s="372"/>
    </row>
    <row r="58" spans="1:10" ht="13">
      <c r="A58" s="373" t="s">
        <v>4255</v>
      </c>
      <c r="B58" s="374" t="s">
        <v>6013</v>
      </c>
      <c r="C58" s="375" t="s">
        <v>6014</v>
      </c>
      <c r="D58" s="376">
        <v>2021</v>
      </c>
      <c r="E58" s="377" t="s">
        <v>5974</v>
      </c>
      <c r="F58" s="376" t="s">
        <v>1946</v>
      </c>
      <c r="G58" s="379">
        <v>240</v>
      </c>
      <c r="H58" s="367"/>
      <c r="I58" s="376">
        <v>12</v>
      </c>
      <c r="J58" s="385"/>
    </row>
    <row r="59" spans="1:10" ht="13">
      <c r="A59" s="373" t="s">
        <v>4255</v>
      </c>
      <c r="B59" s="374" t="s">
        <v>6015</v>
      </c>
      <c r="C59" s="375" t="s">
        <v>6016</v>
      </c>
      <c r="D59" s="376">
        <v>2021</v>
      </c>
      <c r="E59" s="377" t="s">
        <v>5974</v>
      </c>
      <c r="F59" s="376" t="s">
        <v>1946</v>
      </c>
      <c r="G59" s="379">
        <v>288</v>
      </c>
      <c r="H59" s="367"/>
      <c r="I59" s="376">
        <v>13</v>
      </c>
      <c r="J59" s="385"/>
    </row>
    <row r="60" spans="1:10" ht="13">
      <c r="A60" s="373" t="s">
        <v>4255</v>
      </c>
      <c r="B60" s="374" t="s">
        <v>6017</v>
      </c>
      <c r="C60" s="375" t="s">
        <v>6018</v>
      </c>
      <c r="D60" s="376">
        <v>2021</v>
      </c>
      <c r="E60" s="377" t="s">
        <v>5974</v>
      </c>
      <c r="F60" s="376" t="s">
        <v>1946</v>
      </c>
      <c r="G60" s="379">
        <v>240</v>
      </c>
      <c r="H60" s="367"/>
      <c r="I60" s="376">
        <v>13</v>
      </c>
      <c r="J60" s="385"/>
    </row>
    <row r="61" spans="1:10" ht="13">
      <c r="A61" s="373" t="s">
        <v>4255</v>
      </c>
      <c r="B61" s="374" t="s">
        <v>6019</v>
      </c>
      <c r="C61" s="375" t="s">
        <v>6020</v>
      </c>
      <c r="D61" s="376">
        <v>2021</v>
      </c>
      <c r="E61" s="377" t="s">
        <v>5974</v>
      </c>
      <c r="F61" s="376" t="s">
        <v>1946</v>
      </c>
      <c r="G61" s="379">
        <v>354</v>
      </c>
      <c r="H61" s="367"/>
      <c r="I61" s="376">
        <v>12</v>
      </c>
      <c r="J61" s="385"/>
    </row>
    <row r="62" spans="1:10" ht="13">
      <c r="A62" s="373" t="s">
        <v>4255</v>
      </c>
      <c r="B62" s="374" t="s">
        <v>6021</v>
      </c>
      <c r="C62" s="375" t="s">
        <v>6022</v>
      </c>
      <c r="D62" s="376">
        <v>2021</v>
      </c>
      <c r="E62" s="377" t="s">
        <v>5974</v>
      </c>
      <c r="F62" s="376" t="s">
        <v>1946</v>
      </c>
      <c r="G62" s="379">
        <v>432</v>
      </c>
      <c r="H62" s="367"/>
      <c r="I62" s="376">
        <v>12.5</v>
      </c>
      <c r="J62" s="385"/>
    </row>
    <row r="63" spans="1:10" ht="13">
      <c r="A63" s="382" t="s">
        <v>4255</v>
      </c>
      <c r="B63" s="374" t="s">
        <v>6023</v>
      </c>
      <c r="C63" s="375" t="s">
        <v>4663</v>
      </c>
      <c r="D63" s="376">
        <v>2021</v>
      </c>
      <c r="E63" s="377" t="s">
        <v>5974</v>
      </c>
      <c r="F63" s="378" t="s">
        <v>1946</v>
      </c>
      <c r="G63" s="379">
        <v>594</v>
      </c>
      <c r="H63" s="367"/>
      <c r="I63" s="376">
        <v>12.5</v>
      </c>
      <c r="J63" s="385"/>
    </row>
    <row r="64" spans="1:10" ht="13">
      <c r="A64" s="373" t="s">
        <v>4255</v>
      </c>
      <c r="B64" s="374" t="s">
        <v>6024</v>
      </c>
      <c r="C64" s="375" t="s">
        <v>6025</v>
      </c>
      <c r="D64" s="376">
        <v>2021</v>
      </c>
      <c r="E64" s="377" t="s">
        <v>5974</v>
      </c>
      <c r="F64" s="378" t="s">
        <v>1946</v>
      </c>
      <c r="G64" s="379">
        <v>288</v>
      </c>
      <c r="H64" s="367"/>
      <c r="I64" s="376">
        <v>10.5</v>
      </c>
      <c r="J64" s="385"/>
    </row>
    <row r="65" spans="1:10" ht="13">
      <c r="A65" s="382" t="s">
        <v>4255</v>
      </c>
      <c r="B65" s="374" t="s">
        <v>6026</v>
      </c>
      <c r="C65" s="375" t="s">
        <v>6025</v>
      </c>
      <c r="D65" s="376">
        <v>2021</v>
      </c>
      <c r="E65" s="377" t="s">
        <v>5978</v>
      </c>
      <c r="F65" s="378" t="s">
        <v>1946</v>
      </c>
      <c r="G65" s="379">
        <v>166.5</v>
      </c>
      <c r="H65" s="367"/>
      <c r="I65" s="376">
        <v>10.5</v>
      </c>
      <c r="J65" s="385"/>
    </row>
    <row r="66" spans="1:10" ht="13">
      <c r="A66" s="373" t="s">
        <v>4255</v>
      </c>
      <c r="B66" s="374" t="s">
        <v>6027</v>
      </c>
      <c r="C66" s="375" t="s">
        <v>6028</v>
      </c>
      <c r="D66" s="376">
        <v>2019</v>
      </c>
      <c r="E66" s="377" t="s">
        <v>5974</v>
      </c>
      <c r="F66" s="376" t="s">
        <v>1946</v>
      </c>
      <c r="G66" s="379">
        <v>240</v>
      </c>
      <c r="H66" s="367"/>
      <c r="I66" s="376">
        <v>12</v>
      </c>
      <c r="J66" s="385"/>
    </row>
    <row r="67" spans="1:10" ht="13">
      <c r="A67" s="373" t="s">
        <v>4255</v>
      </c>
      <c r="B67" s="374" t="s">
        <v>6029</v>
      </c>
      <c r="C67" s="375" t="s">
        <v>6028</v>
      </c>
      <c r="D67" s="376">
        <v>2019</v>
      </c>
      <c r="E67" s="377" t="s">
        <v>5978</v>
      </c>
      <c r="F67" s="376" t="s">
        <v>1946</v>
      </c>
      <c r="G67" s="379">
        <v>133.5</v>
      </c>
      <c r="H67" s="367"/>
      <c r="I67" s="376">
        <v>12</v>
      </c>
      <c r="J67" s="385"/>
    </row>
    <row r="68" spans="1:10" ht="13">
      <c r="A68" s="373" t="s">
        <v>4255</v>
      </c>
      <c r="B68" s="374" t="s">
        <v>1786</v>
      </c>
      <c r="C68" s="375" t="s">
        <v>6028</v>
      </c>
      <c r="D68" s="376">
        <v>2021</v>
      </c>
      <c r="E68" s="377" t="s">
        <v>5974</v>
      </c>
      <c r="F68" s="376" t="s">
        <v>1946</v>
      </c>
      <c r="G68" s="379">
        <v>240</v>
      </c>
      <c r="H68" s="367"/>
      <c r="I68" s="376">
        <v>12.5</v>
      </c>
      <c r="J68" s="385"/>
    </row>
    <row r="69" spans="1:10" ht="13">
      <c r="A69" s="373" t="s">
        <v>4255</v>
      </c>
      <c r="B69" s="374" t="s">
        <v>6030</v>
      </c>
      <c r="C69" s="375" t="s">
        <v>6031</v>
      </c>
      <c r="D69" s="376">
        <v>2019</v>
      </c>
      <c r="E69" s="377" t="s">
        <v>5974</v>
      </c>
      <c r="F69" s="376" t="s">
        <v>1946</v>
      </c>
      <c r="G69" s="379">
        <v>222</v>
      </c>
      <c r="H69" s="367"/>
      <c r="I69" s="376">
        <v>11.5</v>
      </c>
      <c r="J69" s="385"/>
    </row>
    <row r="70" spans="1:10" ht="13">
      <c r="A70" s="373" t="s">
        <v>4255</v>
      </c>
      <c r="B70" s="374" t="s">
        <v>6032</v>
      </c>
      <c r="C70" s="375" t="s">
        <v>6031</v>
      </c>
      <c r="D70" s="376" t="s">
        <v>5</v>
      </c>
      <c r="E70" s="377" t="s">
        <v>5978</v>
      </c>
      <c r="F70" s="376" t="s">
        <v>1946</v>
      </c>
      <c r="G70" s="379">
        <v>126</v>
      </c>
      <c r="H70" s="367"/>
      <c r="I70" s="376">
        <v>11.5</v>
      </c>
      <c r="J70" s="385"/>
    </row>
    <row r="71" spans="1:10" ht="13">
      <c r="A71" s="373" t="s">
        <v>4255</v>
      </c>
      <c r="B71" s="374" t="s">
        <v>6033</v>
      </c>
      <c r="C71" s="375" t="s">
        <v>6034</v>
      </c>
      <c r="D71" s="376">
        <v>2021</v>
      </c>
      <c r="E71" s="377" t="s">
        <v>5974</v>
      </c>
      <c r="F71" s="376" t="s">
        <v>1946</v>
      </c>
      <c r="G71" s="379">
        <v>288</v>
      </c>
      <c r="H71" s="367"/>
      <c r="I71" s="376">
        <v>14.5</v>
      </c>
      <c r="J71" s="385"/>
    </row>
    <row r="72" spans="1:10" ht="13">
      <c r="A72" s="373" t="s">
        <v>4255</v>
      </c>
      <c r="B72" s="374" t="s">
        <v>6035</v>
      </c>
      <c r="C72" s="375" t="s">
        <v>6036</v>
      </c>
      <c r="D72" s="376">
        <v>2021</v>
      </c>
      <c r="E72" s="377" t="s">
        <v>5974</v>
      </c>
      <c r="F72" s="376" t="s">
        <v>1946</v>
      </c>
      <c r="G72" s="379">
        <v>252</v>
      </c>
      <c r="H72" s="367"/>
      <c r="I72" s="376">
        <v>15</v>
      </c>
      <c r="J72" s="385"/>
    </row>
    <row r="73" spans="1:10" ht="13">
      <c r="A73" s="373" t="s">
        <v>4255</v>
      </c>
      <c r="B73" s="374" t="s">
        <v>6037</v>
      </c>
      <c r="C73" s="375" t="s">
        <v>6038</v>
      </c>
      <c r="D73" s="376">
        <v>2019</v>
      </c>
      <c r="E73" s="377" t="s">
        <v>5974</v>
      </c>
      <c r="F73" s="376" t="s">
        <v>1946</v>
      </c>
      <c r="G73" s="379">
        <v>432</v>
      </c>
      <c r="H73" s="367"/>
      <c r="I73" s="376">
        <v>10.5</v>
      </c>
      <c r="J73" s="385"/>
    </row>
    <row r="74" spans="1:10" ht="13">
      <c r="A74" s="373" t="s">
        <v>4255</v>
      </c>
      <c r="B74" s="374" t="s">
        <v>6039</v>
      </c>
      <c r="C74" s="375" t="s">
        <v>6040</v>
      </c>
      <c r="D74" s="376">
        <v>2021</v>
      </c>
      <c r="E74" s="377" t="s">
        <v>5974</v>
      </c>
      <c r="F74" s="376" t="s">
        <v>1946</v>
      </c>
      <c r="G74" s="379">
        <v>300</v>
      </c>
      <c r="H74" s="367"/>
      <c r="I74" s="376">
        <v>11.5</v>
      </c>
      <c r="J74" s="385"/>
    </row>
    <row r="75" spans="1:10" ht="13">
      <c r="A75" s="373" t="s">
        <v>4255</v>
      </c>
      <c r="B75" s="374" t="s">
        <v>6041</v>
      </c>
      <c r="C75" s="375" t="s">
        <v>6016</v>
      </c>
      <c r="D75" s="376">
        <v>2021</v>
      </c>
      <c r="E75" s="377" t="s">
        <v>5978</v>
      </c>
      <c r="F75" s="376" t="s">
        <v>1946</v>
      </c>
      <c r="G75" s="379">
        <v>166.5</v>
      </c>
      <c r="H75" s="367"/>
      <c r="I75" s="376">
        <v>13</v>
      </c>
      <c r="J75" s="385"/>
    </row>
    <row r="76" spans="1:10" ht="13">
      <c r="A76" s="373" t="s">
        <v>4255</v>
      </c>
      <c r="B76" s="374" t="s">
        <v>6042</v>
      </c>
      <c r="C76" s="375" t="s">
        <v>6022</v>
      </c>
      <c r="D76" s="376">
        <v>2018</v>
      </c>
      <c r="E76" s="377" t="s">
        <v>5974</v>
      </c>
      <c r="F76" s="376" t="s">
        <v>1946</v>
      </c>
      <c r="G76" s="379">
        <v>834</v>
      </c>
      <c r="H76" s="367"/>
      <c r="I76" s="376">
        <v>12.5</v>
      </c>
      <c r="J76" s="385"/>
    </row>
    <row r="77" spans="1:10" ht="13">
      <c r="A77" s="373" t="s">
        <v>4255</v>
      </c>
      <c r="B77" s="374" t="s">
        <v>6043</v>
      </c>
      <c r="C77" s="375" t="s">
        <v>6044</v>
      </c>
      <c r="D77" s="376">
        <v>2018</v>
      </c>
      <c r="E77" s="377" t="s">
        <v>5974</v>
      </c>
      <c r="F77" s="376" t="s">
        <v>1946</v>
      </c>
      <c r="G77" s="379">
        <v>594</v>
      </c>
      <c r="H77" s="367"/>
      <c r="I77" s="376">
        <v>12.5</v>
      </c>
      <c r="J77" s="385"/>
    </row>
    <row r="78" spans="1:10" ht="13">
      <c r="A78" s="382" t="s">
        <v>4255</v>
      </c>
      <c r="B78" s="374" t="s">
        <v>6045</v>
      </c>
      <c r="C78" s="375" t="s">
        <v>4662</v>
      </c>
      <c r="D78" s="376">
        <v>2019</v>
      </c>
      <c r="E78" s="377" t="s">
        <v>5974</v>
      </c>
      <c r="F78" s="378" t="s">
        <v>1946</v>
      </c>
      <c r="G78" s="379">
        <v>432</v>
      </c>
      <c r="H78" s="367"/>
      <c r="I78" s="376">
        <v>12</v>
      </c>
      <c r="J78" s="385"/>
    </row>
    <row r="79" spans="1:10" ht="13">
      <c r="A79" s="373" t="s">
        <v>4255</v>
      </c>
      <c r="B79" s="374" t="s">
        <v>6046</v>
      </c>
      <c r="C79" s="375" t="s">
        <v>6047</v>
      </c>
      <c r="D79" s="376" t="s">
        <v>5</v>
      </c>
      <c r="E79" s="377" t="s">
        <v>5974</v>
      </c>
      <c r="F79" s="378" t="s">
        <v>1946</v>
      </c>
      <c r="G79" s="379">
        <v>294</v>
      </c>
      <c r="H79" s="367"/>
      <c r="I79" s="376">
        <v>12</v>
      </c>
      <c r="J79" s="385"/>
    </row>
    <row r="80" spans="1:10" ht="13">
      <c r="A80" s="373" t="s">
        <v>4255</v>
      </c>
      <c r="B80" s="374" t="s">
        <v>6048</v>
      </c>
      <c r="C80" s="375" t="s">
        <v>6049</v>
      </c>
      <c r="D80" s="376">
        <v>2020</v>
      </c>
      <c r="E80" s="377" t="s">
        <v>5974</v>
      </c>
      <c r="F80" s="378" t="s">
        <v>1946</v>
      </c>
      <c r="G80" s="379">
        <v>432</v>
      </c>
      <c r="H80" s="367"/>
      <c r="I80" s="376">
        <v>12</v>
      </c>
      <c r="J80" s="385"/>
    </row>
    <row r="81" spans="1:10" ht="13">
      <c r="A81" s="382" t="s">
        <v>4255</v>
      </c>
      <c r="B81" s="374" t="s">
        <v>6050</v>
      </c>
      <c r="C81" s="375" t="s">
        <v>6051</v>
      </c>
      <c r="D81" s="376">
        <v>2011</v>
      </c>
      <c r="E81" s="377" t="s">
        <v>5974</v>
      </c>
      <c r="F81" s="378" t="s">
        <v>1946</v>
      </c>
      <c r="G81" s="379">
        <v>672</v>
      </c>
      <c r="H81" s="367"/>
      <c r="I81" s="376">
        <v>12</v>
      </c>
      <c r="J81" s="385"/>
    </row>
    <row r="82" spans="1:10" ht="13">
      <c r="A82" s="373" t="s">
        <v>4255</v>
      </c>
      <c r="B82" s="374" t="s">
        <v>6052</v>
      </c>
      <c r="C82" s="375" t="s">
        <v>6053</v>
      </c>
      <c r="D82" s="376">
        <v>2011</v>
      </c>
      <c r="E82" s="377" t="s">
        <v>5974</v>
      </c>
      <c r="F82" s="376" t="s">
        <v>1946</v>
      </c>
      <c r="G82" s="379">
        <v>996</v>
      </c>
      <c r="H82" s="367"/>
      <c r="I82" s="376">
        <v>12</v>
      </c>
      <c r="J82" s="385"/>
    </row>
    <row r="83" spans="1:10" ht="13">
      <c r="A83" s="373" t="s">
        <v>4255</v>
      </c>
      <c r="B83" s="374" t="s">
        <v>1853</v>
      </c>
      <c r="C83" s="375" t="s">
        <v>6054</v>
      </c>
      <c r="D83" s="376" t="s">
        <v>5</v>
      </c>
      <c r="E83" s="377" t="s">
        <v>5974</v>
      </c>
      <c r="F83" s="376" t="s">
        <v>1946</v>
      </c>
      <c r="G83" s="379">
        <v>240</v>
      </c>
      <c r="H83" s="367"/>
      <c r="I83" s="376">
        <v>12</v>
      </c>
      <c r="J83" s="385"/>
    </row>
    <row r="84" spans="1:10" ht="13">
      <c r="A84" s="373" t="s">
        <v>4255</v>
      </c>
      <c r="B84" s="374" t="s">
        <v>6055</v>
      </c>
      <c r="C84" s="375" t="s">
        <v>6056</v>
      </c>
      <c r="D84" s="376">
        <v>2020</v>
      </c>
      <c r="E84" s="375" t="s">
        <v>5974</v>
      </c>
      <c r="F84" s="376" t="s">
        <v>1946</v>
      </c>
      <c r="G84" s="379">
        <v>252</v>
      </c>
      <c r="H84" s="367"/>
      <c r="I84" s="376">
        <v>12</v>
      </c>
      <c r="J84" s="385"/>
    </row>
    <row r="85" spans="1:10" ht="13">
      <c r="A85" s="373" t="s">
        <v>4255</v>
      </c>
      <c r="B85" s="374" t="s">
        <v>6057</v>
      </c>
      <c r="C85" s="375" t="s">
        <v>6058</v>
      </c>
      <c r="D85" s="376">
        <v>2011</v>
      </c>
      <c r="E85" s="375" t="s">
        <v>5974</v>
      </c>
      <c r="F85" s="376" t="s">
        <v>1946</v>
      </c>
      <c r="G85" s="379">
        <v>672</v>
      </c>
      <c r="H85" s="367"/>
      <c r="I85" s="376">
        <v>12</v>
      </c>
      <c r="J85" s="385"/>
    </row>
    <row r="86" spans="1:10" ht="13">
      <c r="A86" s="367"/>
      <c r="B86" s="368"/>
      <c r="C86" s="369" t="s">
        <v>6059</v>
      </c>
      <c r="D86" s="370"/>
      <c r="E86" s="370"/>
      <c r="F86" s="370"/>
      <c r="G86" s="367"/>
      <c r="H86" s="367"/>
      <c r="I86" s="370"/>
      <c r="J86" s="372"/>
    </row>
    <row r="87" spans="1:10" ht="13">
      <c r="A87" s="373" t="s">
        <v>4255</v>
      </c>
      <c r="B87" s="374" t="s">
        <v>50</v>
      </c>
      <c r="C87" s="375" t="s">
        <v>4845</v>
      </c>
      <c r="D87" s="376">
        <v>2021</v>
      </c>
      <c r="E87" s="375" t="s">
        <v>6060</v>
      </c>
      <c r="F87" s="376">
        <v>60</v>
      </c>
      <c r="G87" s="379">
        <v>147</v>
      </c>
      <c r="H87" s="367"/>
      <c r="I87" s="376">
        <v>12.5</v>
      </c>
      <c r="J87" s="385"/>
    </row>
    <row r="88" spans="1:10" ht="13">
      <c r="A88" s="373" t="s">
        <v>4255</v>
      </c>
      <c r="B88" s="374" t="s">
        <v>6061</v>
      </c>
      <c r="C88" s="375" t="s">
        <v>4848</v>
      </c>
      <c r="D88" s="376">
        <v>2021</v>
      </c>
      <c r="E88" s="375" t="s">
        <v>6060</v>
      </c>
      <c r="F88" s="376">
        <v>42</v>
      </c>
      <c r="G88" s="379">
        <v>147</v>
      </c>
      <c r="H88" s="367"/>
      <c r="I88" s="376">
        <v>12.5</v>
      </c>
      <c r="J88" s="385"/>
    </row>
    <row r="89" spans="1:10" ht="13">
      <c r="A89" s="373" t="s">
        <v>4255</v>
      </c>
      <c r="B89" s="374" t="s">
        <v>59</v>
      </c>
      <c r="C89" s="375" t="s">
        <v>4846</v>
      </c>
      <c r="D89" s="376">
        <v>2020</v>
      </c>
      <c r="E89" s="375" t="s">
        <v>6060</v>
      </c>
      <c r="F89" s="376">
        <v>42</v>
      </c>
      <c r="G89" s="379">
        <v>147</v>
      </c>
      <c r="H89" s="367"/>
      <c r="I89" s="376">
        <v>12.5</v>
      </c>
      <c r="J89" s="385"/>
    </row>
    <row r="90" spans="1:10" ht="13">
      <c r="A90" s="367"/>
      <c r="B90" s="368"/>
      <c r="C90" s="369" t="s">
        <v>6062</v>
      </c>
      <c r="D90" s="370"/>
      <c r="E90" s="370"/>
      <c r="F90" s="370"/>
      <c r="G90" s="367"/>
      <c r="H90" s="367"/>
      <c r="I90" s="370"/>
      <c r="J90" s="372"/>
    </row>
    <row r="91" spans="1:10" ht="13">
      <c r="A91" s="373" t="s">
        <v>4255</v>
      </c>
      <c r="B91" s="374" t="s">
        <v>6063</v>
      </c>
      <c r="C91" s="375" t="s">
        <v>6064</v>
      </c>
      <c r="D91" s="376">
        <v>2022</v>
      </c>
      <c r="E91" s="375" t="s">
        <v>5974</v>
      </c>
      <c r="F91" s="376">
        <v>100</v>
      </c>
      <c r="G91" s="379">
        <v>114</v>
      </c>
      <c r="H91" s="367"/>
      <c r="I91" s="376">
        <v>12.5</v>
      </c>
      <c r="J91" s="385"/>
    </row>
    <row r="92" spans="1:10" ht="13">
      <c r="A92" s="373" t="s">
        <v>4255</v>
      </c>
      <c r="B92" s="374" t="s">
        <v>284</v>
      </c>
      <c r="C92" s="375" t="s">
        <v>4785</v>
      </c>
      <c r="D92" s="376">
        <v>2021</v>
      </c>
      <c r="E92" s="375" t="s">
        <v>5974</v>
      </c>
      <c r="F92" s="376">
        <v>50</v>
      </c>
      <c r="G92" s="379">
        <v>114</v>
      </c>
      <c r="H92" s="367"/>
      <c r="I92" s="376">
        <v>13.5</v>
      </c>
      <c r="J92" s="385"/>
    </row>
    <row r="93" spans="1:10" ht="13">
      <c r="A93" s="373" t="s">
        <v>4255</v>
      </c>
      <c r="B93" s="374" t="s">
        <v>6065</v>
      </c>
      <c r="C93" s="375" t="s">
        <v>6066</v>
      </c>
      <c r="D93" s="376">
        <v>2022</v>
      </c>
      <c r="E93" s="375" t="s">
        <v>5974</v>
      </c>
      <c r="F93" s="376">
        <v>400</v>
      </c>
      <c r="G93" s="379">
        <v>114</v>
      </c>
      <c r="H93" s="367"/>
      <c r="I93" s="376">
        <v>12.5</v>
      </c>
      <c r="J93" s="385"/>
    </row>
    <row r="94" spans="1:10" ht="13">
      <c r="A94" s="382" t="s">
        <v>4255</v>
      </c>
      <c r="B94" s="374" t="s">
        <v>6067</v>
      </c>
      <c r="C94" s="375" t="s">
        <v>4778</v>
      </c>
      <c r="D94" s="376">
        <v>2022</v>
      </c>
      <c r="E94" s="375" t="s">
        <v>5974</v>
      </c>
      <c r="F94" s="376">
        <v>50</v>
      </c>
      <c r="G94" s="379">
        <v>114</v>
      </c>
      <c r="H94" s="367"/>
      <c r="I94" s="376">
        <v>14</v>
      </c>
      <c r="J94" s="385"/>
    </row>
    <row r="95" spans="1:10" ht="13">
      <c r="A95" s="373" t="s">
        <v>4255</v>
      </c>
      <c r="B95" s="374" t="s">
        <v>312</v>
      </c>
      <c r="C95" s="375" t="s">
        <v>6068</v>
      </c>
      <c r="D95" s="376">
        <v>2021</v>
      </c>
      <c r="E95" s="375" t="s">
        <v>5974</v>
      </c>
      <c r="F95" s="376">
        <v>75</v>
      </c>
      <c r="G95" s="379">
        <v>114</v>
      </c>
      <c r="H95" s="367"/>
      <c r="I95" s="376">
        <v>14</v>
      </c>
      <c r="J95" s="385"/>
    </row>
    <row r="96" spans="1:10" ht="13">
      <c r="A96" s="373" t="s">
        <v>4255</v>
      </c>
      <c r="B96" s="374" t="s">
        <v>314</v>
      </c>
      <c r="C96" s="375" t="s">
        <v>4776</v>
      </c>
      <c r="D96" s="376">
        <v>2022</v>
      </c>
      <c r="E96" s="375" t="s">
        <v>5974</v>
      </c>
      <c r="F96" s="376">
        <v>50</v>
      </c>
      <c r="G96" s="379">
        <v>114</v>
      </c>
      <c r="H96" s="367"/>
      <c r="I96" s="376">
        <v>12</v>
      </c>
      <c r="J96" s="385"/>
    </row>
    <row r="97" spans="1:10" ht="13">
      <c r="A97" s="373" t="s">
        <v>4255</v>
      </c>
      <c r="B97" s="374" t="s">
        <v>298</v>
      </c>
      <c r="C97" s="375" t="s">
        <v>299</v>
      </c>
      <c r="D97" s="376">
        <v>2022</v>
      </c>
      <c r="E97" s="375" t="s">
        <v>5974</v>
      </c>
      <c r="F97" s="376">
        <v>75</v>
      </c>
      <c r="G97" s="379">
        <v>114</v>
      </c>
      <c r="H97" s="367"/>
      <c r="I97" s="376">
        <v>12</v>
      </c>
      <c r="J97" s="385"/>
    </row>
    <row r="98" spans="1:10" ht="13">
      <c r="A98" s="373" t="s">
        <v>4255</v>
      </c>
      <c r="B98" s="374" t="s">
        <v>295</v>
      </c>
      <c r="C98" s="375" t="s">
        <v>4781</v>
      </c>
      <c r="D98" s="376">
        <v>2022</v>
      </c>
      <c r="E98" s="375" t="s">
        <v>5974</v>
      </c>
      <c r="F98" s="376">
        <v>100</v>
      </c>
      <c r="G98" s="379">
        <v>114</v>
      </c>
      <c r="H98" s="367"/>
      <c r="I98" s="376">
        <v>12</v>
      </c>
      <c r="J98" s="385"/>
    </row>
    <row r="99" spans="1:10" ht="13">
      <c r="A99" s="370"/>
      <c r="B99" s="368"/>
      <c r="C99" s="369" t="s">
        <v>6069</v>
      </c>
      <c r="D99" s="370"/>
      <c r="E99" s="370"/>
      <c r="F99" s="370"/>
      <c r="G99" s="367"/>
      <c r="H99" s="367"/>
      <c r="I99" s="370"/>
      <c r="J99" s="372"/>
    </row>
    <row r="100" spans="1:10" ht="13">
      <c r="A100" s="386" t="s">
        <v>4940</v>
      </c>
      <c r="B100" s="374" t="s">
        <v>6070</v>
      </c>
      <c r="C100" s="375" t="s">
        <v>5011</v>
      </c>
      <c r="D100" s="376">
        <v>2021</v>
      </c>
      <c r="E100" s="375" t="s">
        <v>5974</v>
      </c>
      <c r="F100" s="376">
        <v>350</v>
      </c>
      <c r="G100" s="379">
        <v>108</v>
      </c>
      <c r="H100" s="367"/>
      <c r="I100" s="376">
        <v>13</v>
      </c>
      <c r="J100" s="385"/>
    </row>
    <row r="101" spans="1:10" ht="13">
      <c r="A101" s="370"/>
      <c r="B101" s="368"/>
      <c r="C101" s="369" t="s">
        <v>6071</v>
      </c>
      <c r="D101" s="370"/>
      <c r="E101" s="370"/>
      <c r="F101" s="370"/>
      <c r="G101" s="367"/>
      <c r="H101" s="367"/>
      <c r="I101" s="370"/>
      <c r="J101" s="372"/>
    </row>
    <row r="102" spans="1:10" ht="13">
      <c r="A102" s="386" t="s">
        <v>4940</v>
      </c>
      <c r="B102" s="374" t="s">
        <v>3330</v>
      </c>
      <c r="C102" s="375" t="s">
        <v>3331</v>
      </c>
      <c r="D102" s="376">
        <v>2022</v>
      </c>
      <c r="E102" s="375" t="s">
        <v>5974</v>
      </c>
      <c r="F102" s="376">
        <v>200</v>
      </c>
      <c r="G102" s="379">
        <v>84</v>
      </c>
      <c r="H102" s="367"/>
      <c r="I102" s="376">
        <v>12.5</v>
      </c>
      <c r="J102" s="385"/>
    </row>
    <row r="103" spans="1:10" ht="13">
      <c r="A103" s="386" t="s">
        <v>4940</v>
      </c>
      <c r="B103" s="374" t="s">
        <v>4973</v>
      </c>
      <c r="C103" s="375" t="s">
        <v>4974</v>
      </c>
      <c r="D103" s="376">
        <v>2022</v>
      </c>
      <c r="E103" s="375" t="s">
        <v>5974</v>
      </c>
      <c r="F103" s="376">
        <v>100</v>
      </c>
      <c r="G103" s="379">
        <v>114</v>
      </c>
      <c r="H103" s="367"/>
      <c r="I103" s="376">
        <v>12</v>
      </c>
      <c r="J103" s="385"/>
    </row>
    <row r="104" spans="1:10" ht="13">
      <c r="A104" s="386" t="s">
        <v>4940</v>
      </c>
      <c r="B104" s="374" t="s">
        <v>6072</v>
      </c>
      <c r="C104" s="375" t="s">
        <v>4963</v>
      </c>
      <c r="D104" s="376">
        <v>2022</v>
      </c>
      <c r="E104" s="375" t="s">
        <v>5974</v>
      </c>
      <c r="F104" s="376">
        <v>100</v>
      </c>
      <c r="G104" s="379">
        <v>114</v>
      </c>
      <c r="H104" s="367"/>
      <c r="I104" s="376">
        <v>13</v>
      </c>
      <c r="J104" s="385"/>
    </row>
    <row r="105" spans="1:10" ht="13">
      <c r="A105" s="370"/>
      <c r="B105" s="368"/>
      <c r="C105" s="369" t="s">
        <v>6073</v>
      </c>
      <c r="D105" s="370"/>
      <c r="E105" s="370"/>
      <c r="F105" s="370"/>
      <c r="G105" s="367"/>
      <c r="H105" s="367"/>
      <c r="I105" s="370"/>
      <c r="J105" s="372"/>
    </row>
    <row r="106" spans="1:10" ht="13">
      <c r="A106" s="386" t="s">
        <v>4940</v>
      </c>
      <c r="B106" s="374" t="s">
        <v>6074</v>
      </c>
      <c r="C106" s="375" t="s">
        <v>6075</v>
      </c>
      <c r="D106" s="376">
        <v>2020</v>
      </c>
      <c r="E106" s="375" t="s">
        <v>5974</v>
      </c>
      <c r="F106" s="376" t="s">
        <v>1946</v>
      </c>
      <c r="G106" s="379">
        <v>120</v>
      </c>
      <c r="H106" s="367"/>
      <c r="I106" s="376">
        <v>12.5</v>
      </c>
      <c r="J106" s="385"/>
    </row>
    <row r="107" spans="1:10" ht="13">
      <c r="A107" s="386" t="s">
        <v>4940</v>
      </c>
      <c r="B107" s="374" t="s">
        <v>6076</v>
      </c>
      <c r="C107" s="375" t="s">
        <v>6077</v>
      </c>
      <c r="D107" s="376">
        <v>2020</v>
      </c>
      <c r="E107" s="375" t="s">
        <v>5974</v>
      </c>
      <c r="F107" s="376" t="s">
        <v>1946</v>
      </c>
      <c r="G107" s="379">
        <v>120</v>
      </c>
      <c r="H107" s="367"/>
      <c r="I107" s="376">
        <v>13</v>
      </c>
      <c r="J107" s="385"/>
    </row>
    <row r="108" spans="1:10" ht="13">
      <c r="A108" s="387" t="s">
        <v>4940</v>
      </c>
      <c r="B108" s="374" t="s">
        <v>3495</v>
      </c>
      <c r="C108" s="375" t="s">
        <v>6075</v>
      </c>
      <c r="D108" s="376">
        <v>2021</v>
      </c>
      <c r="E108" s="375" t="s">
        <v>5974</v>
      </c>
      <c r="F108" s="378" t="s">
        <v>1946</v>
      </c>
      <c r="G108" s="379">
        <v>180</v>
      </c>
      <c r="H108" s="367"/>
      <c r="I108" s="376">
        <v>12.5</v>
      </c>
      <c r="J108" s="385"/>
    </row>
    <row r="109" spans="1:10" ht="13">
      <c r="A109" s="386" t="s">
        <v>4940</v>
      </c>
      <c r="B109" s="374" t="s">
        <v>3498</v>
      </c>
      <c r="C109" s="375" t="s">
        <v>6077</v>
      </c>
      <c r="D109" s="376">
        <v>2021</v>
      </c>
      <c r="E109" s="375" t="s">
        <v>5974</v>
      </c>
      <c r="F109" s="378" t="s">
        <v>1946</v>
      </c>
      <c r="G109" s="379">
        <v>180</v>
      </c>
      <c r="H109" s="367"/>
      <c r="I109" s="376">
        <v>13</v>
      </c>
      <c r="J109" s="385"/>
    </row>
    <row r="110" spans="1:10" ht="13">
      <c r="A110" s="386" t="s">
        <v>4940</v>
      </c>
      <c r="B110" s="374" t="s">
        <v>6078</v>
      </c>
      <c r="C110" s="375" t="s">
        <v>6079</v>
      </c>
      <c r="D110" s="376">
        <v>2019</v>
      </c>
      <c r="E110" s="375" t="s">
        <v>6060</v>
      </c>
      <c r="F110" s="376" t="s">
        <v>1946</v>
      </c>
      <c r="G110" s="379">
        <v>864</v>
      </c>
      <c r="H110" s="367"/>
      <c r="I110" s="376">
        <v>14.5</v>
      </c>
      <c r="J110" s="385"/>
    </row>
    <row r="111" spans="1:10" ht="13">
      <c r="A111" s="386" t="s">
        <v>4940</v>
      </c>
      <c r="B111" s="374" t="s">
        <v>3576</v>
      </c>
      <c r="C111" s="375" t="s">
        <v>6079</v>
      </c>
      <c r="D111" s="376">
        <v>2019</v>
      </c>
      <c r="E111" s="375" t="s">
        <v>6080</v>
      </c>
      <c r="F111" s="378" t="s">
        <v>1946</v>
      </c>
      <c r="G111" s="379">
        <v>1336</v>
      </c>
      <c r="H111" s="367"/>
      <c r="I111" s="376">
        <v>14.5</v>
      </c>
      <c r="J111" s="385"/>
    </row>
    <row r="112" spans="1:10" ht="13">
      <c r="A112" s="386" t="s">
        <v>4940</v>
      </c>
      <c r="B112" s="374" t="s">
        <v>6081</v>
      </c>
      <c r="C112" s="375" t="s">
        <v>6079</v>
      </c>
      <c r="D112" s="376">
        <v>2019</v>
      </c>
      <c r="E112" s="375" t="s">
        <v>5978</v>
      </c>
      <c r="F112" s="378" t="s">
        <v>1946</v>
      </c>
      <c r="G112" s="379">
        <v>954</v>
      </c>
      <c r="H112" s="367"/>
      <c r="I112" s="376">
        <v>14.5</v>
      </c>
      <c r="J112" s="385"/>
    </row>
    <row r="113" spans="1:10" ht="13">
      <c r="A113" s="387" t="s">
        <v>4940</v>
      </c>
      <c r="B113" s="374" t="s">
        <v>6082</v>
      </c>
      <c r="C113" s="375" t="s">
        <v>6079</v>
      </c>
      <c r="D113" s="376">
        <v>2019</v>
      </c>
      <c r="E113" s="375" t="s">
        <v>6083</v>
      </c>
      <c r="F113" s="378" t="s">
        <v>1946</v>
      </c>
      <c r="G113" s="379">
        <v>1115</v>
      </c>
      <c r="H113" s="367"/>
      <c r="I113" s="376">
        <v>14.5</v>
      </c>
      <c r="J113" s="385"/>
    </row>
    <row r="114" spans="1:10" ht="13">
      <c r="A114" s="386" t="s">
        <v>4940</v>
      </c>
      <c r="B114" s="374" t="s">
        <v>3565</v>
      </c>
      <c r="C114" s="375" t="s">
        <v>5029</v>
      </c>
      <c r="D114" s="376" t="s">
        <v>5</v>
      </c>
      <c r="E114" s="375" t="s">
        <v>5974</v>
      </c>
      <c r="F114" s="378" t="s">
        <v>1946</v>
      </c>
      <c r="G114" s="379">
        <v>600</v>
      </c>
      <c r="H114" s="367"/>
      <c r="I114" s="376">
        <v>15</v>
      </c>
      <c r="J114" s="385"/>
    </row>
    <row r="115" spans="1:10" ht="13">
      <c r="A115" s="386" t="s">
        <v>4940</v>
      </c>
      <c r="B115" s="374" t="s">
        <v>3567</v>
      </c>
      <c r="C115" s="375" t="s">
        <v>5029</v>
      </c>
      <c r="D115" s="376" t="s">
        <v>5</v>
      </c>
      <c r="E115" s="375" t="s">
        <v>5990</v>
      </c>
      <c r="F115" s="378" t="s">
        <v>1946</v>
      </c>
      <c r="G115" s="379">
        <v>618</v>
      </c>
      <c r="H115" s="367"/>
      <c r="I115" s="376">
        <v>14.5</v>
      </c>
      <c r="J115" s="385"/>
    </row>
    <row r="116" spans="1:10" ht="13">
      <c r="A116" s="386" t="s">
        <v>4940</v>
      </c>
      <c r="B116" s="374" t="s">
        <v>5033</v>
      </c>
      <c r="C116" s="375" t="s">
        <v>5034</v>
      </c>
      <c r="D116" s="376">
        <v>2019</v>
      </c>
      <c r="E116" s="375" t="s">
        <v>5974</v>
      </c>
      <c r="F116" s="378" t="s">
        <v>1946</v>
      </c>
      <c r="G116" s="379">
        <v>600</v>
      </c>
      <c r="H116" s="367"/>
      <c r="I116" s="376">
        <v>14</v>
      </c>
      <c r="J116" s="385"/>
    </row>
    <row r="117" spans="1:10" ht="13">
      <c r="A117" s="387" t="s">
        <v>4940</v>
      </c>
      <c r="B117" s="374" t="s">
        <v>6084</v>
      </c>
      <c r="C117" s="375" t="s">
        <v>5034</v>
      </c>
      <c r="D117" s="376">
        <v>2019</v>
      </c>
      <c r="E117" s="375" t="s">
        <v>6080</v>
      </c>
      <c r="F117" s="378" t="s">
        <v>1946</v>
      </c>
      <c r="G117" s="379">
        <v>440</v>
      </c>
      <c r="H117" s="367"/>
      <c r="I117" s="376">
        <v>14</v>
      </c>
      <c r="J117" s="385"/>
    </row>
    <row r="118" spans="1:10" ht="13">
      <c r="A118" s="386" t="s">
        <v>4940</v>
      </c>
      <c r="B118" s="374" t="s">
        <v>6085</v>
      </c>
      <c r="C118" s="375" t="s">
        <v>5034</v>
      </c>
      <c r="D118" s="376">
        <v>2019</v>
      </c>
      <c r="E118" s="375" t="s">
        <v>5990</v>
      </c>
      <c r="F118" s="376" t="s">
        <v>1946</v>
      </c>
      <c r="G118" s="379">
        <v>618</v>
      </c>
      <c r="H118" s="367"/>
      <c r="I118" s="376">
        <v>14</v>
      </c>
      <c r="J118" s="385"/>
    </row>
    <row r="119" spans="1:10" ht="13">
      <c r="A119" s="386" t="s">
        <v>4940</v>
      </c>
      <c r="B119" s="374" t="s">
        <v>6086</v>
      </c>
      <c r="C119" s="375" t="s">
        <v>6087</v>
      </c>
      <c r="D119" s="376">
        <v>2019</v>
      </c>
      <c r="E119" s="375" t="s">
        <v>5974</v>
      </c>
      <c r="F119" s="376" t="s">
        <v>1946</v>
      </c>
      <c r="G119" s="379">
        <v>420</v>
      </c>
      <c r="H119" s="367"/>
      <c r="I119" s="376">
        <v>14</v>
      </c>
      <c r="J119" s="385"/>
    </row>
    <row r="120" spans="1:10" ht="13">
      <c r="A120" s="386" t="s">
        <v>4940</v>
      </c>
      <c r="B120" s="374" t="s">
        <v>3535</v>
      </c>
      <c r="C120" s="375" t="s">
        <v>6087</v>
      </c>
      <c r="D120" s="376">
        <v>2019</v>
      </c>
      <c r="E120" s="375" t="s">
        <v>6080</v>
      </c>
      <c r="F120" s="376" t="s">
        <v>1946</v>
      </c>
      <c r="G120" s="379">
        <v>330</v>
      </c>
      <c r="H120" s="367"/>
      <c r="I120" s="376">
        <v>15</v>
      </c>
      <c r="J120" s="385"/>
    </row>
    <row r="121" spans="1:10" ht="13">
      <c r="A121" s="386" t="s">
        <v>4940</v>
      </c>
      <c r="B121" s="374" t="s">
        <v>3533</v>
      </c>
      <c r="C121" s="375" t="s">
        <v>6087</v>
      </c>
      <c r="D121" s="376">
        <v>2019</v>
      </c>
      <c r="E121" s="375" t="s">
        <v>5990</v>
      </c>
      <c r="F121" s="376" t="s">
        <v>1946</v>
      </c>
      <c r="G121" s="379">
        <v>438</v>
      </c>
      <c r="H121" s="367"/>
      <c r="I121" s="376">
        <v>14</v>
      </c>
      <c r="J121" s="385"/>
    </row>
    <row r="122" spans="1:10" ht="13">
      <c r="A122" s="386" t="s">
        <v>4940</v>
      </c>
      <c r="B122" s="374" t="s">
        <v>6088</v>
      </c>
      <c r="C122" s="375" t="s">
        <v>6089</v>
      </c>
      <c r="D122" s="376">
        <v>2019</v>
      </c>
      <c r="E122" s="375" t="s">
        <v>5974</v>
      </c>
      <c r="F122" s="376" t="s">
        <v>1946</v>
      </c>
      <c r="G122" s="379">
        <v>420</v>
      </c>
      <c r="H122" s="367"/>
      <c r="I122" s="376">
        <v>14</v>
      </c>
      <c r="J122" s="385"/>
    </row>
    <row r="123" spans="1:10" ht="13">
      <c r="A123" s="386" t="s">
        <v>4940</v>
      </c>
      <c r="B123" s="374" t="s">
        <v>3545</v>
      </c>
      <c r="C123" s="375" t="s">
        <v>6089</v>
      </c>
      <c r="D123" s="376">
        <v>2019</v>
      </c>
      <c r="E123" s="375" t="s">
        <v>6080</v>
      </c>
      <c r="F123" s="376" t="s">
        <v>1946</v>
      </c>
      <c r="G123" s="379">
        <v>330</v>
      </c>
      <c r="H123" s="367"/>
      <c r="I123" s="376">
        <v>14</v>
      </c>
      <c r="J123" s="385"/>
    </row>
    <row r="124" spans="1:10" ht="13">
      <c r="A124" s="386" t="s">
        <v>4940</v>
      </c>
      <c r="B124" s="374" t="s">
        <v>6090</v>
      </c>
      <c r="C124" s="375" t="s">
        <v>6089</v>
      </c>
      <c r="D124" s="376">
        <v>2019</v>
      </c>
      <c r="E124" s="375" t="s">
        <v>5990</v>
      </c>
      <c r="F124" s="376" t="s">
        <v>1946</v>
      </c>
      <c r="G124" s="379">
        <v>438</v>
      </c>
      <c r="H124" s="367"/>
      <c r="I124" s="376">
        <v>14</v>
      </c>
      <c r="J124" s="385"/>
    </row>
    <row r="125" spans="1:10" ht="13">
      <c r="A125" s="386" t="s">
        <v>4940</v>
      </c>
      <c r="B125" s="374" t="s">
        <v>6091</v>
      </c>
      <c r="C125" s="375" t="s">
        <v>6092</v>
      </c>
      <c r="D125" s="376">
        <v>2019</v>
      </c>
      <c r="E125" s="375" t="s">
        <v>5974</v>
      </c>
      <c r="F125" s="376" t="s">
        <v>1946</v>
      </c>
      <c r="G125" s="379">
        <v>420</v>
      </c>
      <c r="H125" s="367"/>
      <c r="I125" s="376">
        <v>14</v>
      </c>
      <c r="J125" s="385"/>
    </row>
    <row r="126" spans="1:10" ht="13">
      <c r="A126" s="386" t="s">
        <v>4940</v>
      </c>
      <c r="B126" s="374" t="s">
        <v>6093</v>
      </c>
      <c r="C126" s="375" t="s">
        <v>6092</v>
      </c>
      <c r="D126" s="376">
        <v>2019</v>
      </c>
      <c r="E126" s="375" t="s">
        <v>6080</v>
      </c>
      <c r="F126" s="376" t="s">
        <v>1946</v>
      </c>
      <c r="G126" s="379">
        <v>330</v>
      </c>
      <c r="H126" s="367"/>
      <c r="I126" s="376">
        <v>14</v>
      </c>
      <c r="J126" s="385"/>
    </row>
    <row r="127" spans="1:10" ht="13">
      <c r="A127" s="386" t="s">
        <v>4940</v>
      </c>
      <c r="B127" s="374" t="s">
        <v>6094</v>
      </c>
      <c r="C127" s="375" t="s">
        <v>6092</v>
      </c>
      <c r="D127" s="376">
        <v>2019</v>
      </c>
      <c r="E127" s="375" t="s">
        <v>5990</v>
      </c>
      <c r="F127" s="376" t="s">
        <v>1946</v>
      </c>
      <c r="G127" s="379">
        <v>438</v>
      </c>
      <c r="H127" s="367"/>
      <c r="I127" s="376">
        <v>14</v>
      </c>
      <c r="J127" s="385"/>
    </row>
    <row r="128" spans="1:10" ht="13">
      <c r="A128" s="386" t="s">
        <v>4940</v>
      </c>
      <c r="B128" s="374" t="s">
        <v>6095</v>
      </c>
      <c r="C128" s="375" t="s">
        <v>6096</v>
      </c>
      <c r="D128" s="376">
        <v>2021</v>
      </c>
      <c r="E128" s="375" t="s">
        <v>5974</v>
      </c>
      <c r="F128" s="376" t="s">
        <v>1946</v>
      </c>
      <c r="G128" s="379">
        <v>264</v>
      </c>
      <c r="H128" s="367"/>
      <c r="I128" s="376">
        <v>14</v>
      </c>
      <c r="J128" s="385"/>
    </row>
    <row r="129" spans="1:10" ht="13">
      <c r="A129" s="386" t="s">
        <v>4940</v>
      </c>
      <c r="B129" s="374" t="s">
        <v>3525</v>
      </c>
      <c r="C129" s="375" t="s">
        <v>6096</v>
      </c>
      <c r="D129" s="376">
        <v>2021</v>
      </c>
      <c r="E129" s="375" t="s">
        <v>5990</v>
      </c>
      <c r="F129" s="376" t="s">
        <v>1946</v>
      </c>
      <c r="G129" s="379">
        <v>288</v>
      </c>
      <c r="H129" s="367"/>
      <c r="I129" s="376">
        <v>14</v>
      </c>
      <c r="J129" s="385"/>
    </row>
    <row r="130" spans="1:10" ht="13">
      <c r="A130" s="386" t="s">
        <v>4940</v>
      </c>
      <c r="B130" s="374" t="s">
        <v>3518</v>
      </c>
      <c r="C130" s="375" t="s">
        <v>5036</v>
      </c>
      <c r="D130" s="376">
        <v>2019</v>
      </c>
      <c r="E130" s="375" t="s">
        <v>5974</v>
      </c>
      <c r="F130" s="376" t="s">
        <v>1946</v>
      </c>
      <c r="G130" s="379">
        <v>600</v>
      </c>
      <c r="H130" s="367"/>
      <c r="I130" s="376">
        <v>12</v>
      </c>
      <c r="J130" s="385"/>
    </row>
    <row r="131" spans="1:10" ht="13">
      <c r="A131" s="386" t="s">
        <v>4940</v>
      </c>
      <c r="B131" s="374" t="s">
        <v>5035</v>
      </c>
      <c r="C131" s="375" t="s">
        <v>5036</v>
      </c>
      <c r="D131" s="376">
        <v>2019</v>
      </c>
      <c r="E131" s="375" t="s">
        <v>5990</v>
      </c>
      <c r="F131" s="376" t="s">
        <v>1946</v>
      </c>
      <c r="G131" s="379">
        <v>618</v>
      </c>
      <c r="H131" s="367"/>
      <c r="I131" s="376">
        <v>12</v>
      </c>
      <c r="J131" s="385"/>
    </row>
    <row r="132" spans="1:10" ht="13">
      <c r="A132" s="370"/>
      <c r="B132" s="368"/>
      <c r="C132" s="369" t="s">
        <v>6097</v>
      </c>
      <c r="D132" s="370"/>
      <c r="E132" s="370"/>
      <c r="F132" s="370"/>
      <c r="G132" s="367"/>
      <c r="H132" s="367"/>
      <c r="I132" s="370"/>
      <c r="J132" s="372"/>
    </row>
    <row r="133" spans="1:10" ht="13">
      <c r="A133" s="388" t="s">
        <v>3971</v>
      </c>
      <c r="B133" s="374" t="s">
        <v>2662</v>
      </c>
      <c r="C133" s="375" t="s">
        <v>2663</v>
      </c>
      <c r="D133" s="376">
        <v>2020</v>
      </c>
      <c r="E133" s="375" t="s">
        <v>5974</v>
      </c>
      <c r="F133" s="376">
        <v>5</v>
      </c>
      <c r="G133" s="379">
        <v>96</v>
      </c>
      <c r="H133" s="370"/>
      <c r="I133" s="376">
        <v>12</v>
      </c>
      <c r="J133" s="385"/>
    </row>
    <row r="134" spans="1:10" ht="13">
      <c r="A134" s="388" t="s">
        <v>3971</v>
      </c>
      <c r="B134" s="374" t="s">
        <v>2666</v>
      </c>
      <c r="C134" s="375" t="s">
        <v>2667</v>
      </c>
      <c r="D134" s="376">
        <v>2020</v>
      </c>
      <c r="E134" s="375" t="s">
        <v>5974</v>
      </c>
      <c r="F134" s="376">
        <v>5</v>
      </c>
      <c r="G134" s="379">
        <v>96</v>
      </c>
      <c r="H134" s="367"/>
      <c r="I134" s="376">
        <v>12</v>
      </c>
      <c r="J134" s="385"/>
    </row>
    <row r="135" spans="1:10" ht="13">
      <c r="A135" s="370"/>
      <c r="B135" s="368"/>
      <c r="C135" s="369" t="s">
        <v>6098</v>
      </c>
      <c r="D135" s="370"/>
      <c r="E135" s="370"/>
      <c r="F135" s="370"/>
      <c r="G135" s="367"/>
      <c r="H135" s="370"/>
      <c r="I135" s="370"/>
      <c r="J135" s="372"/>
    </row>
    <row r="136" spans="1:10" ht="13">
      <c r="A136" s="388" t="s">
        <v>3971</v>
      </c>
      <c r="B136" s="374" t="s">
        <v>2592</v>
      </c>
      <c r="C136" s="375" t="s">
        <v>4021</v>
      </c>
      <c r="D136" s="376">
        <v>2019</v>
      </c>
      <c r="E136" s="375" t="s">
        <v>5974</v>
      </c>
      <c r="F136" s="383">
        <v>1000</v>
      </c>
      <c r="G136" s="379">
        <v>102</v>
      </c>
      <c r="H136" s="370"/>
      <c r="I136" s="376">
        <v>12.5</v>
      </c>
      <c r="J136" s="389"/>
    </row>
    <row r="137" spans="1:10" ht="13">
      <c r="A137" s="388" t="s">
        <v>3971</v>
      </c>
      <c r="B137" s="374" t="s">
        <v>6099</v>
      </c>
      <c r="C137" s="375" t="s">
        <v>4032</v>
      </c>
      <c r="D137" s="376">
        <v>2022</v>
      </c>
      <c r="E137" s="375" t="s">
        <v>5974</v>
      </c>
      <c r="F137" s="376">
        <v>172</v>
      </c>
      <c r="G137" s="379">
        <v>120</v>
      </c>
      <c r="H137" s="367"/>
      <c r="I137" s="376">
        <v>12.5</v>
      </c>
      <c r="J137" s="385"/>
    </row>
    <row r="138" spans="1:10" ht="13">
      <c r="A138" s="388" t="s">
        <v>3971</v>
      </c>
      <c r="B138" s="374" t="s">
        <v>2578</v>
      </c>
      <c r="C138" s="375" t="s">
        <v>6100</v>
      </c>
      <c r="D138" s="376">
        <v>2022</v>
      </c>
      <c r="E138" s="375" t="s">
        <v>5974</v>
      </c>
      <c r="F138" s="376">
        <v>35</v>
      </c>
      <c r="G138" s="379">
        <v>180</v>
      </c>
      <c r="H138" s="367"/>
      <c r="I138" s="376">
        <v>13</v>
      </c>
      <c r="J138" s="389"/>
    </row>
    <row r="139" spans="1:10" ht="13">
      <c r="A139" s="388" t="s">
        <v>3971</v>
      </c>
      <c r="B139" s="374" t="s">
        <v>6101</v>
      </c>
      <c r="C139" s="375" t="s">
        <v>4027</v>
      </c>
      <c r="D139" s="376">
        <v>2022</v>
      </c>
      <c r="E139" s="375" t="s">
        <v>5974</v>
      </c>
      <c r="F139" s="376">
        <v>112</v>
      </c>
      <c r="G139" s="379">
        <v>114</v>
      </c>
      <c r="H139" s="367"/>
      <c r="I139" s="376">
        <v>12.5</v>
      </c>
      <c r="J139" s="389"/>
    </row>
    <row r="140" spans="1:10" ht="13">
      <c r="A140" s="388" t="s">
        <v>3971</v>
      </c>
      <c r="B140" s="374" t="s">
        <v>6102</v>
      </c>
      <c r="C140" s="375" t="s">
        <v>2598</v>
      </c>
      <c r="D140" s="376">
        <v>2022</v>
      </c>
      <c r="E140" s="375" t="s">
        <v>5974</v>
      </c>
      <c r="F140" s="376">
        <v>75</v>
      </c>
      <c r="G140" s="379">
        <v>126</v>
      </c>
      <c r="H140" s="367"/>
      <c r="I140" s="376">
        <v>12</v>
      </c>
      <c r="J140" s="389"/>
    </row>
    <row r="141" spans="1:10" ht="13">
      <c r="A141" s="370"/>
      <c r="B141" s="368"/>
      <c r="C141" s="369" t="s">
        <v>6103</v>
      </c>
      <c r="D141" s="370"/>
      <c r="E141" s="370"/>
      <c r="F141" s="370"/>
      <c r="G141" s="367"/>
      <c r="H141" s="367"/>
      <c r="I141" s="370"/>
      <c r="J141" s="372"/>
    </row>
    <row r="142" spans="1:10" ht="13">
      <c r="A142" s="390" t="s">
        <v>4911</v>
      </c>
      <c r="B142" s="374" t="s">
        <v>2743</v>
      </c>
      <c r="C142" s="375" t="s">
        <v>4926</v>
      </c>
      <c r="D142" s="376">
        <v>2021</v>
      </c>
      <c r="E142" s="375" t="s">
        <v>5974</v>
      </c>
      <c r="F142" s="376">
        <v>50</v>
      </c>
      <c r="G142" s="379">
        <v>150</v>
      </c>
      <c r="H142" s="367"/>
      <c r="I142" s="376">
        <v>13</v>
      </c>
      <c r="J142" s="385"/>
    </row>
    <row r="143" spans="1:10" ht="13">
      <c r="A143" s="391" t="s">
        <v>4911</v>
      </c>
      <c r="B143" s="374" t="s">
        <v>2737</v>
      </c>
      <c r="C143" s="375" t="s">
        <v>4933</v>
      </c>
      <c r="D143" s="376">
        <v>2021</v>
      </c>
      <c r="E143" s="375" t="s">
        <v>5974</v>
      </c>
      <c r="F143" s="376">
        <v>200</v>
      </c>
      <c r="G143" s="379">
        <v>120</v>
      </c>
      <c r="H143" s="367"/>
      <c r="I143" s="376">
        <v>12</v>
      </c>
      <c r="J143" s="385"/>
    </row>
    <row r="144" spans="1:10" ht="13">
      <c r="A144" s="370"/>
      <c r="B144" s="368"/>
      <c r="C144" s="369" t="s">
        <v>6104</v>
      </c>
      <c r="D144" s="370"/>
      <c r="E144" s="370"/>
      <c r="F144" s="370"/>
      <c r="G144" s="367"/>
      <c r="H144" s="367"/>
      <c r="I144" s="370"/>
      <c r="J144" s="372"/>
    </row>
    <row r="145" spans="1:10" ht="13">
      <c r="A145" s="392" t="s">
        <v>3963</v>
      </c>
      <c r="B145" s="374" t="s">
        <v>3711</v>
      </c>
      <c r="C145" s="375" t="s">
        <v>3967</v>
      </c>
      <c r="D145" s="376">
        <v>2021</v>
      </c>
      <c r="E145" s="375" t="s">
        <v>6060</v>
      </c>
      <c r="F145" s="376">
        <v>109</v>
      </c>
      <c r="G145" s="379">
        <v>120</v>
      </c>
      <c r="H145" s="367"/>
      <c r="I145" s="376">
        <v>15.5</v>
      </c>
      <c r="J145" s="385"/>
    </row>
    <row r="146" spans="1:10" ht="13">
      <c r="A146" s="392" t="s">
        <v>3963</v>
      </c>
      <c r="B146" s="374" t="s">
        <v>6105</v>
      </c>
      <c r="C146" s="375" t="s">
        <v>6106</v>
      </c>
      <c r="D146" s="376">
        <v>2021</v>
      </c>
      <c r="E146" s="375" t="s">
        <v>6060</v>
      </c>
      <c r="F146" s="376">
        <v>14</v>
      </c>
      <c r="G146" s="379">
        <v>120</v>
      </c>
      <c r="H146" s="367"/>
      <c r="I146" s="376">
        <v>15.5</v>
      </c>
      <c r="J146" s="385"/>
    </row>
    <row r="147" spans="1:10" ht="13">
      <c r="A147" s="392" t="s">
        <v>3963</v>
      </c>
      <c r="B147" s="374" t="s">
        <v>3707</v>
      </c>
      <c r="C147" s="375" t="s">
        <v>3965</v>
      </c>
      <c r="D147" s="376">
        <v>2021</v>
      </c>
      <c r="E147" s="377" t="s">
        <v>6060</v>
      </c>
      <c r="F147" s="376">
        <v>16</v>
      </c>
      <c r="G147" s="379">
        <v>120</v>
      </c>
      <c r="H147" s="367"/>
      <c r="I147" s="376">
        <v>15.5</v>
      </c>
      <c r="J147" s="385"/>
    </row>
    <row r="148" spans="1:10" ht="13">
      <c r="A148" s="392" t="s">
        <v>3963</v>
      </c>
      <c r="B148" s="374" t="s">
        <v>6107</v>
      </c>
      <c r="C148" s="375" t="s">
        <v>3969</v>
      </c>
      <c r="D148" s="376">
        <v>2020</v>
      </c>
      <c r="E148" s="377" t="s">
        <v>6060</v>
      </c>
      <c r="F148" s="376">
        <v>11</v>
      </c>
      <c r="G148" s="379">
        <v>120</v>
      </c>
      <c r="H148" s="367"/>
      <c r="I148" s="376">
        <v>15.5</v>
      </c>
      <c r="J148" s="385"/>
    </row>
    <row r="149" spans="1:10" ht="13">
      <c r="A149" s="393" t="s">
        <v>3963</v>
      </c>
      <c r="B149" s="374" t="s">
        <v>3714</v>
      </c>
      <c r="C149" s="375" t="s">
        <v>3969</v>
      </c>
      <c r="D149" s="376">
        <v>2021</v>
      </c>
      <c r="E149" s="377" t="s">
        <v>6060</v>
      </c>
      <c r="F149" s="378">
        <v>62</v>
      </c>
      <c r="G149" s="379">
        <v>120</v>
      </c>
      <c r="H149" s="367"/>
      <c r="I149" s="376">
        <v>15.5</v>
      </c>
      <c r="J149" s="385"/>
    </row>
    <row r="150" spans="1:10" ht="13">
      <c r="A150" s="370"/>
      <c r="B150" s="368"/>
      <c r="C150" s="369" t="s">
        <v>6108</v>
      </c>
      <c r="D150" s="370"/>
      <c r="E150" s="371"/>
      <c r="F150" s="371"/>
      <c r="G150" s="367"/>
      <c r="H150" s="367"/>
      <c r="I150" s="370"/>
      <c r="J150" s="370"/>
    </row>
    <row r="151" spans="1:10" ht="13">
      <c r="A151" s="394" t="s">
        <v>4160</v>
      </c>
      <c r="B151" s="374" t="s">
        <v>3824</v>
      </c>
      <c r="C151" s="375" t="s">
        <v>6109</v>
      </c>
      <c r="D151" s="376">
        <v>2021</v>
      </c>
      <c r="E151" s="377" t="s">
        <v>5974</v>
      </c>
      <c r="F151" s="378">
        <v>5</v>
      </c>
      <c r="G151" s="379">
        <v>378</v>
      </c>
      <c r="H151" s="367"/>
      <c r="I151" s="376">
        <v>12.5</v>
      </c>
      <c r="J151" s="375"/>
    </row>
    <row r="152" spans="1:10" ht="13">
      <c r="A152" s="394" t="s">
        <v>4160</v>
      </c>
      <c r="B152" s="374" t="s">
        <v>3861</v>
      </c>
      <c r="C152" s="375" t="s">
        <v>3862</v>
      </c>
      <c r="D152" s="376">
        <v>2021</v>
      </c>
      <c r="E152" s="377" t="s">
        <v>5974</v>
      </c>
      <c r="F152" s="378">
        <v>15</v>
      </c>
      <c r="G152" s="379">
        <v>324</v>
      </c>
      <c r="H152" s="367"/>
      <c r="I152" s="376">
        <v>12.5</v>
      </c>
      <c r="J152" s="375"/>
    </row>
    <row r="153" spans="1:10" ht="13">
      <c r="A153" s="395" t="s">
        <v>4160</v>
      </c>
      <c r="B153" s="374" t="s">
        <v>3821</v>
      </c>
      <c r="C153" s="375" t="s">
        <v>4169</v>
      </c>
      <c r="D153" s="376">
        <v>2022</v>
      </c>
      <c r="E153" s="377" t="s">
        <v>5974</v>
      </c>
      <c r="F153" s="378">
        <v>30</v>
      </c>
      <c r="G153" s="379">
        <v>312</v>
      </c>
      <c r="H153" s="367"/>
      <c r="I153" s="376">
        <v>12.5</v>
      </c>
      <c r="J153" s="385"/>
    </row>
    <row r="154" spans="1:10" ht="13">
      <c r="A154" s="395" t="s">
        <v>4160</v>
      </c>
      <c r="B154" s="374" t="s">
        <v>3841</v>
      </c>
      <c r="C154" s="375" t="s">
        <v>6110</v>
      </c>
      <c r="D154" s="376">
        <v>2021</v>
      </c>
      <c r="E154" s="377" t="s">
        <v>5974</v>
      </c>
      <c r="F154" s="378">
        <v>8</v>
      </c>
      <c r="G154" s="379">
        <v>384</v>
      </c>
      <c r="H154" s="367"/>
      <c r="I154" s="376">
        <v>12.5</v>
      </c>
      <c r="J154" s="389"/>
    </row>
    <row r="155" spans="1:10" ht="13">
      <c r="A155" s="367"/>
      <c r="B155" s="368"/>
      <c r="C155" s="369" t="s">
        <v>6111</v>
      </c>
      <c r="D155" s="370"/>
      <c r="E155" s="371"/>
      <c r="F155" s="371"/>
      <c r="G155" s="367"/>
      <c r="H155" s="367"/>
      <c r="I155" s="370"/>
      <c r="J155" s="372"/>
    </row>
    <row r="156" spans="1:10" ht="13">
      <c r="A156" s="396" t="s">
        <v>6112</v>
      </c>
      <c r="B156" s="374" t="s">
        <v>6113</v>
      </c>
      <c r="C156" s="375" t="s">
        <v>6114</v>
      </c>
      <c r="D156" s="376" t="s">
        <v>5</v>
      </c>
      <c r="E156" s="377" t="s">
        <v>5974</v>
      </c>
      <c r="F156" s="378">
        <v>3</v>
      </c>
      <c r="G156" s="379">
        <v>312</v>
      </c>
      <c r="H156" s="367"/>
      <c r="I156" s="376">
        <v>9.6999999999999993</v>
      </c>
      <c r="J156" s="380">
        <v>45231</v>
      </c>
    </row>
    <row r="157" spans="1:10" ht="13">
      <c r="A157" s="396" t="s">
        <v>6112</v>
      </c>
      <c r="B157" s="374" t="s">
        <v>6115</v>
      </c>
      <c r="C157" s="375" t="s">
        <v>6116</v>
      </c>
      <c r="D157" s="376" t="s">
        <v>5</v>
      </c>
      <c r="E157" s="377" t="s">
        <v>5974</v>
      </c>
      <c r="F157" s="378">
        <v>10</v>
      </c>
      <c r="G157" s="379">
        <v>240</v>
      </c>
      <c r="H157" s="367"/>
      <c r="I157" s="376">
        <v>10.199999999999999</v>
      </c>
      <c r="J157" s="380">
        <v>45231</v>
      </c>
    </row>
    <row r="158" spans="1:10" ht="13">
      <c r="A158" s="396" t="s">
        <v>6112</v>
      </c>
      <c r="B158" s="374" t="s">
        <v>6117</v>
      </c>
      <c r="C158" s="375" t="s">
        <v>6118</v>
      </c>
      <c r="D158" s="376" t="s">
        <v>5</v>
      </c>
      <c r="E158" s="377" t="s">
        <v>5974</v>
      </c>
      <c r="F158" s="378">
        <v>28</v>
      </c>
      <c r="G158" s="379">
        <v>168</v>
      </c>
      <c r="H158" s="367"/>
      <c r="I158" s="376">
        <v>9.6999999999999993</v>
      </c>
      <c r="J158" s="380">
        <v>45231</v>
      </c>
    </row>
    <row r="159" spans="1:10" ht="13">
      <c r="A159" s="396" t="s">
        <v>6112</v>
      </c>
      <c r="B159" s="374" t="s">
        <v>6119</v>
      </c>
      <c r="C159" s="375" t="s">
        <v>6120</v>
      </c>
      <c r="D159" s="376" t="s">
        <v>5</v>
      </c>
      <c r="E159" s="377" t="s">
        <v>5974</v>
      </c>
      <c r="F159" s="378">
        <v>15</v>
      </c>
      <c r="G159" s="379">
        <v>198</v>
      </c>
      <c r="H159" s="367"/>
      <c r="I159" s="376">
        <v>10.3</v>
      </c>
      <c r="J159" s="380">
        <v>45231</v>
      </c>
    </row>
    <row r="160" spans="1:10" ht="13">
      <c r="A160" s="367"/>
      <c r="B160" s="368"/>
      <c r="C160" s="369" t="s">
        <v>6121</v>
      </c>
      <c r="D160" s="370"/>
      <c r="E160" s="371"/>
      <c r="F160" s="371"/>
      <c r="G160" s="367"/>
      <c r="H160" s="367"/>
      <c r="I160" s="370"/>
      <c r="J160" s="370"/>
    </row>
    <row r="161" spans="1:10" ht="13">
      <c r="A161" s="396" t="s">
        <v>6112</v>
      </c>
      <c r="B161" s="374" t="s">
        <v>6122</v>
      </c>
      <c r="C161" s="375" t="s">
        <v>5339</v>
      </c>
      <c r="D161" s="376">
        <v>2021</v>
      </c>
      <c r="E161" s="377" t="s">
        <v>5974</v>
      </c>
      <c r="F161" s="378">
        <v>14</v>
      </c>
      <c r="G161" s="379">
        <v>270</v>
      </c>
      <c r="H161" s="367"/>
      <c r="I161" s="376">
        <v>13.2</v>
      </c>
      <c r="J161" s="375"/>
    </row>
    <row r="162" spans="1:10" ht="13">
      <c r="A162" s="396" t="s">
        <v>6112</v>
      </c>
      <c r="B162" s="374" t="s">
        <v>5331</v>
      </c>
      <c r="C162" s="375" t="s">
        <v>5332</v>
      </c>
      <c r="D162" s="376">
        <v>2022</v>
      </c>
      <c r="E162" s="377" t="s">
        <v>5974</v>
      </c>
      <c r="F162" s="378">
        <v>21</v>
      </c>
      <c r="G162" s="379">
        <v>210</v>
      </c>
      <c r="H162" s="367"/>
      <c r="I162" s="376">
        <v>14.5</v>
      </c>
      <c r="J162" s="375"/>
    </row>
    <row r="163" spans="1:10" ht="13">
      <c r="A163" s="396" t="s">
        <v>6112</v>
      </c>
      <c r="B163" s="374" t="s">
        <v>6123</v>
      </c>
      <c r="C163" s="375" t="s">
        <v>5328</v>
      </c>
      <c r="D163" s="376">
        <v>2021</v>
      </c>
      <c r="E163" s="377" t="s">
        <v>5974</v>
      </c>
      <c r="F163" s="378">
        <v>14</v>
      </c>
      <c r="G163" s="379">
        <v>222</v>
      </c>
      <c r="H163" s="367"/>
      <c r="I163" s="376">
        <v>13.2</v>
      </c>
      <c r="J163" s="375"/>
    </row>
    <row r="164" spans="1:10" ht="13">
      <c r="A164" s="396" t="s">
        <v>6112</v>
      </c>
      <c r="B164" s="374" t="s">
        <v>5342</v>
      </c>
      <c r="C164" s="375" t="s">
        <v>5343</v>
      </c>
      <c r="D164" s="376">
        <v>2022</v>
      </c>
      <c r="E164" s="377" t="s">
        <v>5974</v>
      </c>
      <c r="F164" s="378">
        <v>14</v>
      </c>
      <c r="G164" s="379">
        <v>210</v>
      </c>
      <c r="H164" s="367"/>
      <c r="I164" s="376">
        <v>13</v>
      </c>
      <c r="J164" s="375"/>
    </row>
    <row r="165" spans="1:10" ht="13">
      <c r="A165" s="396" t="s">
        <v>6112</v>
      </c>
      <c r="B165" s="374" t="s">
        <v>6124</v>
      </c>
      <c r="C165" s="375" t="s">
        <v>6125</v>
      </c>
      <c r="D165" s="376">
        <v>2021</v>
      </c>
      <c r="E165" s="377" t="s">
        <v>5974</v>
      </c>
      <c r="F165" s="378">
        <v>14</v>
      </c>
      <c r="G165" s="379">
        <v>222</v>
      </c>
      <c r="H165" s="367"/>
      <c r="I165" s="376">
        <v>12</v>
      </c>
      <c r="J165" s="375"/>
    </row>
    <row r="166" spans="1:10" ht="13">
      <c r="A166" s="396" t="s">
        <v>6112</v>
      </c>
      <c r="B166" s="374" t="s">
        <v>6126</v>
      </c>
      <c r="C166" s="375" t="s">
        <v>5356</v>
      </c>
      <c r="D166" s="376">
        <v>2022</v>
      </c>
      <c r="E166" s="377" t="s">
        <v>5974</v>
      </c>
      <c r="F166" s="378">
        <v>112</v>
      </c>
      <c r="G166" s="379">
        <v>192</v>
      </c>
      <c r="H166" s="367"/>
      <c r="I166" s="376">
        <v>11.5</v>
      </c>
      <c r="J166" s="375"/>
    </row>
    <row r="167" spans="1:10" ht="13">
      <c r="A167" s="367"/>
      <c r="B167" s="368"/>
      <c r="C167" s="369" t="s">
        <v>6127</v>
      </c>
      <c r="D167" s="370"/>
      <c r="E167" s="371"/>
      <c r="F167" s="371"/>
      <c r="G167" s="367"/>
      <c r="H167" s="367"/>
      <c r="I167" s="370"/>
      <c r="J167" s="370"/>
    </row>
    <row r="168" spans="1:10" ht="13">
      <c r="A168" s="396" t="s">
        <v>6112</v>
      </c>
      <c r="B168" s="374" t="s">
        <v>6128</v>
      </c>
      <c r="C168" s="375" t="s">
        <v>6129</v>
      </c>
      <c r="D168" s="376" t="s">
        <v>5</v>
      </c>
      <c r="E168" s="377" t="s">
        <v>5974</v>
      </c>
      <c r="F168" s="378">
        <v>7</v>
      </c>
      <c r="G168" s="379">
        <v>258</v>
      </c>
      <c r="H168" s="367"/>
      <c r="I168" s="376">
        <v>10</v>
      </c>
      <c r="J168" s="375"/>
    </row>
    <row r="169" spans="1:10" ht="13">
      <c r="A169" s="396" t="s">
        <v>6112</v>
      </c>
      <c r="B169" s="374" t="s">
        <v>6130</v>
      </c>
      <c r="C169" s="375" t="s">
        <v>6131</v>
      </c>
      <c r="D169" s="376" t="s">
        <v>5</v>
      </c>
      <c r="E169" s="377" t="s">
        <v>5974</v>
      </c>
      <c r="F169" s="378">
        <v>4</v>
      </c>
      <c r="G169" s="379">
        <v>414</v>
      </c>
      <c r="H169" s="367"/>
      <c r="I169" s="376">
        <v>9</v>
      </c>
      <c r="J169" s="375"/>
    </row>
    <row r="170" spans="1:10" ht="13">
      <c r="A170" s="396" t="s">
        <v>6112</v>
      </c>
      <c r="B170" s="374" t="s">
        <v>6132</v>
      </c>
      <c r="C170" s="375" t="s">
        <v>6133</v>
      </c>
      <c r="D170" s="376" t="s">
        <v>5</v>
      </c>
      <c r="E170" s="377" t="s">
        <v>5974</v>
      </c>
      <c r="F170" s="378">
        <v>4</v>
      </c>
      <c r="G170" s="379">
        <v>414</v>
      </c>
      <c r="H170" s="367"/>
      <c r="I170" s="376">
        <v>11.5</v>
      </c>
      <c r="J170" s="375"/>
    </row>
    <row r="171" spans="1:10" ht="13">
      <c r="A171" s="396" t="s">
        <v>6112</v>
      </c>
      <c r="B171" s="374" t="s">
        <v>5459</v>
      </c>
      <c r="C171" s="375" t="s">
        <v>5461</v>
      </c>
      <c r="D171" s="376" t="s">
        <v>5</v>
      </c>
      <c r="E171" s="377" t="s">
        <v>6134</v>
      </c>
      <c r="F171" s="378">
        <v>20</v>
      </c>
      <c r="G171" s="379">
        <v>114</v>
      </c>
      <c r="H171" s="367"/>
      <c r="I171" s="376">
        <v>9.5</v>
      </c>
      <c r="J171" s="375"/>
    </row>
    <row r="172" spans="1:10" ht="13">
      <c r="A172" s="367"/>
      <c r="B172" s="368"/>
      <c r="C172" s="369" t="s">
        <v>6135</v>
      </c>
      <c r="D172" s="370"/>
      <c r="E172" s="371"/>
      <c r="F172" s="371"/>
      <c r="G172" s="367"/>
      <c r="H172" s="367"/>
      <c r="I172" s="370"/>
      <c r="J172" s="370"/>
    </row>
    <row r="173" spans="1:10" ht="13">
      <c r="A173" s="396" t="s">
        <v>6112</v>
      </c>
      <c r="B173" s="374" t="s">
        <v>6136</v>
      </c>
      <c r="C173" s="375" t="s">
        <v>6137</v>
      </c>
      <c r="D173" s="376">
        <v>2022</v>
      </c>
      <c r="E173" s="377" t="s">
        <v>5974</v>
      </c>
      <c r="F173" s="378">
        <v>14</v>
      </c>
      <c r="G173" s="379">
        <v>186</v>
      </c>
      <c r="H173" s="367"/>
      <c r="I173" s="376">
        <v>13.2</v>
      </c>
      <c r="J173" s="375"/>
    </row>
    <row r="174" spans="1:10" ht="13">
      <c r="A174" s="396" t="s">
        <v>6112</v>
      </c>
      <c r="B174" s="374" t="s">
        <v>6138</v>
      </c>
      <c r="C174" s="375" t="s">
        <v>6139</v>
      </c>
      <c r="D174" s="376">
        <v>2022</v>
      </c>
      <c r="E174" s="377" t="s">
        <v>5974</v>
      </c>
      <c r="F174" s="378">
        <v>42</v>
      </c>
      <c r="G174" s="379">
        <v>180</v>
      </c>
      <c r="H174" s="367"/>
      <c r="I174" s="376">
        <v>11.9</v>
      </c>
      <c r="J174" s="375"/>
    </row>
    <row r="175" spans="1:10" ht="13">
      <c r="A175" s="367"/>
      <c r="B175" s="368"/>
      <c r="C175" s="369" t="s">
        <v>6140</v>
      </c>
      <c r="D175" s="370"/>
      <c r="E175" s="371"/>
      <c r="F175" s="371"/>
      <c r="G175" s="367"/>
      <c r="H175" s="367"/>
      <c r="I175" s="370"/>
      <c r="J175" s="370"/>
    </row>
    <row r="176" spans="1:10" ht="13">
      <c r="A176" s="397" t="s">
        <v>5087</v>
      </c>
      <c r="B176" s="374" t="s">
        <v>6141</v>
      </c>
      <c r="C176" s="375" t="s">
        <v>6142</v>
      </c>
      <c r="D176" s="376">
        <v>2021</v>
      </c>
      <c r="E176" s="377" t="s">
        <v>5974</v>
      </c>
      <c r="F176" s="378" t="s">
        <v>1946</v>
      </c>
      <c r="G176" s="379">
        <v>240</v>
      </c>
      <c r="H176" s="367"/>
      <c r="I176" s="376">
        <v>11.5</v>
      </c>
      <c r="J176" s="375"/>
    </row>
    <row r="177" spans="1:10" ht="13">
      <c r="A177" s="397" t="s">
        <v>5087</v>
      </c>
      <c r="B177" s="374" t="s">
        <v>6143</v>
      </c>
      <c r="C177" s="375" t="s">
        <v>6144</v>
      </c>
      <c r="D177" s="376">
        <v>2021</v>
      </c>
      <c r="E177" s="377" t="s">
        <v>5974</v>
      </c>
      <c r="F177" s="378" t="s">
        <v>1946</v>
      </c>
      <c r="G177" s="379">
        <v>240</v>
      </c>
      <c r="H177" s="367"/>
      <c r="I177" s="376">
        <v>11</v>
      </c>
      <c r="J177" s="375"/>
    </row>
    <row r="178" spans="1:10" ht="13">
      <c r="A178" s="397" t="s">
        <v>5087</v>
      </c>
      <c r="B178" s="374" t="s">
        <v>6145</v>
      </c>
      <c r="C178" s="375" t="s">
        <v>6146</v>
      </c>
      <c r="D178" s="376">
        <v>2021</v>
      </c>
      <c r="E178" s="377" t="s">
        <v>5974</v>
      </c>
      <c r="F178" s="378" t="s">
        <v>1946</v>
      </c>
      <c r="G178" s="379">
        <v>240</v>
      </c>
      <c r="H178" s="367"/>
      <c r="I178" s="376">
        <v>11</v>
      </c>
      <c r="J178" s="375"/>
    </row>
    <row r="179" spans="1:10" ht="13">
      <c r="A179" s="397" t="s">
        <v>5087</v>
      </c>
      <c r="B179" s="374" t="s">
        <v>6147</v>
      </c>
      <c r="C179" s="375" t="s">
        <v>6148</v>
      </c>
      <c r="D179" s="376">
        <v>2021</v>
      </c>
      <c r="E179" s="377" t="s">
        <v>5974</v>
      </c>
      <c r="F179" s="378" t="s">
        <v>1946</v>
      </c>
      <c r="G179" s="379">
        <v>240</v>
      </c>
      <c r="H179" s="367"/>
      <c r="I179" s="376">
        <v>11</v>
      </c>
      <c r="J179" s="375"/>
    </row>
    <row r="180" spans="1:10" ht="13">
      <c r="A180" s="397" t="s">
        <v>5087</v>
      </c>
      <c r="B180" s="374" t="s">
        <v>6149</v>
      </c>
      <c r="C180" s="375" t="s">
        <v>6150</v>
      </c>
      <c r="D180" s="376">
        <v>2021</v>
      </c>
      <c r="E180" s="377" t="s">
        <v>5974</v>
      </c>
      <c r="F180" s="378" t="s">
        <v>1946</v>
      </c>
      <c r="G180" s="379">
        <v>240</v>
      </c>
      <c r="H180" s="367"/>
      <c r="I180" s="376">
        <v>12</v>
      </c>
      <c r="J180" s="375"/>
    </row>
    <row r="181" spans="1:10" ht="13">
      <c r="A181" s="397" t="s">
        <v>5087</v>
      </c>
      <c r="B181" s="374" t="s">
        <v>3748</v>
      </c>
      <c r="C181" s="375" t="s">
        <v>6151</v>
      </c>
      <c r="D181" s="376">
        <v>2021</v>
      </c>
      <c r="E181" s="377" t="s">
        <v>5974</v>
      </c>
      <c r="F181" s="378" t="s">
        <v>1946</v>
      </c>
      <c r="G181" s="379">
        <v>264</v>
      </c>
      <c r="H181" s="367"/>
      <c r="I181" s="376">
        <v>10</v>
      </c>
      <c r="J181" s="375"/>
    </row>
    <row r="182" spans="1:10" ht="13">
      <c r="A182" s="397" t="s">
        <v>5087</v>
      </c>
      <c r="B182" s="374" t="s">
        <v>6152</v>
      </c>
      <c r="C182" s="375" t="s">
        <v>6153</v>
      </c>
      <c r="D182" s="376">
        <v>2021</v>
      </c>
      <c r="E182" s="377" t="s">
        <v>6154</v>
      </c>
      <c r="F182" s="378" t="s">
        <v>1946</v>
      </c>
      <c r="G182" s="379">
        <v>175</v>
      </c>
      <c r="H182" s="367"/>
      <c r="I182" s="376">
        <v>6.5</v>
      </c>
      <c r="J182" s="375"/>
    </row>
    <row r="183" spans="1:10" ht="13">
      <c r="A183" s="397" t="s">
        <v>5087</v>
      </c>
      <c r="B183" s="374" t="s">
        <v>6155</v>
      </c>
      <c r="C183" s="375" t="s">
        <v>6156</v>
      </c>
      <c r="D183" s="376">
        <v>2021</v>
      </c>
      <c r="E183" s="377" t="s">
        <v>5974</v>
      </c>
      <c r="F183" s="378" t="s">
        <v>1946</v>
      </c>
      <c r="G183" s="379">
        <v>264</v>
      </c>
      <c r="H183" s="367"/>
      <c r="I183" s="376">
        <v>11.5</v>
      </c>
      <c r="J183" s="375"/>
    </row>
    <row r="184" spans="1:10" ht="13">
      <c r="A184" s="397" t="s">
        <v>5087</v>
      </c>
      <c r="B184" s="374" t="s">
        <v>6157</v>
      </c>
      <c r="C184" s="375" t="s">
        <v>6158</v>
      </c>
      <c r="D184" s="376">
        <v>2021</v>
      </c>
      <c r="E184" s="377" t="s">
        <v>5974</v>
      </c>
      <c r="F184" s="378" t="s">
        <v>1946</v>
      </c>
      <c r="G184" s="379">
        <v>240</v>
      </c>
      <c r="H184" s="367"/>
      <c r="I184" s="376">
        <v>11</v>
      </c>
      <c r="J184" s="375"/>
    </row>
    <row r="185" spans="1:10" ht="13">
      <c r="A185" s="397" t="s">
        <v>5087</v>
      </c>
      <c r="B185" s="374" t="s">
        <v>6159</v>
      </c>
      <c r="C185" s="375" t="s">
        <v>6160</v>
      </c>
      <c r="D185" s="376">
        <v>2021</v>
      </c>
      <c r="E185" s="377" t="s">
        <v>5974</v>
      </c>
      <c r="F185" s="378" t="s">
        <v>1946</v>
      </c>
      <c r="G185" s="379">
        <v>264</v>
      </c>
      <c r="H185" s="367"/>
      <c r="I185" s="376">
        <v>10.5</v>
      </c>
      <c r="J185" s="375"/>
    </row>
    <row r="186" spans="1:10" ht="30">
      <c r="A186" s="753" t="s">
        <v>6161</v>
      </c>
      <c r="B186" s="725"/>
      <c r="C186" s="725"/>
      <c r="D186" s="725"/>
      <c r="E186" s="725"/>
      <c r="F186" s="725"/>
      <c r="G186" s="725"/>
      <c r="H186" s="725"/>
      <c r="I186" s="725"/>
      <c r="J186" s="725"/>
    </row>
    <row r="187" spans="1:10" ht="13">
      <c r="A187" s="398" t="s">
        <v>6162</v>
      </c>
      <c r="B187" s="399" t="s">
        <v>5965</v>
      </c>
      <c r="C187" s="398" t="s">
        <v>5845</v>
      </c>
      <c r="D187" s="398" t="s">
        <v>3956</v>
      </c>
      <c r="E187" s="398" t="s">
        <v>5966</v>
      </c>
      <c r="F187" s="398" t="s">
        <v>5967</v>
      </c>
      <c r="G187" s="398" t="s">
        <v>3960</v>
      </c>
      <c r="H187" s="398" t="s">
        <v>5968</v>
      </c>
      <c r="I187" s="400" t="s">
        <v>5969</v>
      </c>
      <c r="J187" s="400" t="s">
        <v>5970</v>
      </c>
    </row>
    <row r="188" spans="1:10" ht="13">
      <c r="A188" s="370"/>
      <c r="B188" s="368"/>
      <c r="C188" s="369" t="s">
        <v>6163</v>
      </c>
      <c r="D188" s="370"/>
      <c r="E188" s="371"/>
      <c r="F188" s="371"/>
      <c r="G188" s="367"/>
      <c r="H188" s="367"/>
      <c r="I188" s="370"/>
      <c r="J188" s="401"/>
    </row>
    <row r="189" spans="1:10" ht="13">
      <c r="A189" s="402" t="s">
        <v>4255</v>
      </c>
      <c r="B189" s="374" t="s">
        <v>5546</v>
      </c>
      <c r="C189" s="375" t="s">
        <v>6164</v>
      </c>
      <c r="D189" s="375" t="s">
        <v>5</v>
      </c>
      <c r="E189" s="378" t="s">
        <v>6165</v>
      </c>
      <c r="F189" s="378">
        <v>20</v>
      </c>
      <c r="G189" s="379">
        <v>120</v>
      </c>
      <c r="H189" s="367"/>
      <c r="I189" s="376">
        <v>40</v>
      </c>
      <c r="J189" s="381">
        <v>45231</v>
      </c>
    </row>
    <row r="190" spans="1:10" ht="13">
      <c r="A190" s="402" t="s">
        <v>4255</v>
      </c>
      <c r="B190" s="374" t="s">
        <v>5542</v>
      </c>
      <c r="C190" s="375" t="s">
        <v>6166</v>
      </c>
      <c r="D190" s="375" t="s">
        <v>5</v>
      </c>
      <c r="E190" s="376" t="s">
        <v>6165</v>
      </c>
      <c r="F190" s="376">
        <v>80</v>
      </c>
      <c r="G190" s="379">
        <v>120</v>
      </c>
      <c r="H190" s="367"/>
      <c r="I190" s="376">
        <v>40</v>
      </c>
      <c r="J190" s="389"/>
    </row>
    <row r="191" spans="1:10" ht="13">
      <c r="A191" s="368"/>
      <c r="B191" s="368"/>
      <c r="C191" s="369" t="s">
        <v>6167</v>
      </c>
      <c r="D191" s="370"/>
      <c r="E191" s="370"/>
      <c r="F191" s="370"/>
      <c r="G191" s="367"/>
      <c r="H191" s="367"/>
      <c r="I191" s="370"/>
      <c r="J191" s="401"/>
    </row>
    <row r="192" spans="1:10" ht="13">
      <c r="A192" s="403" t="s">
        <v>3971</v>
      </c>
      <c r="B192" s="374" t="s">
        <v>6168</v>
      </c>
      <c r="C192" s="375" t="s">
        <v>6169</v>
      </c>
      <c r="D192" s="375" t="s">
        <v>5</v>
      </c>
      <c r="E192" s="376" t="s">
        <v>6060</v>
      </c>
      <c r="F192" s="376">
        <v>20</v>
      </c>
      <c r="G192" s="379">
        <v>150</v>
      </c>
      <c r="H192" s="367"/>
      <c r="I192" s="376">
        <v>35</v>
      </c>
      <c r="J192" s="389"/>
    </row>
    <row r="193" spans="1:10" ht="13">
      <c r="A193" s="404" t="s">
        <v>4887</v>
      </c>
      <c r="B193" s="374" t="s">
        <v>5558</v>
      </c>
      <c r="C193" s="375" t="s">
        <v>5559</v>
      </c>
      <c r="D193" s="375" t="s">
        <v>5</v>
      </c>
      <c r="E193" s="376" t="s">
        <v>6060</v>
      </c>
      <c r="F193" s="376">
        <v>40</v>
      </c>
      <c r="G193" s="379">
        <v>132</v>
      </c>
      <c r="H193" s="367"/>
      <c r="I193" s="376">
        <v>43</v>
      </c>
      <c r="J193" s="389"/>
    </row>
    <row r="194" spans="1:10" ht="13">
      <c r="A194" s="404" t="s">
        <v>4887</v>
      </c>
      <c r="B194" s="374" t="s">
        <v>5565</v>
      </c>
      <c r="C194" s="375" t="s">
        <v>6170</v>
      </c>
      <c r="D194" s="375" t="s">
        <v>5</v>
      </c>
      <c r="E194" s="376" t="s">
        <v>6060</v>
      </c>
      <c r="F194" s="376">
        <v>20</v>
      </c>
      <c r="G194" s="379">
        <v>186</v>
      </c>
      <c r="H194" s="367"/>
      <c r="I194" s="376">
        <v>48.2</v>
      </c>
      <c r="J194" s="389"/>
    </row>
    <row r="195" spans="1:10" ht="13">
      <c r="A195" s="405" t="s">
        <v>5536</v>
      </c>
      <c r="B195" s="374" t="s">
        <v>5537</v>
      </c>
      <c r="C195" s="375" t="s">
        <v>5538</v>
      </c>
      <c r="D195" s="375" t="s">
        <v>5</v>
      </c>
      <c r="E195" s="376" t="s">
        <v>6060</v>
      </c>
      <c r="F195" s="376">
        <v>40</v>
      </c>
      <c r="G195" s="379">
        <v>138</v>
      </c>
      <c r="H195" s="367"/>
      <c r="I195" s="376">
        <v>50</v>
      </c>
      <c r="J195" s="389"/>
    </row>
    <row r="196" spans="1:10" ht="13">
      <c r="A196" s="368"/>
      <c r="B196" s="368"/>
      <c r="C196" s="369" t="s">
        <v>6171</v>
      </c>
      <c r="D196" s="370"/>
      <c r="E196" s="370"/>
      <c r="F196" s="370"/>
      <c r="G196" s="367"/>
      <c r="H196" s="367"/>
      <c r="I196" s="370"/>
      <c r="J196" s="401"/>
    </row>
    <row r="197" spans="1:10" ht="13">
      <c r="A197" s="406" t="s">
        <v>5092</v>
      </c>
      <c r="B197" s="374" t="s">
        <v>5579</v>
      </c>
      <c r="C197" s="375" t="s">
        <v>5580</v>
      </c>
      <c r="D197" s="375" t="s">
        <v>5</v>
      </c>
      <c r="E197" s="376" t="s">
        <v>5974</v>
      </c>
      <c r="F197" s="376">
        <v>17</v>
      </c>
      <c r="G197" s="379">
        <v>366</v>
      </c>
      <c r="H197" s="367"/>
      <c r="I197" s="376">
        <v>45</v>
      </c>
      <c r="J197" s="381">
        <v>45231</v>
      </c>
    </row>
    <row r="198" spans="1:10" ht="30">
      <c r="A198" s="754" t="s">
        <v>6172</v>
      </c>
      <c r="B198" s="725"/>
      <c r="C198" s="725"/>
      <c r="D198" s="725"/>
      <c r="E198" s="725"/>
      <c r="F198" s="725"/>
      <c r="G198" s="725"/>
      <c r="H198" s="725"/>
      <c r="I198" s="407"/>
      <c r="J198" s="407"/>
    </row>
    <row r="199" spans="1:10" ht="13">
      <c r="A199" s="364" t="s">
        <v>6162</v>
      </c>
      <c r="B199" s="365" t="s">
        <v>5965</v>
      </c>
      <c r="C199" s="364" t="s">
        <v>5845</v>
      </c>
      <c r="D199" s="364" t="s">
        <v>3956</v>
      </c>
      <c r="E199" s="366" t="s">
        <v>5966</v>
      </c>
      <c r="F199" s="366" t="s">
        <v>5967</v>
      </c>
      <c r="G199" s="364" t="s">
        <v>3960</v>
      </c>
      <c r="H199" s="364" t="s">
        <v>5968</v>
      </c>
      <c r="I199" s="364" t="s">
        <v>5969</v>
      </c>
      <c r="J199" s="364" t="s">
        <v>5970</v>
      </c>
    </row>
    <row r="200" spans="1:10" ht="13">
      <c r="A200" s="367"/>
      <c r="B200" s="368"/>
      <c r="C200" s="369" t="s">
        <v>5640</v>
      </c>
      <c r="D200" s="367"/>
      <c r="E200" s="370"/>
      <c r="F200" s="370"/>
      <c r="G200" s="367"/>
      <c r="H200" s="367"/>
      <c r="I200" s="401"/>
      <c r="J200" s="401"/>
    </row>
    <row r="201" spans="1:10" ht="13">
      <c r="A201" s="408" t="s">
        <v>5087</v>
      </c>
      <c r="B201" s="374" t="s">
        <v>5642</v>
      </c>
      <c r="C201" s="375" t="s">
        <v>5643</v>
      </c>
      <c r="D201" s="409" t="s">
        <v>5</v>
      </c>
      <c r="E201" s="375" t="s">
        <v>6173</v>
      </c>
      <c r="F201" s="376">
        <v>10</v>
      </c>
      <c r="G201" s="379">
        <v>198</v>
      </c>
      <c r="H201" s="367"/>
      <c r="I201" s="376">
        <v>17</v>
      </c>
      <c r="J201" s="389"/>
    </row>
    <row r="202" spans="1:10" ht="13">
      <c r="A202" s="408" t="s">
        <v>5087</v>
      </c>
      <c r="B202" s="374" t="s">
        <v>5645</v>
      </c>
      <c r="C202" s="375" t="s">
        <v>5643</v>
      </c>
      <c r="D202" s="409" t="s">
        <v>5</v>
      </c>
      <c r="E202" s="375" t="s">
        <v>6174</v>
      </c>
      <c r="F202" s="376">
        <v>20</v>
      </c>
      <c r="G202" s="379">
        <v>210</v>
      </c>
      <c r="H202" s="367"/>
      <c r="I202" s="376">
        <v>17</v>
      </c>
      <c r="J202" s="389"/>
    </row>
    <row r="203" spans="1:10" ht="13">
      <c r="A203" s="408" t="s">
        <v>5087</v>
      </c>
      <c r="B203" s="374" t="s">
        <v>5639</v>
      </c>
      <c r="C203" s="375" t="s">
        <v>5641</v>
      </c>
      <c r="D203" s="409" t="s">
        <v>5</v>
      </c>
      <c r="E203" s="375" t="s">
        <v>6174</v>
      </c>
      <c r="F203" s="376">
        <v>10</v>
      </c>
      <c r="G203" s="379">
        <v>540</v>
      </c>
      <c r="H203" s="367"/>
      <c r="I203" s="376">
        <v>17</v>
      </c>
      <c r="J203" s="389"/>
    </row>
    <row r="204" spans="1:10" ht="13">
      <c r="A204" s="408" t="s">
        <v>5087</v>
      </c>
      <c r="B204" s="374" t="s">
        <v>6175</v>
      </c>
      <c r="C204" s="375" t="s">
        <v>5648</v>
      </c>
      <c r="D204" s="409" t="s">
        <v>5</v>
      </c>
      <c r="E204" s="375" t="s">
        <v>6174</v>
      </c>
      <c r="F204" s="376">
        <v>10</v>
      </c>
      <c r="G204" s="379">
        <v>300</v>
      </c>
      <c r="H204" s="367"/>
      <c r="I204" s="376">
        <v>18</v>
      </c>
      <c r="J204" s="389"/>
    </row>
    <row r="205" spans="1:10" ht="13">
      <c r="A205" s="408" t="s">
        <v>5087</v>
      </c>
      <c r="B205" s="374" t="s">
        <v>6176</v>
      </c>
      <c r="C205" s="375" t="s">
        <v>6177</v>
      </c>
      <c r="D205" s="409" t="s">
        <v>5</v>
      </c>
      <c r="E205" s="375" t="s">
        <v>6174</v>
      </c>
      <c r="F205" s="376">
        <v>25</v>
      </c>
      <c r="G205" s="379">
        <v>246</v>
      </c>
      <c r="H205" s="367"/>
      <c r="I205" s="376">
        <v>17</v>
      </c>
      <c r="J205" s="389"/>
    </row>
    <row r="206" spans="1:10" ht="13">
      <c r="A206" s="367"/>
      <c r="B206" s="368"/>
      <c r="C206" s="369" t="s">
        <v>5655</v>
      </c>
      <c r="D206" s="367"/>
      <c r="E206" s="370"/>
      <c r="F206" s="370"/>
      <c r="G206" s="367"/>
      <c r="H206" s="367"/>
      <c r="I206" s="370"/>
      <c r="J206" s="401"/>
    </row>
    <row r="207" spans="1:10" ht="13">
      <c r="A207" s="408" t="s">
        <v>5087</v>
      </c>
      <c r="B207" s="374" t="s">
        <v>5658</v>
      </c>
      <c r="C207" s="375" t="s">
        <v>5659</v>
      </c>
      <c r="D207" s="409" t="s">
        <v>5</v>
      </c>
      <c r="E207" s="375" t="s">
        <v>6178</v>
      </c>
      <c r="F207" s="376">
        <v>60</v>
      </c>
      <c r="G207" s="379">
        <v>432</v>
      </c>
      <c r="H207" s="367"/>
      <c r="I207" s="376">
        <v>18</v>
      </c>
      <c r="J207" s="389"/>
    </row>
    <row r="208" spans="1:10" ht="13">
      <c r="A208" s="408" t="s">
        <v>5087</v>
      </c>
      <c r="B208" s="374" t="s">
        <v>5665</v>
      </c>
      <c r="C208" s="375" t="s">
        <v>5666</v>
      </c>
      <c r="D208" s="409" t="s">
        <v>5</v>
      </c>
      <c r="E208" s="375" t="s">
        <v>6174</v>
      </c>
      <c r="F208" s="376">
        <v>25</v>
      </c>
      <c r="G208" s="379">
        <v>240</v>
      </c>
      <c r="H208" s="367"/>
      <c r="I208" s="376">
        <v>18</v>
      </c>
      <c r="J208" s="389"/>
    </row>
    <row r="209" spans="1:10" ht="13">
      <c r="A209" s="408" t="s">
        <v>5087</v>
      </c>
      <c r="B209" s="374" t="s">
        <v>5654</v>
      </c>
      <c r="C209" s="375" t="s">
        <v>5656</v>
      </c>
      <c r="D209" s="409" t="s">
        <v>5</v>
      </c>
      <c r="E209" s="375" t="s">
        <v>6174</v>
      </c>
      <c r="F209" s="376">
        <v>25</v>
      </c>
      <c r="G209" s="379">
        <v>204</v>
      </c>
      <c r="H209" s="367"/>
      <c r="I209" s="376">
        <v>18</v>
      </c>
      <c r="J209" s="389"/>
    </row>
    <row r="210" spans="1:10" ht="13">
      <c r="A210" s="367"/>
      <c r="B210" s="368"/>
      <c r="C210" s="369" t="s">
        <v>5669</v>
      </c>
      <c r="D210" s="367"/>
      <c r="E210" s="370"/>
      <c r="F210" s="370"/>
      <c r="G210" s="367"/>
      <c r="H210" s="367"/>
      <c r="I210" s="370"/>
      <c r="J210" s="401"/>
    </row>
    <row r="211" spans="1:10" ht="13">
      <c r="A211" s="408" t="s">
        <v>5087</v>
      </c>
      <c r="B211" s="374" t="s">
        <v>6179</v>
      </c>
      <c r="C211" s="375" t="s">
        <v>6180</v>
      </c>
      <c r="D211" s="409" t="s">
        <v>5</v>
      </c>
      <c r="E211" s="375" t="s">
        <v>6174</v>
      </c>
      <c r="F211" s="376">
        <v>150</v>
      </c>
      <c r="G211" s="379">
        <v>180</v>
      </c>
      <c r="H211" s="367"/>
      <c r="I211" s="376">
        <v>17</v>
      </c>
      <c r="J211" s="389"/>
    </row>
    <row r="212" spans="1:10" ht="13">
      <c r="A212" s="408" t="s">
        <v>5087</v>
      </c>
      <c r="B212" s="374" t="s">
        <v>6181</v>
      </c>
      <c r="C212" s="375" t="s">
        <v>5670</v>
      </c>
      <c r="D212" s="409" t="s">
        <v>5</v>
      </c>
      <c r="E212" s="375" t="s">
        <v>6173</v>
      </c>
      <c r="F212" s="376">
        <v>5</v>
      </c>
      <c r="G212" s="379">
        <v>192</v>
      </c>
      <c r="H212" s="367"/>
      <c r="I212" s="376">
        <v>15</v>
      </c>
      <c r="J212" s="389"/>
    </row>
    <row r="213" spans="1:10" ht="13">
      <c r="A213" s="408" t="s">
        <v>5087</v>
      </c>
      <c r="B213" s="374" t="s">
        <v>5668</v>
      </c>
      <c r="C213" s="375" t="s">
        <v>5670</v>
      </c>
      <c r="D213" s="409" t="s">
        <v>5</v>
      </c>
      <c r="E213" s="375" t="s">
        <v>6174</v>
      </c>
      <c r="F213" s="376">
        <v>25</v>
      </c>
      <c r="G213" s="379">
        <v>192</v>
      </c>
      <c r="H213" s="367"/>
      <c r="I213" s="376">
        <v>15</v>
      </c>
      <c r="J213" s="389"/>
    </row>
    <row r="214" spans="1:10" ht="13">
      <c r="A214" s="367"/>
      <c r="B214" s="368"/>
      <c r="C214" s="369" t="s">
        <v>5672</v>
      </c>
      <c r="D214" s="367"/>
      <c r="E214" s="370"/>
      <c r="F214" s="370"/>
      <c r="G214" s="367"/>
      <c r="H214" s="367"/>
      <c r="I214" s="370"/>
      <c r="J214" s="401"/>
    </row>
    <row r="215" spans="1:10" ht="13">
      <c r="A215" s="408" t="s">
        <v>5087</v>
      </c>
      <c r="B215" s="374" t="s">
        <v>6182</v>
      </c>
      <c r="C215" s="375" t="s">
        <v>5677</v>
      </c>
      <c r="D215" s="409" t="s">
        <v>5</v>
      </c>
      <c r="E215" s="375" t="s">
        <v>6174</v>
      </c>
      <c r="F215" s="376">
        <v>25</v>
      </c>
      <c r="G215" s="379">
        <v>198</v>
      </c>
      <c r="H215" s="367"/>
      <c r="I215" s="376">
        <v>15</v>
      </c>
      <c r="J215" s="389"/>
    </row>
    <row r="216" spans="1:10" ht="13">
      <c r="A216" s="408" t="s">
        <v>5087</v>
      </c>
      <c r="B216" s="374" t="s">
        <v>5679</v>
      </c>
      <c r="C216" s="375" t="s">
        <v>5680</v>
      </c>
      <c r="D216" s="409" t="s">
        <v>5</v>
      </c>
      <c r="E216" s="375" t="s">
        <v>6174</v>
      </c>
      <c r="F216" s="376">
        <v>25</v>
      </c>
      <c r="G216" s="379">
        <v>192</v>
      </c>
      <c r="H216" s="367"/>
      <c r="I216" s="376">
        <v>15</v>
      </c>
      <c r="J216" s="375"/>
    </row>
    <row r="217" spans="1:10" ht="13">
      <c r="A217" s="408" t="s">
        <v>5087</v>
      </c>
      <c r="B217" s="374" t="s">
        <v>6183</v>
      </c>
      <c r="C217" s="375" t="s">
        <v>6184</v>
      </c>
      <c r="D217" s="409" t="s">
        <v>5</v>
      </c>
      <c r="E217" s="375" t="s">
        <v>6185</v>
      </c>
      <c r="F217" s="376">
        <v>5</v>
      </c>
      <c r="G217" s="379">
        <v>390</v>
      </c>
      <c r="H217" s="367"/>
      <c r="I217" s="376">
        <v>17</v>
      </c>
      <c r="J217" s="375"/>
    </row>
    <row r="218" spans="1:10" ht="13">
      <c r="A218" s="408" t="s">
        <v>5087</v>
      </c>
      <c r="B218" s="374" t="s">
        <v>5671</v>
      </c>
      <c r="C218" s="375" t="s">
        <v>5673</v>
      </c>
      <c r="D218" s="409" t="s">
        <v>5</v>
      </c>
      <c r="E218" s="375" t="s">
        <v>6173</v>
      </c>
      <c r="F218" s="376">
        <v>10</v>
      </c>
      <c r="G218" s="379">
        <v>192</v>
      </c>
      <c r="H218" s="367"/>
      <c r="I218" s="376">
        <v>17</v>
      </c>
      <c r="J218" s="389"/>
    </row>
    <row r="219" spans="1:10" ht="13">
      <c r="A219" s="408" t="s">
        <v>5087</v>
      </c>
      <c r="B219" s="374" t="s">
        <v>6186</v>
      </c>
      <c r="C219" s="375" t="s">
        <v>5673</v>
      </c>
      <c r="D219" s="409" t="s">
        <v>5</v>
      </c>
      <c r="E219" s="375" t="s">
        <v>6174</v>
      </c>
      <c r="F219" s="376">
        <v>25</v>
      </c>
      <c r="G219" s="379">
        <v>192</v>
      </c>
      <c r="H219" s="367"/>
      <c r="I219" s="376">
        <v>17</v>
      </c>
      <c r="J219" s="389"/>
    </row>
    <row r="220" spans="1:10" ht="13">
      <c r="A220" s="367"/>
      <c r="B220" s="368"/>
      <c r="C220" s="369" t="s">
        <v>5682</v>
      </c>
      <c r="D220" s="367"/>
      <c r="E220" s="370"/>
      <c r="F220" s="370"/>
      <c r="G220" s="367"/>
      <c r="H220" s="367"/>
      <c r="I220" s="370"/>
      <c r="J220" s="401"/>
    </row>
    <row r="221" spans="1:10" ht="13">
      <c r="A221" s="408" t="s">
        <v>5087</v>
      </c>
      <c r="B221" s="374" t="s">
        <v>6187</v>
      </c>
      <c r="C221" s="375" t="s">
        <v>5683</v>
      </c>
      <c r="D221" s="409" t="s">
        <v>5</v>
      </c>
      <c r="E221" s="375" t="s">
        <v>6174</v>
      </c>
      <c r="F221" s="376">
        <v>100</v>
      </c>
      <c r="G221" s="379">
        <v>264</v>
      </c>
      <c r="H221" s="367"/>
      <c r="I221" s="376">
        <v>14.1</v>
      </c>
      <c r="J221" s="389"/>
    </row>
    <row r="222" spans="1:10" ht="13">
      <c r="A222" s="408" t="s">
        <v>5087</v>
      </c>
      <c r="B222" s="374" t="s">
        <v>6188</v>
      </c>
      <c r="C222" s="375" t="s">
        <v>5683</v>
      </c>
      <c r="D222" s="409" t="s">
        <v>5</v>
      </c>
      <c r="E222" s="375" t="s">
        <v>6173</v>
      </c>
      <c r="F222" s="376">
        <v>25</v>
      </c>
      <c r="G222" s="379">
        <v>264</v>
      </c>
      <c r="H222" s="367"/>
      <c r="I222" s="376">
        <v>14.1</v>
      </c>
      <c r="J222" s="389"/>
    </row>
    <row r="223" spans="1:10" ht="13">
      <c r="A223" s="367"/>
      <c r="B223" s="368"/>
      <c r="C223" s="369" t="s">
        <v>5689</v>
      </c>
      <c r="D223" s="367"/>
      <c r="E223" s="370"/>
      <c r="F223" s="370"/>
      <c r="G223" s="367"/>
      <c r="H223" s="367"/>
      <c r="I223" s="370"/>
      <c r="J223" s="401"/>
    </row>
    <row r="224" spans="1:10" ht="13">
      <c r="A224" s="408" t="s">
        <v>5087</v>
      </c>
      <c r="B224" s="374" t="s">
        <v>5691</v>
      </c>
      <c r="C224" s="375" t="s">
        <v>5692</v>
      </c>
      <c r="D224" s="409" t="s">
        <v>5</v>
      </c>
      <c r="E224" s="375" t="s">
        <v>6174</v>
      </c>
      <c r="F224" s="376">
        <v>50</v>
      </c>
      <c r="G224" s="379">
        <v>192</v>
      </c>
      <c r="H224" s="367"/>
      <c r="I224" s="376">
        <v>17</v>
      </c>
      <c r="J224" s="389"/>
    </row>
    <row r="225" spans="1:10" ht="13">
      <c r="A225" s="367"/>
      <c r="B225" s="368"/>
      <c r="C225" s="369" t="s">
        <v>5700</v>
      </c>
      <c r="D225" s="367"/>
      <c r="E225" s="370"/>
      <c r="F225" s="370"/>
      <c r="G225" s="367"/>
      <c r="H225" s="367"/>
      <c r="I225" s="370"/>
      <c r="J225" s="401"/>
    </row>
    <row r="226" spans="1:10" ht="13">
      <c r="A226" s="408" t="s">
        <v>5087</v>
      </c>
      <c r="B226" s="374" t="s">
        <v>5702</v>
      </c>
      <c r="C226" s="375" t="s">
        <v>5703</v>
      </c>
      <c r="D226" s="409" t="s">
        <v>5</v>
      </c>
      <c r="E226" s="375" t="s">
        <v>6173</v>
      </c>
      <c r="F226" s="376">
        <v>10</v>
      </c>
      <c r="G226" s="379">
        <v>180</v>
      </c>
      <c r="H226" s="367"/>
      <c r="I226" s="376">
        <v>15</v>
      </c>
      <c r="J226" s="389"/>
    </row>
    <row r="227" spans="1:10" ht="13">
      <c r="A227" s="408" t="s">
        <v>5087</v>
      </c>
      <c r="B227" s="374" t="s">
        <v>5705</v>
      </c>
      <c r="C227" s="375" t="s">
        <v>5703</v>
      </c>
      <c r="D227" s="409" t="s">
        <v>5</v>
      </c>
      <c r="E227" s="375" t="s">
        <v>6189</v>
      </c>
      <c r="F227" s="376">
        <v>25</v>
      </c>
      <c r="G227" s="379">
        <v>160</v>
      </c>
      <c r="H227" s="367"/>
      <c r="I227" s="376">
        <v>15</v>
      </c>
      <c r="J227" s="389"/>
    </row>
    <row r="228" spans="1:10" ht="13">
      <c r="A228" s="408" t="s">
        <v>5087</v>
      </c>
      <c r="B228" s="374" t="s">
        <v>5699</v>
      </c>
      <c r="C228" s="375" t="s">
        <v>5701</v>
      </c>
      <c r="D228" s="409" t="s">
        <v>5</v>
      </c>
      <c r="E228" s="375" t="s">
        <v>6189</v>
      </c>
      <c r="F228" s="376">
        <v>15</v>
      </c>
      <c r="G228" s="379">
        <v>215</v>
      </c>
      <c r="H228" s="367"/>
      <c r="I228" s="376">
        <v>14</v>
      </c>
      <c r="J228" s="389"/>
    </row>
    <row r="229" spans="1:10" ht="13">
      <c r="A229" s="367"/>
      <c r="B229" s="368"/>
      <c r="C229" s="369" t="s">
        <v>5708</v>
      </c>
      <c r="D229" s="367"/>
      <c r="E229" s="370"/>
      <c r="F229" s="370"/>
      <c r="G229" s="367"/>
      <c r="H229" s="367"/>
      <c r="I229" s="370"/>
      <c r="J229" s="401"/>
    </row>
    <row r="230" spans="1:10" ht="13">
      <c r="A230" s="408" t="s">
        <v>5087</v>
      </c>
      <c r="B230" s="374" t="s">
        <v>6190</v>
      </c>
      <c r="C230" s="375" t="s">
        <v>6191</v>
      </c>
      <c r="D230" s="409" t="s">
        <v>5</v>
      </c>
      <c r="E230" s="375" t="s">
        <v>6174</v>
      </c>
      <c r="F230" s="376">
        <v>60</v>
      </c>
      <c r="G230" s="379">
        <v>216</v>
      </c>
      <c r="H230" s="367"/>
      <c r="I230" s="376">
        <v>15</v>
      </c>
      <c r="J230" s="389"/>
    </row>
    <row r="231" spans="1:10" ht="13">
      <c r="A231" s="408" t="s">
        <v>5087</v>
      </c>
      <c r="B231" s="374" t="s">
        <v>6192</v>
      </c>
      <c r="C231" s="375" t="s">
        <v>6193</v>
      </c>
      <c r="D231" s="409" t="s">
        <v>5</v>
      </c>
      <c r="E231" s="375" t="s">
        <v>6174</v>
      </c>
      <c r="F231" s="376">
        <v>5</v>
      </c>
      <c r="G231" s="379">
        <v>450</v>
      </c>
      <c r="H231" s="367"/>
      <c r="I231" s="376">
        <v>19</v>
      </c>
      <c r="J231" s="389"/>
    </row>
    <row r="232" spans="1:10" ht="13">
      <c r="A232" s="408" t="s">
        <v>5087</v>
      </c>
      <c r="B232" s="374" t="s">
        <v>6194</v>
      </c>
      <c r="C232" s="375" t="s">
        <v>5709</v>
      </c>
      <c r="D232" s="409" t="s">
        <v>5</v>
      </c>
      <c r="E232" s="375" t="s">
        <v>6174</v>
      </c>
      <c r="F232" s="376">
        <v>100</v>
      </c>
      <c r="G232" s="379">
        <v>192</v>
      </c>
      <c r="H232" s="367"/>
      <c r="I232" s="376">
        <v>19</v>
      </c>
      <c r="J232" s="389"/>
    </row>
    <row r="233" spans="1:10" ht="13">
      <c r="A233" s="408" t="s">
        <v>5087</v>
      </c>
      <c r="B233" s="374" t="s">
        <v>5707</v>
      </c>
      <c r="C233" s="375" t="s">
        <v>5709</v>
      </c>
      <c r="D233" s="409" t="s">
        <v>5</v>
      </c>
      <c r="E233" s="375" t="s">
        <v>6173</v>
      </c>
      <c r="F233" s="376">
        <v>15</v>
      </c>
      <c r="G233" s="379">
        <v>192</v>
      </c>
      <c r="H233" s="367"/>
      <c r="I233" s="376">
        <v>19</v>
      </c>
      <c r="J233" s="389"/>
    </row>
    <row r="234" spans="1:10" ht="13">
      <c r="A234" s="408" t="s">
        <v>5087</v>
      </c>
      <c r="B234" s="374" t="s">
        <v>5710</v>
      </c>
      <c r="C234" s="375" t="s">
        <v>5711</v>
      </c>
      <c r="D234" s="409" t="s">
        <v>5</v>
      </c>
      <c r="E234" s="375" t="s">
        <v>6174</v>
      </c>
      <c r="F234" s="376">
        <v>35</v>
      </c>
      <c r="G234" s="379">
        <v>228</v>
      </c>
      <c r="H234" s="367"/>
      <c r="I234" s="376">
        <v>19</v>
      </c>
      <c r="J234" s="389"/>
    </row>
    <row r="235" spans="1:10" ht="13">
      <c r="A235" s="367"/>
      <c r="B235" s="368"/>
      <c r="C235" s="369" t="s">
        <v>5713</v>
      </c>
      <c r="D235" s="367"/>
      <c r="E235" s="370"/>
      <c r="F235" s="370"/>
      <c r="G235" s="367"/>
      <c r="H235" s="367"/>
      <c r="I235" s="370"/>
      <c r="J235" s="401"/>
    </row>
    <row r="236" spans="1:10" ht="13">
      <c r="A236" s="408" t="s">
        <v>5087</v>
      </c>
      <c r="B236" s="374" t="s">
        <v>6195</v>
      </c>
      <c r="C236" s="375" t="s">
        <v>6196</v>
      </c>
      <c r="D236" s="409" t="s">
        <v>5</v>
      </c>
      <c r="E236" s="375" t="s">
        <v>6173</v>
      </c>
      <c r="F236" s="376">
        <v>10</v>
      </c>
      <c r="G236" s="379">
        <v>234</v>
      </c>
      <c r="H236" s="367"/>
      <c r="I236" s="376">
        <v>17</v>
      </c>
      <c r="J236" s="389"/>
    </row>
    <row r="237" spans="1:10" ht="13">
      <c r="A237" s="408" t="s">
        <v>5087</v>
      </c>
      <c r="B237" s="374" t="s">
        <v>6197</v>
      </c>
      <c r="C237" s="375" t="s">
        <v>6196</v>
      </c>
      <c r="D237" s="409" t="s">
        <v>5</v>
      </c>
      <c r="E237" s="375" t="s">
        <v>6174</v>
      </c>
      <c r="F237" s="376">
        <v>25</v>
      </c>
      <c r="G237" s="379">
        <v>234</v>
      </c>
      <c r="H237" s="367"/>
      <c r="I237" s="376">
        <v>17</v>
      </c>
      <c r="J237" s="389"/>
    </row>
    <row r="238" spans="1:10" ht="13">
      <c r="A238" s="408" t="s">
        <v>5087</v>
      </c>
      <c r="B238" s="374" t="s">
        <v>5719</v>
      </c>
      <c r="C238" s="375" t="s">
        <v>5717</v>
      </c>
      <c r="D238" s="409" t="s">
        <v>5</v>
      </c>
      <c r="E238" s="375" t="s">
        <v>6174</v>
      </c>
      <c r="F238" s="376">
        <v>25</v>
      </c>
      <c r="G238" s="379">
        <v>216</v>
      </c>
      <c r="H238" s="367"/>
      <c r="I238" s="376">
        <v>17</v>
      </c>
      <c r="J238" s="389"/>
    </row>
    <row r="239" spans="1:10" ht="30">
      <c r="A239" s="752" t="s">
        <v>6198</v>
      </c>
      <c r="B239" s="725"/>
      <c r="C239" s="725"/>
      <c r="D239" s="725"/>
      <c r="E239" s="725"/>
      <c r="F239" s="725"/>
      <c r="G239" s="725"/>
      <c r="H239" s="725"/>
      <c r="I239" s="725"/>
      <c r="J239" s="725"/>
    </row>
    <row r="240" spans="1:10" ht="13">
      <c r="A240" s="364" t="s">
        <v>6162</v>
      </c>
      <c r="B240" s="365" t="s">
        <v>5965</v>
      </c>
      <c r="C240" s="364" t="s">
        <v>5845</v>
      </c>
      <c r="D240" s="364" t="s">
        <v>3956</v>
      </c>
      <c r="E240" s="366" t="s">
        <v>5966</v>
      </c>
      <c r="F240" s="366" t="s">
        <v>5967</v>
      </c>
      <c r="G240" s="364" t="s">
        <v>3960</v>
      </c>
      <c r="H240" s="364" t="s">
        <v>5968</v>
      </c>
      <c r="I240" s="364" t="s">
        <v>5969</v>
      </c>
      <c r="J240" s="364" t="s">
        <v>5970</v>
      </c>
    </row>
    <row r="241" spans="1:10" ht="13">
      <c r="A241" s="410"/>
      <c r="B241" s="411"/>
      <c r="C241" s="412" t="s">
        <v>6199</v>
      </c>
      <c r="D241" s="413"/>
      <c r="E241" s="413"/>
      <c r="F241" s="413"/>
      <c r="G241" s="413"/>
      <c r="H241" s="410"/>
      <c r="I241" s="410"/>
      <c r="J241" s="414"/>
    </row>
    <row r="242" spans="1:10" ht="13">
      <c r="A242" s="415" t="s">
        <v>0</v>
      </c>
      <c r="B242" s="416" t="s">
        <v>6200</v>
      </c>
      <c r="C242" s="417" t="s">
        <v>6201</v>
      </c>
      <c r="D242" s="418" t="s">
        <v>5</v>
      </c>
      <c r="E242" s="418" t="s">
        <v>5974</v>
      </c>
      <c r="F242" s="418">
        <v>50</v>
      </c>
      <c r="G242" s="419">
        <v>247.2</v>
      </c>
      <c r="H242" s="410"/>
      <c r="I242" s="418">
        <v>12</v>
      </c>
      <c r="J242" s="420">
        <v>45072</v>
      </c>
    </row>
    <row r="243" spans="1:10" ht="13">
      <c r="A243" s="410"/>
      <c r="B243" s="411"/>
      <c r="C243" s="412" t="s">
        <v>6202</v>
      </c>
      <c r="D243" s="413"/>
      <c r="E243" s="413"/>
      <c r="F243" s="413"/>
      <c r="G243" s="410"/>
      <c r="H243" s="410"/>
      <c r="I243" s="413"/>
      <c r="J243" s="414"/>
    </row>
    <row r="244" spans="1:10" ht="13">
      <c r="A244" s="415" t="s">
        <v>0</v>
      </c>
      <c r="B244" s="421" t="s">
        <v>6203</v>
      </c>
      <c r="C244" s="417" t="s">
        <v>6204</v>
      </c>
      <c r="D244" s="418">
        <v>2020</v>
      </c>
      <c r="E244" s="418" t="s">
        <v>5974</v>
      </c>
      <c r="F244" s="418">
        <v>224</v>
      </c>
      <c r="G244" s="419">
        <v>0</v>
      </c>
      <c r="H244" s="410"/>
      <c r="I244" s="418">
        <v>14</v>
      </c>
      <c r="J244" s="418" t="s">
        <v>6205</v>
      </c>
    </row>
    <row r="245" spans="1:10" ht="13">
      <c r="A245" s="410"/>
      <c r="B245" s="411"/>
      <c r="C245" s="412" t="s">
        <v>6206</v>
      </c>
      <c r="D245" s="413"/>
      <c r="E245" s="413"/>
      <c r="F245" s="413"/>
      <c r="G245" s="410"/>
      <c r="H245" s="410"/>
      <c r="I245" s="413"/>
      <c r="J245" s="414"/>
    </row>
    <row r="246" spans="1:10" ht="13">
      <c r="A246" s="415" t="s">
        <v>0</v>
      </c>
      <c r="B246" s="421" t="s">
        <v>6207</v>
      </c>
      <c r="C246" s="417" t="s">
        <v>6208</v>
      </c>
      <c r="D246" s="418">
        <v>2021</v>
      </c>
      <c r="E246" s="418" t="s">
        <v>5974</v>
      </c>
      <c r="F246" s="418">
        <v>785</v>
      </c>
      <c r="G246" s="419">
        <v>81.84</v>
      </c>
      <c r="H246" s="410"/>
      <c r="I246" s="418">
        <v>14</v>
      </c>
      <c r="J246" s="420">
        <v>45077</v>
      </c>
    </row>
    <row r="247" spans="1:10" ht="13">
      <c r="A247" s="410"/>
      <c r="B247" s="411"/>
      <c r="C247" s="412" t="s">
        <v>6209</v>
      </c>
      <c r="D247" s="413"/>
      <c r="E247" s="413"/>
      <c r="F247" s="413"/>
      <c r="G247" s="410"/>
      <c r="H247" s="410"/>
      <c r="I247" s="413"/>
      <c r="J247" s="422"/>
    </row>
    <row r="248" spans="1:10" ht="13">
      <c r="A248" s="415" t="s">
        <v>0</v>
      </c>
      <c r="B248" s="421" t="s">
        <v>6210</v>
      </c>
      <c r="C248" s="417" t="s">
        <v>973</v>
      </c>
      <c r="D248" s="418">
        <v>2021</v>
      </c>
      <c r="E248" s="418" t="s">
        <v>5974</v>
      </c>
      <c r="F248" s="418">
        <v>169</v>
      </c>
      <c r="G248" s="419">
        <v>107.4</v>
      </c>
      <c r="H248" s="410"/>
      <c r="I248" s="418">
        <v>13</v>
      </c>
      <c r="J248" s="420">
        <v>45094</v>
      </c>
    </row>
    <row r="249" spans="1:10" ht="13">
      <c r="A249" s="415" t="s">
        <v>0</v>
      </c>
      <c r="B249" s="416" t="s">
        <v>6211</v>
      </c>
      <c r="C249" s="417" t="s">
        <v>954</v>
      </c>
      <c r="D249" s="418">
        <v>2022</v>
      </c>
      <c r="E249" s="418" t="s">
        <v>5974</v>
      </c>
      <c r="F249" s="418">
        <v>225</v>
      </c>
      <c r="G249" s="419">
        <v>96.48</v>
      </c>
      <c r="H249" s="410"/>
      <c r="I249" s="418">
        <v>13</v>
      </c>
      <c r="J249" s="420">
        <v>45094</v>
      </c>
    </row>
    <row r="250" spans="1:10" ht="13">
      <c r="A250" s="410"/>
      <c r="B250" s="411"/>
      <c r="C250" s="412" t="s">
        <v>6212</v>
      </c>
      <c r="D250" s="413"/>
      <c r="E250" s="413"/>
      <c r="F250" s="413"/>
      <c r="G250" s="410"/>
      <c r="H250" s="410"/>
      <c r="I250" s="413"/>
      <c r="J250" s="422"/>
    </row>
    <row r="251" spans="1:10" ht="13">
      <c r="A251" s="415" t="s">
        <v>0</v>
      </c>
      <c r="B251" s="421" t="s">
        <v>6213</v>
      </c>
      <c r="C251" s="417" t="s">
        <v>6214</v>
      </c>
      <c r="D251" s="418" t="s">
        <v>5</v>
      </c>
      <c r="E251" s="418" t="s">
        <v>5974</v>
      </c>
      <c r="F251" s="418">
        <v>45</v>
      </c>
      <c r="G251" s="419">
        <v>96.48</v>
      </c>
      <c r="H251" s="410"/>
      <c r="I251" s="418">
        <v>13.5</v>
      </c>
      <c r="J251" s="420">
        <v>45077</v>
      </c>
    </row>
    <row r="252" spans="1:10" ht="13">
      <c r="A252" s="415" t="s">
        <v>0</v>
      </c>
      <c r="B252" s="416" t="s">
        <v>6215</v>
      </c>
      <c r="C252" s="417" t="s">
        <v>6216</v>
      </c>
      <c r="D252" s="418">
        <v>2018</v>
      </c>
      <c r="E252" s="418" t="s">
        <v>5974</v>
      </c>
      <c r="F252" s="418">
        <v>14</v>
      </c>
      <c r="G252" s="419">
        <v>96.48</v>
      </c>
      <c r="H252" s="410"/>
      <c r="I252" s="418">
        <v>14</v>
      </c>
      <c r="J252" s="420">
        <v>45077</v>
      </c>
    </row>
    <row r="253" spans="1:10" ht="13">
      <c r="A253" s="415" t="s">
        <v>0</v>
      </c>
      <c r="B253" s="416" t="s">
        <v>6217</v>
      </c>
      <c r="C253" s="417" t="s">
        <v>6218</v>
      </c>
      <c r="D253" s="418">
        <v>2018</v>
      </c>
      <c r="E253" s="418" t="s">
        <v>5974</v>
      </c>
      <c r="F253" s="418">
        <v>5</v>
      </c>
      <c r="G253" s="419">
        <v>96.48</v>
      </c>
      <c r="H253" s="410"/>
      <c r="I253" s="418">
        <v>13.5</v>
      </c>
      <c r="J253" s="420">
        <v>45077</v>
      </c>
    </row>
    <row r="254" spans="1:10" ht="13">
      <c r="A254" s="415" t="s">
        <v>0</v>
      </c>
      <c r="B254" s="416" t="s">
        <v>6219</v>
      </c>
      <c r="C254" s="417" t="s">
        <v>6220</v>
      </c>
      <c r="D254" s="418">
        <v>2014</v>
      </c>
      <c r="E254" s="418" t="s">
        <v>5974</v>
      </c>
      <c r="F254" s="418">
        <v>5</v>
      </c>
      <c r="G254" s="419">
        <v>155.4</v>
      </c>
      <c r="H254" s="410"/>
      <c r="I254" s="418">
        <v>12.5</v>
      </c>
      <c r="J254" s="420">
        <v>45077</v>
      </c>
    </row>
    <row r="255" spans="1:10" ht="13">
      <c r="A255" s="415" t="s">
        <v>0</v>
      </c>
      <c r="B255" s="421" t="s">
        <v>6221</v>
      </c>
      <c r="C255" s="417" t="s">
        <v>6222</v>
      </c>
      <c r="D255" s="418">
        <v>2015</v>
      </c>
      <c r="E255" s="418" t="s">
        <v>5974</v>
      </c>
      <c r="F255" s="418">
        <v>40</v>
      </c>
      <c r="G255" s="419">
        <v>167.4</v>
      </c>
      <c r="H255" s="410"/>
      <c r="I255" s="418">
        <v>12.5</v>
      </c>
      <c r="J255" s="420">
        <v>45077</v>
      </c>
    </row>
    <row r="256" spans="1:10" ht="13">
      <c r="A256" s="415" t="s">
        <v>0</v>
      </c>
      <c r="B256" s="416" t="s">
        <v>6223</v>
      </c>
      <c r="C256" s="417" t="s">
        <v>6224</v>
      </c>
      <c r="D256" s="418">
        <v>2014</v>
      </c>
      <c r="E256" s="418" t="s">
        <v>5974</v>
      </c>
      <c r="F256" s="418">
        <v>25</v>
      </c>
      <c r="G256" s="419">
        <v>197.4</v>
      </c>
      <c r="H256" s="410"/>
      <c r="I256" s="418">
        <v>13.5</v>
      </c>
      <c r="J256" s="420">
        <v>45077</v>
      </c>
    </row>
    <row r="257" spans="1:10" ht="13">
      <c r="A257" s="415" t="s">
        <v>0</v>
      </c>
      <c r="B257" s="416" t="s">
        <v>6225</v>
      </c>
      <c r="C257" s="417" t="s">
        <v>6224</v>
      </c>
      <c r="D257" s="418">
        <v>2015</v>
      </c>
      <c r="E257" s="418" t="s">
        <v>5974</v>
      </c>
      <c r="F257" s="418">
        <v>25</v>
      </c>
      <c r="G257" s="419">
        <v>197.4</v>
      </c>
      <c r="H257" s="410"/>
      <c r="I257" s="418">
        <v>13.5</v>
      </c>
      <c r="J257" s="420">
        <v>45077</v>
      </c>
    </row>
    <row r="258" spans="1:10" ht="13">
      <c r="A258" s="415" t="s">
        <v>0</v>
      </c>
      <c r="B258" s="416" t="s">
        <v>6226</v>
      </c>
      <c r="C258" s="417" t="s">
        <v>6222</v>
      </c>
      <c r="D258" s="418">
        <v>2017</v>
      </c>
      <c r="E258" s="418" t="s">
        <v>5974</v>
      </c>
      <c r="F258" s="418">
        <v>40</v>
      </c>
      <c r="G258" s="419">
        <v>167.4</v>
      </c>
      <c r="H258" s="410"/>
      <c r="I258" s="418">
        <v>12.5</v>
      </c>
      <c r="J258" s="420">
        <v>45077</v>
      </c>
    </row>
    <row r="259" spans="1:10" ht="13">
      <c r="A259" s="415" t="s">
        <v>0</v>
      </c>
      <c r="B259" s="416" t="s">
        <v>6227</v>
      </c>
      <c r="C259" s="417" t="s">
        <v>6228</v>
      </c>
      <c r="D259" s="418">
        <v>2019</v>
      </c>
      <c r="E259" s="418" t="s">
        <v>5974</v>
      </c>
      <c r="F259" s="418">
        <v>96</v>
      </c>
      <c r="G259" s="419">
        <v>104.76</v>
      </c>
      <c r="H259" s="410"/>
      <c r="I259" s="418">
        <v>13</v>
      </c>
      <c r="J259" s="420">
        <v>45077</v>
      </c>
    </row>
    <row r="260" spans="1:10" ht="13">
      <c r="A260" s="410"/>
      <c r="B260" s="411"/>
      <c r="C260" s="412" t="s">
        <v>6229</v>
      </c>
      <c r="D260" s="413"/>
      <c r="E260" s="413"/>
      <c r="F260" s="413"/>
      <c r="G260" s="410"/>
      <c r="H260" s="410"/>
      <c r="I260" s="413"/>
      <c r="J260" s="422"/>
    </row>
    <row r="261" spans="1:10" ht="13">
      <c r="A261" s="415" t="s">
        <v>0</v>
      </c>
      <c r="B261" s="262" t="s">
        <v>6230</v>
      </c>
      <c r="C261" s="423" t="s">
        <v>6231</v>
      </c>
      <c r="D261" s="424">
        <v>2020</v>
      </c>
      <c r="E261" s="424" t="s">
        <v>5974</v>
      </c>
      <c r="F261" s="424">
        <v>224</v>
      </c>
      <c r="G261" s="425">
        <v>104.76</v>
      </c>
      <c r="H261" s="410"/>
      <c r="I261" s="424">
        <v>14.5</v>
      </c>
      <c r="J261" s="420">
        <v>45094</v>
      </c>
    </row>
    <row r="262" spans="1:10" ht="13">
      <c r="A262" s="410"/>
      <c r="B262" s="411"/>
      <c r="C262" s="412" t="s">
        <v>6232</v>
      </c>
      <c r="D262" s="413"/>
      <c r="E262" s="413"/>
      <c r="F262" s="413"/>
      <c r="G262" s="410"/>
      <c r="H262" s="410"/>
      <c r="I262" s="413"/>
      <c r="J262" s="422"/>
    </row>
    <row r="263" spans="1:10" ht="13">
      <c r="A263" s="415" t="s">
        <v>0</v>
      </c>
      <c r="B263" s="262" t="s">
        <v>6233</v>
      </c>
      <c r="C263" s="423" t="s">
        <v>6234</v>
      </c>
      <c r="D263" s="424">
        <v>2020</v>
      </c>
      <c r="E263" s="424" t="s">
        <v>5974</v>
      </c>
      <c r="F263" s="424">
        <v>56</v>
      </c>
      <c r="G263" s="425">
        <v>142.19999999999999</v>
      </c>
      <c r="H263" s="410"/>
      <c r="I263" s="424">
        <v>12.5</v>
      </c>
      <c r="J263" s="426">
        <v>45072</v>
      </c>
    </row>
    <row r="264" spans="1:10" ht="13">
      <c r="A264" s="415" t="s">
        <v>0</v>
      </c>
      <c r="B264" s="262" t="s">
        <v>6235</v>
      </c>
      <c r="C264" s="423" t="s">
        <v>6236</v>
      </c>
      <c r="D264" s="424">
        <v>2019</v>
      </c>
      <c r="E264" s="424" t="s">
        <v>5974</v>
      </c>
      <c r="F264" s="424">
        <v>56</v>
      </c>
      <c r="G264" s="425">
        <v>118.2</v>
      </c>
      <c r="H264" s="410"/>
      <c r="I264" s="424">
        <v>13</v>
      </c>
      <c r="J264" s="426">
        <v>45072</v>
      </c>
    </row>
    <row r="265" spans="1:10" ht="13">
      <c r="A265" s="410"/>
      <c r="B265" s="411"/>
      <c r="C265" s="412" t="s">
        <v>6237</v>
      </c>
      <c r="D265" s="413"/>
      <c r="E265" s="413"/>
      <c r="F265" s="413"/>
      <c r="G265" s="410"/>
      <c r="H265" s="410"/>
      <c r="I265" s="413"/>
      <c r="J265" s="414"/>
    </row>
    <row r="266" spans="1:10" ht="13">
      <c r="A266" s="415" t="s">
        <v>0</v>
      </c>
      <c r="B266" s="262" t="s">
        <v>6238</v>
      </c>
      <c r="C266" s="423" t="s">
        <v>6239</v>
      </c>
      <c r="D266" s="424">
        <v>2022</v>
      </c>
      <c r="E266" s="424" t="s">
        <v>5974</v>
      </c>
      <c r="F266" s="424">
        <v>150</v>
      </c>
      <c r="G266" s="425">
        <v>118.2</v>
      </c>
      <c r="H266" s="410"/>
      <c r="I266" s="424">
        <v>13</v>
      </c>
      <c r="J266" s="418" t="s">
        <v>6205</v>
      </c>
    </row>
    <row r="267" spans="1:10" ht="13">
      <c r="A267" s="415" t="s">
        <v>0</v>
      </c>
      <c r="B267" s="262" t="s">
        <v>6240</v>
      </c>
      <c r="C267" s="423" t="s">
        <v>6241</v>
      </c>
      <c r="D267" s="424">
        <v>2022</v>
      </c>
      <c r="E267" s="424" t="s">
        <v>5974</v>
      </c>
      <c r="F267" s="424">
        <v>200</v>
      </c>
      <c r="G267" s="425">
        <v>134.63999999999999</v>
      </c>
      <c r="H267" s="410"/>
      <c r="I267" s="424">
        <v>13</v>
      </c>
      <c r="J267" s="427" t="s">
        <v>6205</v>
      </c>
    </row>
    <row r="268" spans="1:10" ht="13">
      <c r="A268" s="415" t="s">
        <v>0</v>
      </c>
      <c r="B268" s="262" t="s">
        <v>6242</v>
      </c>
      <c r="C268" s="423" t="s">
        <v>6243</v>
      </c>
      <c r="D268" s="424">
        <v>2022</v>
      </c>
      <c r="E268" s="424" t="s">
        <v>5974</v>
      </c>
      <c r="F268" s="424">
        <v>100</v>
      </c>
      <c r="G268" s="425">
        <v>134.63999999999999</v>
      </c>
      <c r="H268" s="410"/>
      <c r="I268" s="424">
        <v>13</v>
      </c>
      <c r="J268" s="420" t="s">
        <v>6205</v>
      </c>
    </row>
    <row r="269" spans="1:10" ht="13">
      <c r="A269" s="415" t="s">
        <v>0</v>
      </c>
      <c r="B269" s="262" t="s">
        <v>6244</v>
      </c>
      <c r="C269" s="423" t="s">
        <v>6245</v>
      </c>
      <c r="D269" s="424">
        <v>2022</v>
      </c>
      <c r="E269" s="424" t="s">
        <v>5974</v>
      </c>
      <c r="F269" s="424">
        <v>100</v>
      </c>
      <c r="G269" s="425">
        <v>134.63999999999999</v>
      </c>
      <c r="H269" s="410"/>
      <c r="I269" s="424">
        <v>11.5</v>
      </c>
      <c r="J269" s="427" t="s">
        <v>6205</v>
      </c>
    </row>
    <row r="270" spans="1:10" ht="13">
      <c r="A270" s="415" t="s">
        <v>0</v>
      </c>
      <c r="B270" s="262" t="s">
        <v>6246</v>
      </c>
      <c r="C270" s="423" t="s">
        <v>6247</v>
      </c>
      <c r="D270" s="424">
        <v>2022</v>
      </c>
      <c r="E270" s="424" t="s">
        <v>5974</v>
      </c>
      <c r="F270" s="424">
        <v>100</v>
      </c>
      <c r="G270" s="425">
        <v>134.63999999999999</v>
      </c>
      <c r="H270" s="410"/>
      <c r="I270" s="424">
        <v>15</v>
      </c>
      <c r="J270" s="420" t="s">
        <v>6205</v>
      </c>
    </row>
    <row r="271" spans="1:10" ht="13">
      <c r="A271" s="415" t="s">
        <v>0</v>
      </c>
      <c r="B271" s="262" t="s">
        <v>6248</v>
      </c>
      <c r="C271" s="423" t="s">
        <v>6249</v>
      </c>
      <c r="D271" s="424">
        <v>2020</v>
      </c>
      <c r="E271" s="424" t="s">
        <v>5974</v>
      </c>
      <c r="F271" s="424">
        <v>125</v>
      </c>
      <c r="G271" s="425">
        <v>134.63999999999999</v>
      </c>
      <c r="H271" s="410"/>
      <c r="I271" s="424">
        <v>12.5</v>
      </c>
      <c r="J271" s="427" t="s">
        <v>6205</v>
      </c>
    </row>
    <row r="272" spans="1:10" ht="13">
      <c r="A272" s="415" t="s">
        <v>0</v>
      </c>
      <c r="B272" s="262" t="s">
        <v>6250</v>
      </c>
      <c r="C272" s="423" t="s">
        <v>6251</v>
      </c>
      <c r="D272" s="424">
        <v>2021</v>
      </c>
      <c r="E272" s="424" t="s">
        <v>5974</v>
      </c>
      <c r="F272" s="424">
        <v>100</v>
      </c>
      <c r="G272" s="425">
        <v>134.63999999999999</v>
      </c>
      <c r="H272" s="410"/>
      <c r="I272" s="424">
        <v>13</v>
      </c>
      <c r="J272" s="418" t="s">
        <v>6205</v>
      </c>
    </row>
    <row r="273" spans="1:10" ht="13">
      <c r="A273" s="410"/>
      <c r="B273" s="411"/>
      <c r="C273" s="412" t="s">
        <v>6252</v>
      </c>
      <c r="D273" s="413"/>
      <c r="E273" s="413"/>
      <c r="F273" s="413"/>
      <c r="G273" s="410"/>
      <c r="H273" s="410"/>
      <c r="I273" s="413"/>
      <c r="J273" s="413"/>
    </row>
    <row r="274" spans="1:10" ht="13">
      <c r="A274" s="415" t="s">
        <v>0</v>
      </c>
      <c r="B274" s="262" t="s">
        <v>6253</v>
      </c>
      <c r="C274" s="423" t="s">
        <v>6254</v>
      </c>
      <c r="D274" s="424">
        <v>2021</v>
      </c>
      <c r="E274" s="424" t="s">
        <v>5974</v>
      </c>
      <c r="F274" s="424">
        <v>56</v>
      </c>
      <c r="G274" s="425">
        <v>116.88</v>
      </c>
      <c r="H274" s="410"/>
      <c r="I274" s="424">
        <v>13</v>
      </c>
      <c r="J274" s="426">
        <v>45072</v>
      </c>
    </row>
    <row r="275" spans="1:10" ht="13">
      <c r="A275" s="410"/>
      <c r="B275" s="411"/>
      <c r="C275" s="412" t="s">
        <v>6255</v>
      </c>
      <c r="D275" s="413"/>
      <c r="E275" s="413"/>
      <c r="F275" s="413"/>
      <c r="G275" s="413"/>
      <c r="H275" s="410"/>
      <c r="I275" s="413"/>
      <c r="J275" s="422"/>
    </row>
    <row r="276" spans="1:10" ht="13">
      <c r="A276" s="415" t="s">
        <v>0</v>
      </c>
      <c r="B276" s="262" t="s">
        <v>6256</v>
      </c>
      <c r="C276" s="423" t="s">
        <v>6257</v>
      </c>
      <c r="D276" s="424">
        <v>2021</v>
      </c>
      <c r="E276" s="424" t="s">
        <v>5974</v>
      </c>
      <c r="F276" s="424">
        <v>240</v>
      </c>
      <c r="G276" s="425">
        <v>56.76</v>
      </c>
      <c r="H276" s="410"/>
      <c r="I276" s="424">
        <v>12</v>
      </c>
      <c r="J276" s="420">
        <v>45094</v>
      </c>
    </row>
    <row r="277" spans="1:10" ht="13">
      <c r="A277" s="410"/>
      <c r="B277" s="411"/>
      <c r="C277" s="412" t="s">
        <v>6258</v>
      </c>
      <c r="D277" s="413"/>
      <c r="E277" s="413"/>
      <c r="F277" s="413"/>
      <c r="G277" s="410"/>
      <c r="H277" s="410"/>
      <c r="I277" s="413"/>
      <c r="J277" s="414"/>
    </row>
    <row r="278" spans="1:10" ht="13">
      <c r="A278" s="415" t="s">
        <v>0</v>
      </c>
      <c r="B278" s="262" t="s">
        <v>6259</v>
      </c>
      <c r="C278" s="423" t="s">
        <v>6260</v>
      </c>
      <c r="D278" s="424">
        <v>2022</v>
      </c>
      <c r="E278" s="424" t="s">
        <v>5974</v>
      </c>
      <c r="F278" s="424">
        <v>280</v>
      </c>
      <c r="G278" s="425">
        <v>147.72</v>
      </c>
      <c r="H278" s="410"/>
      <c r="I278" s="424">
        <v>13</v>
      </c>
      <c r="J278" s="426" t="s">
        <v>6205</v>
      </c>
    </row>
    <row r="279" spans="1:10" ht="13">
      <c r="A279" s="410"/>
      <c r="B279" s="411"/>
      <c r="C279" s="412" t="s">
        <v>6261</v>
      </c>
      <c r="D279" s="413"/>
      <c r="E279" s="413"/>
      <c r="F279" s="413"/>
      <c r="G279" s="410"/>
      <c r="H279" s="410"/>
      <c r="I279" s="413"/>
      <c r="J279" s="422"/>
    </row>
    <row r="280" spans="1:10" ht="13">
      <c r="A280" s="415" t="s">
        <v>0</v>
      </c>
      <c r="B280" s="428" t="s">
        <v>6262</v>
      </c>
      <c r="C280" s="423" t="s">
        <v>6263</v>
      </c>
      <c r="D280" s="424">
        <v>2021</v>
      </c>
      <c r="E280" s="424" t="s">
        <v>5974</v>
      </c>
      <c r="F280" s="424">
        <v>100</v>
      </c>
      <c r="G280" s="425">
        <v>147.72</v>
      </c>
      <c r="H280" s="410"/>
      <c r="I280" s="424">
        <v>12.5</v>
      </c>
      <c r="J280" s="426">
        <v>45072</v>
      </c>
    </row>
    <row r="281" spans="1:10" ht="13">
      <c r="A281" s="410"/>
      <c r="B281" s="411"/>
      <c r="C281" s="412" t="s">
        <v>6264</v>
      </c>
      <c r="D281" s="413"/>
      <c r="E281" s="413"/>
      <c r="F281" s="413"/>
      <c r="G281" s="410"/>
      <c r="H281" s="410"/>
      <c r="I281" s="413"/>
      <c r="J281" s="413"/>
    </row>
    <row r="282" spans="1:10" ht="13">
      <c r="A282" s="415" t="s">
        <v>0</v>
      </c>
      <c r="B282" s="428" t="s">
        <v>6265</v>
      </c>
      <c r="C282" s="423" t="s">
        <v>6266</v>
      </c>
      <c r="D282" s="424">
        <v>2021</v>
      </c>
      <c r="E282" s="424" t="s">
        <v>5974</v>
      </c>
      <c r="F282" s="424">
        <v>300</v>
      </c>
      <c r="G282" s="425">
        <v>64.680000000000007</v>
      </c>
      <c r="H282" s="410"/>
      <c r="I282" s="424">
        <v>13</v>
      </c>
      <c r="J282" s="424" t="s">
        <v>6205</v>
      </c>
    </row>
    <row r="283" spans="1:10" ht="13">
      <c r="A283" s="410"/>
      <c r="B283" s="411"/>
      <c r="C283" s="412" t="s">
        <v>6267</v>
      </c>
      <c r="D283" s="413"/>
      <c r="E283" s="413"/>
      <c r="F283" s="413"/>
      <c r="G283" s="410"/>
      <c r="H283" s="410"/>
      <c r="I283" s="413"/>
      <c r="J283" s="413"/>
    </row>
    <row r="284" spans="1:10" ht="13">
      <c r="A284" s="415" t="s">
        <v>0</v>
      </c>
      <c r="B284" s="262" t="s">
        <v>6268</v>
      </c>
      <c r="C284" s="423" t="s">
        <v>6269</v>
      </c>
      <c r="D284" s="424">
        <v>2022</v>
      </c>
      <c r="E284" s="424" t="s">
        <v>5974</v>
      </c>
      <c r="F284" s="424">
        <v>120</v>
      </c>
      <c r="G284" s="425">
        <v>95.04</v>
      </c>
      <c r="H284" s="410"/>
      <c r="I284" s="424">
        <v>13</v>
      </c>
      <c r="J284" s="424" t="s">
        <v>6205</v>
      </c>
    </row>
    <row r="285" spans="1:10" ht="13">
      <c r="A285" s="415" t="s">
        <v>0</v>
      </c>
      <c r="B285" s="262" t="s">
        <v>6270</v>
      </c>
      <c r="C285" s="423" t="s">
        <v>6271</v>
      </c>
      <c r="D285" s="424">
        <v>2021</v>
      </c>
      <c r="E285" s="424" t="s">
        <v>5974</v>
      </c>
      <c r="F285" s="424">
        <v>240</v>
      </c>
      <c r="G285" s="425">
        <v>95.04</v>
      </c>
      <c r="H285" s="410"/>
      <c r="I285" s="424">
        <v>13</v>
      </c>
      <c r="J285" s="424" t="s">
        <v>6205</v>
      </c>
    </row>
    <row r="286" spans="1:10" ht="13">
      <c r="A286" s="410"/>
      <c r="B286" s="411"/>
      <c r="C286" s="412" t="s">
        <v>6272</v>
      </c>
      <c r="D286" s="413"/>
      <c r="E286" s="413"/>
      <c r="F286" s="413"/>
      <c r="G286" s="410"/>
      <c r="H286" s="410"/>
      <c r="I286" s="413"/>
      <c r="J286" s="422"/>
    </row>
    <row r="287" spans="1:10" ht="13">
      <c r="A287" s="415" t="s">
        <v>0</v>
      </c>
      <c r="B287" s="428" t="s">
        <v>6273</v>
      </c>
      <c r="C287" s="423" t="s">
        <v>6274</v>
      </c>
      <c r="D287" s="424">
        <v>2021</v>
      </c>
      <c r="E287" s="424" t="s">
        <v>5974</v>
      </c>
      <c r="F287" s="424">
        <v>112</v>
      </c>
      <c r="G287" s="425">
        <v>64.680000000000007</v>
      </c>
      <c r="H287" s="410"/>
      <c r="I287" s="424">
        <v>12.5</v>
      </c>
      <c r="J287" s="426">
        <v>45103</v>
      </c>
    </row>
    <row r="288" spans="1:10" ht="13">
      <c r="A288" s="415" t="s">
        <v>0</v>
      </c>
      <c r="B288" s="428" t="s">
        <v>6275</v>
      </c>
      <c r="C288" s="423" t="s">
        <v>6276</v>
      </c>
      <c r="D288" s="424">
        <v>2022</v>
      </c>
      <c r="E288" s="424" t="s">
        <v>5974</v>
      </c>
      <c r="F288" s="424">
        <v>112</v>
      </c>
      <c r="G288" s="425">
        <v>107.16</v>
      </c>
      <c r="H288" s="410"/>
      <c r="I288" s="424">
        <v>12</v>
      </c>
      <c r="J288" s="426">
        <v>45103</v>
      </c>
    </row>
    <row r="289" spans="1:10" ht="13">
      <c r="A289" s="415" t="s">
        <v>0</v>
      </c>
      <c r="B289" s="428" t="s">
        <v>6277</v>
      </c>
      <c r="C289" s="423" t="s">
        <v>6278</v>
      </c>
      <c r="D289" s="424">
        <v>2021</v>
      </c>
      <c r="E289" s="424" t="s">
        <v>5974</v>
      </c>
      <c r="F289" s="424">
        <v>56</v>
      </c>
      <c r="G289" s="425">
        <v>107.16</v>
      </c>
      <c r="H289" s="410"/>
      <c r="I289" s="424">
        <v>12</v>
      </c>
      <c r="J289" s="426">
        <v>45103</v>
      </c>
    </row>
    <row r="290" spans="1:10" ht="13">
      <c r="A290" s="410"/>
      <c r="B290" s="411"/>
      <c r="C290" s="412" t="s">
        <v>6279</v>
      </c>
      <c r="D290" s="413"/>
      <c r="E290" s="413"/>
      <c r="F290" s="413"/>
      <c r="G290" s="410"/>
      <c r="H290" s="410"/>
      <c r="I290" s="413"/>
      <c r="J290" s="422"/>
    </row>
    <row r="291" spans="1:10" ht="13">
      <c r="A291" s="415" t="s">
        <v>0</v>
      </c>
      <c r="B291" s="428" t="s">
        <v>6280</v>
      </c>
      <c r="C291" s="423" t="s">
        <v>6281</v>
      </c>
      <c r="D291" s="424">
        <v>2022</v>
      </c>
      <c r="E291" s="424" t="s">
        <v>5974</v>
      </c>
      <c r="F291" s="424">
        <v>112</v>
      </c>
      <c r="G291" s="425">
        <v>67.8</v>
      </c>
      <c r="H291" s="410"/>
      <c r="I291" s="424">
        <v>12</v>
      </c>
      <c r="J291" s="418" t="s">
        <v>6205</v>
      </c>
    </row>
    <row r="292" spans="1:10" ht="13">
      <c r="A292" s="410"/>
      <c r="B292" s="411"/>
      <c r="C292" s="412" t="s">
        <v>6282</v>
      </c>
      <c r="D292" s="413"/>
      <c r="E292" s="413"/>
      <c r="F292" s="413"/>
      <c r="G292" s="410"/>
      <c r="H292" s="410"/>
      <c r="I292" s="413"/>
      <c r="J292" s="413"/>
    </row>
    <row r="293" spans="1:10" ht="13">
      <c r="A293" s="429" t="s">
        <v>3209</v>
      </c>
      <c r="B293" s="416" t="s">
        <v>6283</v>
      </c>
      <c r="C293" s="417" t="s">
        <v>6284</v>
      </c>
      <c r="D293" s="424">
        <v>2022</v>
      </c>
      <c r="E293" s="424" t="s">
        <v>5974</v>
      </c>
      <c r="F293" s="418">
        <v>150</v>
      </c>
      <c r="G293" s="419">
        <v>59.88</v>
      </c>
      <c r="H293" s="410"/>
      <c r="I293" s="418">
        <v>12.5</v>
      </c>
      <c r="J293" s="418" t="s">
        <v>6205</v>
      </c>
    </row>
    <row r="294" spans="1:10" ht="13">
      <c r="A294" s="410"/>
      <c r="B294" s="411"/>
      <c r="C294" s="412" t="s">
        <v>6285</v>
      </c>
      <c r="D294" s="413"/>
      <c r="E294" s="413"/>
      <c r="F294" s="413"/>
      <c r="G294" s="410"/>
      <c r="H294" s="410"/>
      <c r="I294" s="413"/>
      <c r="J294" s="413"/>
    </row>
    <row r="295" spans="1:10" ht="13">
      <c r="A295" s="429" t="s">
        <v>3209</v>
      </c>
      <c r="B295" s="428" t="s">
        <v>6286</v>
      </c>
      <c r="C295" s="423" t="s">
        <v>6287</v>
      </c>
      <c r="D295" s="424">
        <v>2021</v>
      </c>
      <c r="E295" s="424" t="s">
        <v>5974</v>
      </c>
      <c r="F295" s="424">
        <v>40</v>
      </c>
      <c r="G295" s="425">
        <v>105.6</v>
      </c>
      <c r="H295" s="410"/>
      <c r="I295" s="424">
        <v>13</v>
      </c>
      <c r="J295" s="418" t="s">
        <v>6205</v>
      </c>
    </row>
    <row r="296" spans="1:10" ht="13">
      <c r="B296" s="430"/>
    </row>
    <row r="297" spans="1:10" ht="13">
      <c r="B297" s="430"/>
    </row>
    <row r="298" spans="1:10" ht="13">
      <c r="B298" s="430"/>
    </row>
    <row r="299" spans="1:10" ht="13">
      <c r="B299" s="430"/>
    </row>
    <row r="300" spans="1:10" ht="13">
      <c r="B300" s="430"/>
    </row>
    <row r="301" spans="1:10" ht="13">
      <c r="B301" s="430"/>
    </row>
    <row r="302" spans="1:10" ht="13">
      <c r="B302" s="430"/>
    </row>
    <row r="303" spans="1:10" ht="13">
      <c r="B303" s="430"/>
    </row>
    <row r="304" spans="1:10" ht="13">
      <c r="B304" s="430"/>
    </row>
    <row r="305" spans="2:2" ht="13">
      <c r="B305" s="430"/>
    </row>
    <row r="306" spans="2:2" ht="13">
      <c r="B306" s="430"/>
    </row>
    <row r="307" spans="2:2" ht="13">
      <c r="B307" s="430"/>
    </row>
  </sheetData>
  <mergeCells count="4">
    <mergeCell ref="A1:J1"/>
    <mergeCell ref="A186:J186"/>
    <mergeCell ref="A198:H198"/>
    <mergeCell ref="A239:J23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F113"/>
  <sheetViews>
    <sheetView workbookViewId="0"/>
  </sheetViews>
  <sheetFormatPr baseColWidth="10" defaultColWidth="12.6640625" defaultRowHeight="15.75" customHeight="1"/>
  <cols>
    <col min="1" max="1" width="19" customWidth="1"/>
    <col min="2" max="2" width="64.1640625" customWidth="1"/>
  </cols>
  <sheetData>
    <row r="1" spans="1:6" ht="15.75" customHeight="1">
      <c r="A1" s="755" t="s">
        <v>6288</v>
      </c>
      <c r="B1" s="725"/>
      <c r="C1" s="725"/>
      <c r="D1" s="725"/>
      <c r="E1" s="725"/>
      <c r="F1" s="431"/>
    </row>
    <row r="2" spans="1:6" ht="15.75" customHeight="1">
      <c r="A2" s="756" t="s">
        <v>6289</v>
      </c>
      <c r="B2" s="725"/>
      <c r="C2" s="725"/>
      <c r="D2" s="725"/>
      <c r="E2" s="725"/>
      <c r="F2" s="432"/>
    </row>
    <row r="3" spans="1:6" ht="15.75" customHeight="1">
      <c r="A3" s="757" t="s">
        <v>6290</v>
      </c>
      <c r="B3" s="725"/>
      <c r="C3" s="725"/>
      <c r="D3" s="725"/>
      <c r="E3" s="725"/>
      <c r="F3" s="433"/>
    </row>
    <row r="4" spans="1:6" ht="15.75" customHeight="1">
      <c r="A4" s="758" t="s">
        <v>6291</v>
      </c>
      <c r="B4" s="725"/>
      <c r="C4" s="725"/>
      <c r="D4" s="725"/>
      <c r="E4" s="725"/>
      <c r="F4" s="434"/>
    </row>
    <row r="5" spans="1:6" ht="15.75" customHeight="1">
      <c r="A5" s="759" t="s">
        <v>6292</v>
      </c>
      <c r="B5" s="725"/>
      <c r="C5" s="725"/>
      <c r="D5" s="725"/>
      <c r="E5" s="725"/>
      <c r="F5" s="435"/>
    </row>
    <row r="6" spans="1:6" ht="15.75" customHeight="1">
      <c r="A6" s="436" t="s">
        <v>5844</v>
      </c>
      <c r="B6" s="437" t="s">
        <v>5845</v>
      </c>
      <c r="C6" s="438" t="s">
        <v>6293</v>
      </c>
      <c r="D6" s="438" t="s">
        <v>6294</v>
      </c>
      <c r="E6" s="438" t="s">
        <v>6295</v>
      </c>
      <c r="F6" s="439"/>
    </row>
    <row r="7" spans="1:6" ht="15.75" customHeight="1">
      <c r="A7" s="760" t="s">
        <v>6296</v>
      </c>
      <c r="B7" s="761"/>
      <c r="C7" s="761"/>
      <c r="D7" s="761"/>
      <c r="E7" s="762"/>
      <c r="F7" s="440"/>
    </row>
    <row r="8" spans="1:6" ht="15.75" customHeight="1">
      <c r="A8" s="763" t="s">
        <v>6297</v>
      </c>
      <c r="B8" s="761"/>
      <c r="C8" s="764"/>
      <c r="D8" s="761"/>
      <c r="E8" s="762"/>
      <c r="F8" s="441"/>
    </row>
    <row r="9" spans="1:6" ht="15.75" customHeight="1">
      <c r="A9" s="442" t="s">
        <v>5503</v>
      </c>
      <c r="B9" s="443" t="s">
        <v>6298</v>
      </c>
      <c r="C9" s="444">
        <v>6</v>
      </c>
      <c r="D9" s="444">
        <v>750</v>
      </c>
      <c r="E9" s="445">
        <v>138</v>
      </c>
      <c r="F9" s="443"/>
    </row>
    <row r="10" spans="1:6" ht="15.75" customHeight="1">
      <c r="A10" s="442" t="s">
        <v>6168</v>
      </c>
      <c r="B10" s="443" t="s">
        <v>6299</v>
      </c>
      <c r="C10" s="446">
        <v>6</v>
      </c>
      <c r="D10" s="446">
        <v>750</v>
      </c>
      <c r="E10" s="445">
        <v>150</v>
      </c>
      <c r="F10" s="443"/>
    </row>
    <row r="11" spans="1:6" ht="15.75" customHeight="1">
      <c r="A11" s="442" t="s">
        <v>5498</v>
      </c>
      <c r="B11" s="443" t="s">
        <v>6300</v>
      </c>
      <c r="C11" s="446">
        <v>6</v>
      </c>
      <c r="D11" s="446">
        <v>750</v>
      </c>
      <c r="E11" s="445">
        <v>150</v>
      </c>
      <c r="F11" s="443"/>
    </row>
    <row r="12" spans="1:6" ht="15.75" customHeight="1">
      <c r="A12" s="442" t="s">
        <v>5561</v>
      </c>
      <c r="B12" s="443" t="s">
        <v>6301</v>
      </c>
      <c r="C12" s="446">
        <v>6</v>
      </c>
      <c r="D12" s="446">
        <v>750</v>
      </c>
      <c r="E12" s="445">
        <v>141</v>
      </c>
      <c r="F12" s="443"/>
    </row>
    <row r="13" spans="1:6" ht="15.75" customHeight="1">
      <c r="A13" s="442" t="s">
        <v>5558</v>
      </c>
      <c r="B13" s="443" t="s">
        <v>6302</v>
      </c>
      <c r="C13" s="446">
        <v>6</v>
      </c>
      <c r="D13" s="446">
        <v>750</v>
      </c>
      <c r="E13" s="445">
        <v>132</v>
      </c>
      <c r="F13" s="443"/>
    </row>
    <row r="14" spans="1:6" ht="15.75" customHeight="1">
      <c r="A14" s="442" t="s">
        <v>5565</v>
      </c>
      <c r="B14" s="443" t="s">
        <v>6303</v>
      </c>
      <c r="C14" s="446">
        <v>6</v>
      </c>
      <c r="D14" s="446">
        <v>750</v>
      </c>
      <c r="E14" s="445">
        <v>186</v>
      </c>
      <c r="F14" s="443"/>
    </row>
    <row r="15" spans="1:6" ht="15.75" customHeight="1">
      <c r="A15" s="442" t="s">
        <v>6304</v>
      </c>
      <c r="B15" s="443" t="s">
        <v>6305</v>
      </c>
      <c r="C15" s="446">
        <v>6</v>
      </c>
      <c r="D15" s="446">
        <v>750</v>
      </c>
      <c r="E15" s="445">
        <v>145.5</v>
      </c>
      <c r="F15" s="443"/>
    </row>
    <row r="16" spans="1:6" ht="15.75" customHeight="1">
      <c r="A16" s="442" t="s">
        <v>5563</v>
      </c>
      <c r="B16" s="443" t="s">
        <v>6306</v>
      </c>
      <c r="C16" s="446">
        <v>6</v>
      </c>
      <c r="D16" s="446">
        <v>750</v>
      </c>
      <c r="E16" s="445">
        <v>129</v>
      </c>
      <c r="F16" s="443"/>
    </row>
    <row r="17" spans="1:6" ht="15.75" customHeight="1">
      <c r="A17" s="442" t="s">
        <v>5539</v>
      </c>
      <c r="B17" s="443" t="s">
        <v>6307</v>
      </c>
      <c r="C17" s="446">
        <v>6</v>
      </c>
      <c r="D17" s="446">
        <v>750</v>
      </c>
      <c r="E17" s="445">
        <v>96</v>
      </c>
      <c r="F17" s="443"/>
    </row>
    <row r="18" spans="1:6" ht="15.75" customHeight="1">
      <c r="A18" s="442" t="s">
        <v>5537</v>
      </c>
      <c r="B18" s="443" t="s">
        <v>6308</v>
      </c>
      <c r="C18" s="446">
        <v>6</v>
      </c>
      <c r="D18" s="446">
        <v>750</v>
      </c>
      <c r="E18" s="445">
        <v>138</v>
      </c>
      <c r="F18" s="443"/>
    </row>
    <row r="19" spans="1:6" ht="15.75" customHeight="1">
      <c r="A19" s="447" t="s">
        <v>3986</v>
      </c>
      <c r="B19" s="448" t="s">
        <v>6309</v>
      </c>
      <c r="C19" s="446">
        <v>6</v>
      </c>
      <c r="D19" s="446">
        <v>750</v>
      </c>
      <c r="E19" s="449">
        <v>168</v>
      </c>
      <c r="F19" s="448"/>
    </row>
    <row r="20" spans="1:6" ht="15.75" customHeight="1">
      <c r="A20" s="447" t="s">
        <v>5501</v>
      </c>
      <c r="B20" s="448" t="s">
        <v>6310</v>
      </c>
      <c r="C20" s="446">
        <v>6</v>
      </c>
      <c r="D20" s="446">
        <v>750</v>
      </c>
      <c r="E20" s="449">
        <v>144</v>
      </c>
      <c r="F20" s="448"/>
    </row>
    <row r="21" spans="1:6" ht="15.75" customHeight="1">
      <c r="A21" s="760" t="s">
        <v>2430</v>
      </c>
      <c r="B21" s="761"/>
      <c r="C21" s="761"/>
      <c r="D21" s="761"/>
      <c r="E21" s="762"/>
      <c r="F21" s="440"/>
    </row>
    <row r="22" spans="1:6" ht="15.75" customHeight="1">
      <c r="A22" s="765" t="s">
        <v>6311</v>
      </c>
      <c r="B22" s="761"/>
      <c r="C22" s="761"/>
      <c r="D22" s="761"/>
      <c r="E22" s="762"/>
      <c r="F22" s="450"/>
    </row>
    <row r="23" spans="1:6" ht="15.75" customHeight="1">
      <c r="A23" s="766" t="s">
        <v>6312</v>
      </c>
      <c r="B23" s="761"/>
      <c r="C23" s="761"/>
      <c r="D23" s="761"/>
      <c r="E23" s="762"/>
      <c r="F23" s="451"/>
    </row>
    <row r="24" spans="1:6" ht="15.75" customHeight="1">
      <c r="A24" s="452" t="s">
        <v>6313</v>
      </c>
      <c r="B24" s="453" t="s">
        <v>6314</v>
      </c>
      <c r="C24" s="454">
        <v>6</v>
      </c>
      <c r="D24" s="454">
        <v>700</v>
      </c>
      <c r="E24" s="455">
        <v>126</v>
      </c>
      <c r="F24" s="456"/>
    </row>
    <row r="25" spans="1:6" ht="15.75" customHeight="1">
      <c r="A25" s="452" t="s">
        <v>6315</v>
      </c>
      <c r="B25" s="453" t="s">
        <v>6316</v>
      </c>
      <c r="C25" s="454">
        <v>6</v>
      </c>
      <c r="D25" s="454">
        <v>700</v>
      </c>
      <c r="E25" s="455">
        <v>126</v>
      </c>
      <c r="F25" s="456"/>
    </row>
    <row r="26" spans="1:6" ht="15.75" customHeight="1">
      <c r="A26" s="765" t="s">
        <v>6317</v>
      </c>
      <c r="B26" s="761"/>
      <c r="C26" s="761"/>
      <c r="D26" s="761"/>
      <c r="E26" s="762"/>
      <c r="F26" s="450"/>
    </row>
    <row r="27" spans="1:6" ht="15.75" customHeight="1">
      <c r="A27" s="760" t="s">
        <v>0</v>
      </c>
      <c r="B27" s="761"/>
      <c r="C27" s="761"/>
      <c r="D27" s="761"/>
      <c r="E27" s="762"/>
      <c r="F27" s="440"/>
    </row>
    <row r="28" spans="1:6" ht="15.75" customHeight="1">
      <c r="A28" s="765" t="s">
        <v>6318</v>
      </c>
      <c r="B28" s="761"/>
      <c r="C28" s="761"/>
      <c r="D28" s="761"/>
      <c r="E28" s="762"/>
      <c r="F28" s="450"/>
    </row>
    <row r="29" spans="1:6" ht="15.75" customHeight="1">
      <c r="A29" s="767" t="s">
        <v>6319</v>
      </c>
      <c r="B29" s="761"/>
      <c r="C29" s="761"/>
      <c r="D29" s="761"/>
      <c r="E29" s="762"/>
      <c r="F29" s="457"/>
    </row>
    <row r="30" spans="1:6" ht="15.75" customHeight="1">
      <c r="A30" s="452" t="s">
        <v>6320</v>
      </c>
      <c r="B30" s="453" t="s">
        <v>6321</v>
      </c>
      <c r="C30" s="454">
        <v>6</v>
      </c>
      <c r="D30" s="454">
        <v>700</v>
      </c>
      <c r="E30" s="455">
        <v>186</v>
      </c>
      <c r="F30" s="456"/>
    </row>
    <row r="31" spans="1:6" ht="15.75" customHeight="1">
      <c r="A31" s="452" t="s">
        <v>6322</v>
      </c>
      <c r="B31" s="453" t="s">
        <v>6323</v>
      </c>
      <c r="C31" s="454">
        <v>6</v>
      </c>
      <c r="D31" s="454">
        <v>700</v>
      </c>
      <c r="E31" s="455">
        <v>222</v>
      </c>
      <c r="F31" s="456"/>
    </row>
    <row r="32" spans="1:6" ht="15.75" customHeight="1">
      <c r="A32" s="765" t="s">
        <v>6324</v>
      </c>
      <c r="B32" s="761"/>
      <c r="C32" s="761"/>
      <c r="D32" s="761"/>
      <c r="E32" s="762"/>
      <c r="F32" s="450"/>
    </row>
    <row r="33" spans="1:6" ht="15.75" customHeight="1">
      <c r="A33" s="767" t="s">
        <v>6325</v>
      </c>
      <c r="B33" s="761"/>
      <c r="C33" s="764" t="s">
        <v>6326</v>
      </c>
      <c r="D33" s="761"/>
      <c r="E33" s="762"/>
      <c r="F33" s="441"/>
    </row>
    <row r="34" spans="1:6" ht="15.75" customHeight="1">
      <c r="A34" s="452" t="s">
        <v>6327</v>
      </c>
      <c r="B34" s="453" t="s">
        <v>6328</v>
      </c>
      <c r="C34" s="454">
        <v>6</v>
      </c>
      <c r="D34" s="454">
        <v>700</v>
      </c>
      <c r="E34" s="455">
        <v>330</v>
      </c>
      <c r="F34" s="456"/>
    </row>
    <row r="35" spans="1:6" ht="15.75" customHeight="1">
      <c r="A35" s="452" t="s">
        <v>6329</v>
      </c>
      <c r="B35" s="453" t="s">
        <v>6330</v>
      </c>
      <c r="C35" s="454">
        <v>6</v>
      </c>
      <c r="D35" s="454">
        <v>700</v>
      </c>
      <c r="E35" s="455">
        <v>186</v>
      </c>
      <c r="F35" s="456"/>
    </row>
    <row r="36" spans="1:6" ht="15.75" customHeight="1">
      <c r="A36" s="452" t="s">
        <v>6331</v>
      </c>
      <c r="B36" s="453" t="s">
        <v>6332</v>
      </c>
      <c r="C36" s="454">
        <v>6</v>
      </c>
      <c r="D36" s="454">
        <v>700</v>
      </c>
      <c r="E36" s="455">
        <v>240</v>
      </c>
      <c r="F36" s="456"/>
    </row>
    <row r="37" spans="1:6" ht="15.75" customHeight="1">
      <c r="A37" s="765" t="s">
        <v>6333</v>
      </c>
      <c r="B37" s="761"/>
      <c r="C37" s="761"/>
      <c r="D37" s="761"/>
      <c r="E37" s="762"/>
      <c r="F37" s="450"/>
    </row>
    <row r="38" spans="1:6" ht="15.75" customHeight="1">
      <c r="A38" s="766" t="s">
        <v>6163</v>
      </c>
      <c r="B38" s="761"/>
      <c r="C38" s="768"/>
      <c r="D38" s="761"/>
      <c r="E38" s="762"/>
      <c r="F38" s="458"/>
    </row>
    <row r="39" spans="1:6" ht="15.75" customHeight="1">
      <c r="A39" s="452" t="s">
        <v>5542</v>
      </c>
      <c r="B39" s="453" t="s">
        <v>6334</v>
      </c>
      <c r="C39" s="454">
        <v>6</v>
      </c>
      <c r="D39" s="454">
        <v>700</v>
      </c>
      <c r="E39" s="455">
        <v>120</v>
      </c>
      <c r="F39" s="456"/>
    </row>
    <row r="40" spans="1:6" ht="15.75" customHeight="1">
      <c r="A40" s="452" t="s">
        <v>5546</v>
      </c>
      <c r="B40" s="453" t="s">
        <v>6335</v>
      </c>
      <c r="C40" s="454">
        <v>6</v>
      </c>
      <c r="D40" s="454">
        <v>700</v>
      </c>
      <c r="E40" s="455">
        <v>120</v>
      </c>
      <c r="F40" s="456"/>
    </row>
    <row r="41" spans="1:6" ht="15.75" customHeight="1">
      <c r="A41" s="765" t="s">
        <v>6336</v>
      </c>
      <c r="B41" s="761"/>
      <c r="C41" s="761"/>
      <c r="D41" s="761"/>
      <c r="E41" s="762"/>
      <c r="F41" s="450"/>
    </row>
    <row r="42" spans="1:6" ht="15.75" customHeight="1">
      <c r="A42" s="767" t="s">
        <v>6337</v>
      </c>
      <c r="B42" s="761"/>
      <c r="C42" s="768"/>
      <c r="D42" s="761"/>
      <c r="E42" s="762"/>
      <c r="F42" s="458"/>
    </row>
    <row r="43" spans="1:6" ht="15.75" customHeight="1">
      <c r="A43" s="452" t="s">
        <v>6338</v>
      </c>
      <c r="B43" s="453" t="s">
        <v>6339</v>
      </c>
      <c r="C43" s="454">
        <v>6</v>
      </c>
      <c r="D43" s="454">
        <v>700</v>
      </c>
      <c r="E43" s="455">
        <v>342</v>
      </c>
      <c r="F43" s="456"/>
    </row>
    <row r="44" spans="1:6" ht="15.75" customHeight="1">
      <c r="A44" s="765" t="s">
        <v>6340</v>
      </c>
      <c r="B44" s="761"/>
      <c r="C44" s="761"/>
      <c r="D44" s="761"/>
      <c r="E44" s="762"/>
      <c r="F44" s="450"/>
    </row>
    <row r="45" spans="1:6" ht="15.75" customHeight="1">
      <c r="A45" s="767" t="s">
        <v>6341</v>
      </c>
      <c r="B45" s="761"/>
      <c r="C45" s="768"/>
      <c r="D45" s="761"/>
      <c r="E45" s="762"/>
      <c r="F45" s="458"/>
    </row>
    <row r="46" spans="1:6" ht="15.75" customHeight="1">
      <c r="A46" s="452" t="s">
        <v>5552</v>
      </c>
      <c r="B46" s="453" t="s">
        <v>6342</v>
      </c>
      <c r="C46" s="454">
        <v>6</v>
      </c>
      <c r="D46" s="454">
        <v>700</v>
      </c>
      <c r="E46" s="455">
        <v>210</v>
      </c>
      <c r="F46" s="456"/>
    </row>
    <row r="47" spans="1:6" ht="15.75" customHeight="1">
      <c r="A47" s="452" t="s">
        <v>5556</v>
      </c>
      <c r="B47" s="453" t="s">
        <v>6343</v>
      </c>
      <c r="C47" s="454">
        <v>6</v>
      </c>
      <c r="D47" s="454">
        <v>700</v>
      </c>
      <c r="E47" s="455">
        <v>186</v>
      </c>
      <c r="F47" s="456"/>
    </row>
    <row r="48" spans="1:6" ht="15.75" customHeight="1">
      <c r="A48" s="769" t="s">
        <v>6344</v>
      </c>
      <c r="B48" s="770"/>
      <c r="C48" s="770"/>
      <c r="D48" s="770"/>
      <c r="E48" s="771"/>
      <c r="F48" s="450"/>
    </row>
    <row r="49" spans="1:6" ht="15.75" customHeight="1">
      <c r="A49" s="772" t="s">
        <v>6345</v>
      </c>
      <c r="B49" s="761"/>
      <c r="C49" s="761"/>
      <c r="D49" s="761"/>
      <c r="E49" s="762"/>
      <c r="F49" s="459"/>
    </row>
    <row r="50" spans="1:6" ht="15">
      <c r="A50" s="452" t="s">
        <v>6346</v>
      </c>
      <c r="B50" s="453" t="s">
        <v>6347</v>
      </c>
      <c r="C50" s="454">
        <v>6</v>
      </c>
      <c r="D50" s="454">
        <v>500</v>
      </c>
      <c r="E50" s="455">
        <v>306</v>
      </c>
      <c r="F50" s="456"/>
    </row>
    <row r="51" spans="1:6" ht="24">
      <c r="A51" s="760" t="s">
        <v>3921</v>
      </c>
      <c r="B51" s="761"/>
      <c r="C51" s="761"/>
      <c r="D51" s="761"/>
      <c r="E51" s="762"/>
      <c r="F51" s="440"/>
    </row>
    <row r="52" spans="1:6" ht="19">
      <c r="A52" s="773" t="s">
        <v>6348</v>
      </c>
      <c r="B52" s="770"/>
      <c r="C52" s="770"/>
      <c r="D52" s="770"/>
      <c r="E52" s="771"/>
      <c r="F52" s="460"/>
    </row>
    <row r="53" spans="1:6" ht="16">
      <c r="A53" s="461" t="s">
        <v>6349</v>
      </c>
      <c r="B53" s="462"/>
      <c r="C53" s="774"/>
      <c r="D53" s="761"/>
      <c r="E53" s="762"/>
      <c r="F53" s="463"/>
    </row>
    <row r="54" spans="1:6" ht="15">
      <c r="A54" s="452" t="s">
        <v>6350</v>
      </c>
      <c r="B54" s="453" t="s">
        <v>6351</v>
      </c>
      <c r="C54" s="454">
        <v>6</v>
      </c>
      <c r="D54" s="454">
        <v>750</v>
      </c>
      <c r="E54" s="455">
        <v>378</v>
      </c>
      <c r="F54" s="456"/>
    </row>
    <row r="55" spans="1:6" ht="15">
      <c r="A55" s="452" t="s">
        <v>6352</v>
      </c>
      <c r="B55" s="453" t="s">
        <v>6353</v>
      </c>
      <c r="C55" s="454">
        <v>6</v>
      </c>
      <c r="D55" s="454">
        <v>750</v>
      </c>
      <c r="E55" s="455">
        <v>360</v>
      </c>
      <c r="F55" s="456"/>
    </row>
    <row r="56" spans="1:6" ht="15">
      <c r="A56" s="452" t="s">
        <v>6354</v>
      </c>
      <c r="B56" s="453" t="s">
        <v>6355</v>
      </c>
      <c r="C56" s="454">
        <v>6</v>
      </c>
      <c r="D56" s="454">
        <v>750</v>
      </c>
      <c r="E56" s="455">
        <v>534</v>
      </c>
      <c r="F56" s="456"/>
    </row>
    <row r="57" spans="1:6" ht="15">
      <c r="A57" s="452" t="s">
        <v>6356</v>
      </c>
      <c r="B57" s="453" t="s">
        <v>6357</v>
      </c>
      <c r="C57" s="454">
        <v>6</v>
      </c>
      <c r="D57" s="454">
        <v>750</v>
      </c>
      <c r="E57" s="455">
        <v>618</v>
      </c>
      <c r="F57" s="456"/>
    </row>
    <row r="58" spans="1:6" ht="19">
      <c r="A58" s="773" t="s">
        <v>6358</v>
      </c>
      <c r="B58" s="770"/>
      <c r="C58" s="770"/>
      <c r="D58" s="770"/>
      <c r="E58" s="771"/>
      <c r="F58" s="460"/>
    </row>
    <row r="59" spans="1:6" ht="16">
      <c r="A59" s="461" t="s">
        <v>6359</v>
      </c>
      <c r="B59" s="462"/>
      <c r="C59" s="774"/>
      <c r="D59" s="761"/>
      <c r="E59" s="762"/>
      <c r="F59" s="463"/>
    </row>
    <row r="60" spans="1:6" ht="15">
      <c r="A60" s="452" t="s">
        <v>6360</v>
      </c>
      <c r="B60" s="453" t="s">
        <v>6361</v>
      </c>
      <c r="C60" s="454">
        <v>6</v>
      </c>
      <c r="D60" s="454">
        <v>750</v>
      </c>
      <c r="E60" s="455">
        <v>258</v>
      </c>
      <c r="F60" s="456"/>
    </row>
    <row r="61" spans="1:6" ht="19">
      <c r="A61" s="773" t="s">
        <v>6362</v>
      </c>
      <c r="B61" s="770"/>
      <c r="C61" s="770"/>
      <c r="D61" s="770"/>
      <c r="E61" s="771"/>
      <c r="F61" s="460"/>
    </row>
    <row r="62" spans="1:6" ht="16">
      <c r="A62" s="461" t="s">
        <v>6363</v>
      </c>
      <c r="B62" s="464"/>
      <c r="C62" s="774"/>
      <c r="D62" s="761"/>
      <c r="E62" s="762"/>
      <c r="F62" s="463"/>
    </row>
    <row r="63" spans="1:6" ht="15">
      <c r="A63" s="452" t="s">
        <v>6364</v>
      </c>
      <c r="B63" s="453" t="s">
        <v>6365</v>
      </c>
      <c r="C63" s="454">
        <v>6</v>
      </c>
      <c r="D63" s="454">
        <v>750</v>
      </c>
      <c r="E63" s="455">
        <v>162</v>
      </c>
      <c r="F63" s="456"/>
    </row>
    <row r="64" spans="1:6" ht="15">
      <c r="A64" s="452" t="s">
        <v>6366</v>
      </c>
      <c r="B64" s="453" t="s">
        <v>6367</v>
      </c>
      <c r="C64" s="454">
        <v>6</v>
      </c>
      <c r="D64" s="454">
        <v>750</v>
      </c>
      <c r="E64" s="455">
        <v>276</v>
      </c>
      <c r="F64" s="456"/>
    </row>
    <row r="65" spans="1:6" ht="15">
      <c r="A65" s="452" t="s">
        <v>6368</v>
      </c>
      <c r="B65" s="453" t="s">
        <v>6369</v>
      </c>
      <c r="C65" s="454">
        <v>6</v>
      </c>
      <c r="D65" s="454">
        <v>750</v>
      </c>
      <c r="E65" s="455">
        <v>276</v>
      </c>
      <c r="F65" s="456"/>
    </row>
    <row r="66" spans="1:6" ht="15">
      <c r="A66" s="452" t="s">
        <v>6370</v>
      </c>
      <c r="B66" s="453" t="s">
        <v>6371</v>
      </c>
      <c r="C66" s="454">
        <v>6</v>
      </c>
      <c r="D66" s="454">
        <v>750</v>
      </c>
      <c r="E66" s="455">
        <v>276</v>
      </c>
      <c r="F66" s="456"/>
    </row>
    <row r="67" spans="1:6" ht="19">
      <c r="A67" s="773" t="s">
        <v>6372</v>
      </c>
      <c r="B67" s="770"/>
      <c r="C67" s="770"/>
      <c r="D67" s="770"/>
      <c r="E67" s="771"/>
      <c r="F67" s="460"/>
    </row>
    <row r="68" spans="1:6" ht="15">
      <c r="A68" s="465" t="s">
        <v>6373</v>
      </c>
      <c r="B68" s="464"/>
      <c r="C68" s="466"/>
      <c r="D68" s="466"/>
      <c r="E68" s="467"/>
      <c r="F68" s="468"/>
    </row>
    <row r="69" spans="1:6" ht="15">
      <c r="A69" s="453" t="s">
        <v>6374</v>
      </c>
      <c r="B69" s="453" t="s">
        <v>6375</v>
      </c>
      <c r="C69" s="454">
        <v>6</v>
      </c>
      <c r="D69" s="454">
        <v>750</v>
      </c>
      <c r="E69" s="455">
        <v>324</v>
      </c>
      <c r="F69" s="456"/>
    </row>
    <row r="70" spans="1:6" ht="15">
      <c r="A70" s="453" t="s">
        <v>6376</v>
      </c>
      <c r="B70" s="453" t="s">
        <v>6377</v>
      </c>
      <c r="C70" s="454">
        <v>6</v>
      </c>
      <c r="D70" s="454">
        <v>750</v>
      </c>
      <c r="E70" s="455">
        <v>234</v>
      </c>
      <c r="F70" s="456"/>
    </row>
    <row r="71" spans="1:6" ht="19">
      <c r="A71" s="773" t="s">
        <v>6378</v>
      </c>
      <c r="B71" s="770"/>
      <c r="C71" s="770"/>
      <c r="D71" s="770"/>
      <c r="E71" s="771"/>
      <c r="F71" s="460"/>
    </row>
    <row r="72" spans="1:6" ht="15">
      <c r="A72" s="465" t="s">
        <v>6379</v>
      </c>
      <c r="B72" s="464"/>
      <c r="C72" s="466"/>
      <c r="D72" s="466"/>
      <c r="E72" s="467"/>
      <c r="F72" s="468"/>
    </row>
    <row r="73" spans="1:6" ht="15">
      <c r="A73" s="453" t="s">
        <v>5597</v>
      </c>
      <c r="B73" s="453" t="s">
        <v>6380</v>
      </c>
      <c r="C73" s="454">
        <v>6</v>
      </c>
      <c r="D73" s="454">
        <v>750</v>
      </c>
      <c r="E73" s="455">
        <v>324</v>
      </c>
      <c r="F73" s="456"/>
    </row>
    <row r="74" spans="1:6" ht="15">
      <c r="A74" s="453" t="s">
        <v>5600</v>
      </c>
      <c r="B74" s="453" t="s">
        <v>6381</v>
      </c>
      <c r="C74" s="454">
        <v>6</v>
      </c>
      <c r="D74" s="454">
        <v>750</v>
      </c>
      <c r="E74" s="455">
        <v>324</v>
      </c>
      <c r="F74" s="456"/>
    </row>
    <row r="75" spans="1:6" ht="24">
      <c r="A75" s="760" t="s">
        <v>6382</v>
      </c>
      <c r="B75" s="761"/>
      <c r="C75" s="761"/>
      <c r="D75" s="761"/>
      <c r="E75" s="762"/>
      <c r="F75" s="440"/>
    </row>
    <row r="76" spans="1:6" ht="19">
      <c r="A76" s="765" t="s">
        <v>6383</v>
      </c>
      <c r="B76" s="761"/>
      <c r="C76" s="761"/>
      <c r="D76" s="761"/>
      <c r="E76" s="762"/>
      <c r="F76" s="450"/>
    </row>
    <row r="77" spans="1:6" ht="15">
      <c r="A77" s="469" t="s">
        <v>6384</v>
      </c>
      <c r="B77" s="464"/>
      <c r="C77" s="470"/>
      <c r="D77" s="470"/>
      <c r="E77" s="471"/>
      <c r="F77" s="472"/>
    </row>
    <row r="78" spans="1:6" ht="15">
      <c r="A78" s="453" t="s">
        <v>5506</v>
      </c>
      <c r="B78" s="453" t="s">
        <v>5508</v>
      </c>
      <c r="C78" s="454">
        <v>6</v>
      </c>
      <c r="D78" s="454">
        <v>750</v>
      </c>
      <c r="E78" s="455">
        <v>108</v>
      </c>
      <c r="F78" s="456"/>
    </row>
    <row r="79" spans="1:6" ht="19">
      <c r="A79" s="765" t="s">
        <v>6385</v>
      </c>
      <c r="B79" s="761"/>
      <c r="C79" s="761"/>
      <c r="D79" s="761"/>
      <c r="E79" s="762"/>
      <c r="F79" s="450"/>
    </row>
    <row r="80" spans="1:6" ht="15">
      <c r="A80" s="473" t="s">
        <v>6386</v>
      </c>
      <c r="B80" s="473"/>
      <c r="C80" s="470"/>
      <c r="D80" s="470"/>
      <c r="E80" s="471"/>
      <c r="F80" s="472"/>
    </row>
    <row r="81" spans="1:6" ht="15">
      <c r="A81" s="453" t="s">
        <v>5518</v>
      </c>
      <c r="B81" s="453" t="s">
        <v>5519</v>
      </c>
      <c r="C81" s="454">
        <v>6</v>
      </c>
      <c r="D81" s="454">
        <v>700</v>
      </c>
      <c r="E81" s="455">
        <v>108</v>
      </c>
      <c r="F81" s="456"/>
    </row>
    <row r="82" spans="1:6" ht="15">
      <c r="A82" s="453" t="s">
        <v>5514</v>
      </c>
      <c r="B82" s="453" t="s">
        <v>5515</v>
      </c>
      <c r="C82" s="454">
        <v>6</v>
      </c>
      <c r="D82" s="454">
        <v>700</v>
      </c>
      <c r="E82" s="455">
        <v>114</v>
      </c>
      <c r="F82" s="456"/>
    </row>
    <row r="83" spans="1:6" ht="15">
      <c r="A83" s="453" t="s">
        <v>5512</v>
      </c>
      <c r="B83" s="453" t="s">
        <v>5513</v>
      </c>
      <c r="C83" s="454">
        <v>6</v>
      </c>
      <c r="D83" s="454">
        <v>700</v>
      </c>
      <c r="E83" s="455">
        <v>132</v>
      </c>
      <c r="F83" s="456"/>
    </row>
    <row r="84" spans="1:6" ht="15">
      <c r="A84" s="453" t="s">
        <v>5516</v>
      </c>
      <c r="B84" s="453" t="s">
        <v>5517</v>
      </c>
      <c r="C84" s="454">
        <v>6</v>
      </c>
      <c r="D84" s="454">
        <v>700</v>
      </c>
      <c r="E84" s="455">
        <v>114</v>
      </c>
      <c r="F84" s="456"/>
    </row>
    <row r="85" spans="1:6" ht="15">
      <c r="A85" s="453" t="s">
        <v>5509</v>
      </c>
      <c r="B85" s="453" t="s">
        <v>5511</v>
      </c>
      <c r="C85" s="454">
        <v>6</v>
      </c>
      <c r="D85" s="454">
        <v>700</v>
      </c>
      <c r="E85" s="455">
        <v>132</v>
      </c>
      <c r="F85" s="456"/>
    </row>
    <row r="86" spans="1:6" ht="24">
      <c r="A86" s="760" t="s">
        <v>6387</v>
      </c>
      <c r="B86" s="761"/>
      <c r="C86" s="761"/>
      <c r="D86" s="761"/>
      <c r="E86" s="762"/>
      <c r="F86" s="440"/>
    </row>
    <row r="87" spans="1:6" ht="16">
      <c r="A87" s="775" t="s">
        <v>5621</v>
      </c>
      <c r="B87" s="761"/>
      <c r="C87" s="768"/>
      <c r="D87" s="761"/>
      <c r="E87" s="762"/>
      <c r="F87" s="458"/>
    </row>
    <row r="88" spans="1:6" ht="15">
      <c r="A88" s="453" t="s">
        <v>5627</v>
      </c>
      <c r="B88" s="453" t="s">
        <v>6388</v>
      </c>
      <c r="C88" s="454">
        <v>6</v>
      </c>
      <c r="D88" s="454">
        <v>700</v>
      </c>
      <c r="E88" s="455">
        <v>300</v>
      </c>
      <c r="F88" s="456"/>
    </row>
    <row r="89" spans="1:6" ht="15">
      <c r="A89" s="453" t="s">
        <v>6389</v>
      </c>
      <c r="B89" s="453" t="s">
        <v>6390</v>
      </c>
      <c r="C89" s="454">
        <v>6</v>
      </c>
      <c r="D89" s="454">
        <v>700</v>
      </c>
      <c r="E89" s="455">
        <v>540</v>
      </c>
      <c r="F89" s="456"/>
    </row>
    <row r="90" spans="1:6" ht="15">
      <c r="A90" s="453" t="s">
        <v>6391</v>
      </c>
      <c r="B90" s="453" t="s">
        <v>6392</v>
      </c>
      <c r="C90" s="454">
        <v>6</v>
      </c>
      <c r="D90" s="454">
        <v>700</v>
      </c>
      <c r="E90" s="455">
        <v>900</v>
      </c>
      <c r="F90" s="456"/>
    </row>
    <row r="91" spans="1:6" ht="14">
      <c r="A91" s="453"/>
      <c r="B91" s="453"/>
      <c r="C91" s="454"/>
      <c r="D91" s="454"/>
      <c r="E91" s="455"/>
      <c r="F91" s="456"/>
    </row>
    <row r="92" spans="1:6" ht="19">
      <c r="A92" s="765" t="s">
        <v>6393</v>
      </c>
      <c r="B92" s="761"/>
      <c r="C92" s="761"/>
      <c r="D92" s="761"/>
      <c r="E92" s="762"/>
      <c r="F92" s="450"/>
    </row>
    <row r="93" spans="1:6" ht="19">
      <c r="A93" s="474"/>
      <c r="B93" s="474"/>
      <c r="C93" s="474"/>
      <c r="D93" s="474"/>
      <c r="E93" s="474"/>
      <c r="F93" s="450"/>
    </row>
    <row r="94" spans="1:6" ht="15">
      <c r="A94" s="465" t="s">
        <v>6394</v>
      </c>
      <c r="B94" s="473"/>
      <c r="C94" s="475"/>
      <c r="D94" s="475"/>
      <c r="E94" s="476"/>
      <c r="F94" s="477"/>
    </row>
    <row r="95" spans="1:6" ht="19">
      <c r="A95" s="453" t="s">
        <v>6395</v>
      </c>
      <c r="B95" s="453" t="s">
        <v>6396</v>
      </c>
      <c r="C95" s="454">
        <v>6</v>
      </c>
      <c r="D95" s="454">
        <v>750</v>
      </c>
      <c r="E95" s="455">
        <v>109.43</v>
      </c>
      <c r="F95" s="450"/>
    </row>
    <row r="96" spans="1:6" ht="19">
      <c r="A96" s="453" t="s">
        <v>6397</v>
      </c>
      <c r="B96" s="453" t="s">
        <v>6398</v>
      </c>
      <c r="C96" s="454">
        <v>6</v>
      </c>
      <c r="D96" s="454">
        <v>750</v>
      </c>
      <c r="E96" s="455">
        <v>165</v>
      </c>
      <c r="F96" s="450"/>
    </row>
    <row r="97" spans="1:6" ht="24">
      <c r="A97" s="453" t="s">
        <v>6399</v>
      </c>
      <c r="B97" s="453" t="s">
        <v>6400</v>
      </c>
      <c r="C97" s="454">
        <v>6</v>
      </c>
      <c r="D97" s="454">
        <v>750</v>
      </c>
      <c r="E97" s="455">
        <v>225</v>
      </c>
      <c r="F97" s="440"/>
    </row>
    <row r="98" spans="1:6" ht="19">
      <c r="A98" s="760" t="s">
        <v>6401</v>
      </c>
      <c r="B98" s="761"/>
      <c r="C98" s="761"/>
      <c r="D98" s="761"/>
      <c r="E98" s="762"/>
      <c r="F98" s="450"/>
    </row>
    <row r="99" spans="1:6" ht="16">
      <c r="A99" s="766" t="s">
        <v>6402</v>
      </c>
      <c r="B99" s="761"/>
      <c r="C99" s="768"/>
      <c r="D99" s="761"/>
      <c r="E99" s="762"/>
      <c r="F99" s="458"/>
    </row>
    <row r="100" spans="1:6" ht="15">
      <c r="A100" s="452" t="s">
        <v>6403</v>
      </c>
      <c r="B100" s="453" t="s">
        <v>6404</v>
      </c>
      <c r="C100" s="454">
        <v>6</v>
      </c>
      <c r="D100" s="454">
        <v>750</v>
      </c>
      <c r="E100" s="455">
        <v>132</v>
      </c>
      <c r="F100" s="456"/>
    </row>
    <row r="101" spans="1:6" ht="15">
      <c r="A101" s="452" t="s">
        <v>6405</v>
      </c>
      <c r="B101" s="453" t="s">
        <v>6406</v>
      </c>
      <c r="C101" s="454">
        <v>6</v>
      </c>
      <c r="D101" s="454">
        <v>750</v>
      </c>
      <c r="E101" s="455">
        <v>162</v>
      </c>
      <c r="F101" s="456"/>
    </row>
    <row r="102" spans="1:6" ht="15">
      <c r="A102" s="452" t="s">
        <v>6407</v>
      </c>
      <c r="B102" s="453" t="s">
        <v>6408</v>
      </c>
      <c r="C102" s="454">
        <v>6</v>
      </c>
      <c r="D102" s="454">
        <v>750</v>
      </c>
      <c r="E102" s="455">
        <v>180</v>
      </c>
      <c r="F102" s="456"/>
    </row>
    <row r="103" spans="1:6" ht="15">
      <c r="A103" s="452" t="s">
        <v>6409</v>
      </c>
      <c r="B103" s="453" t="s">
        <v>6410</v>
      </c>
      <c r="C103" s="454">
        <v>6</v>
      </c>
      <c r="D103" s="454">
        <v>750</v>
      </c>
      <c r="E103" s="455">
        <v>144</v>
      </c>
      <c r="F103" s="456"/>
    </row>
    <row r="104" spans="1:6" ht="15">
      <c r="A104" s="452" t="s">
        <v>6411</v>
      </c>
      <c r="B104" s="453" t="s">
        <v>6412</v>
      </c>
      <c r="C104" s="454">
        <v>6</v>
      </c>
      <c r="D104" s="454">
        <v>750</v>
      </c>
      <c r="E104" s="455">
        <v>180</v>
      </c>
      <c r="F104" s="456"/>
    </row>
    <row r="105" spans="1:6" ht="19">
      <c r="A105" s="765" t="s">
        <v>6413</v>
      </c>
      <c r="B105" s="761"/>
      <c r="C105" s="761"/>
      <c r="D105" s="761"/>
      <c r="E105" s="762"/>
      <c r="F105" s="450"/>
    </row>
    <row r="106" spans="1:6" ht="16">
      <c r="A106" s="767" t="s">
        <v>6414</v>
      </c>
      <c r="B106" s="761"/>
      <c r="C106" s="768"/>
      <c r="D106" s="761"/>
      <c r="E106" s="762"/>
      <c r="F106" s="458"/>
    </row>
    <row r="107" spans="1:6" ht="15">
      <c r="A107" s="452" t="s">
        <v>5405</v>
      </c>
      <c r="B107" s="453" t="s">
        <v>6415</v>
      </c>
      <c r="C107" s="454">
        <v>24</v>
      </c>
      <c r="D107" s="454">
        <v>355</v>
      </c>
      <c r="E107" s="455">
        <v>56</v>
      </c>
      <c r="F107" s="456"/>
    </row>
    <row r="108" spans="1:6" ht="15">
      <c r="A108" s="452" t="s">
        <v>6416</v>
      </c>
      <c r="B108" s="453" t="s">
        <v>6417</v>
      </c>
      <c r="C108" s="454">
        <v>12</v>
      </c>
      <c r="D108" s="454">
        <v>375</v>
      </c>
      <c r="E108" s="455">
        <v>186</v>
      </c>
      <c r="F108" s="456"/>
    </row>
    <row r="109" spans="1:6" ht="15">
      <c r="A109" s="452" t="s">
        <v>6418</v>
      </c>
      <c r="B109" s="453" t="s">
        <v>6417</v>
      </c>
      <c r="C109" s="454">
        <v>6</v>
      </c>
      <c r="D109" s="454">
        <v>750</v>
      </c>
      <c r="E109" s="455">
        <v>150</v>
      </c>
      <c r="F109" s="456"/>
    </row>
    <row r="110" spans="1:6" ht="19">
      <c r="A110" s="765" t="s">
        <v>6419</v>
      </c>
      <c r="B110" s="761"/>
      <c r="C110" s="761"/>
      <c r="D110" s="761"/>
      <c r="E110" s="762"/>
      <c r="F110" s="450"/>
    </row>
    <row r="111" spans="1:6" ht="16">
      <c r="A111" s="767" t="s">
        <v>6420</v>
      </c>
      <c r="B111" s="761"/>
      <c r="C111" s="761"/>
      <c r="D111" s="761"/>
      <c r="E111" s="762"/>
      <c r="F111" s="457"/>
    </row>
    <row r="112" spans="1:6" ht="15">
      <c r="A112" s="452" t="s">
        <v>6421</v>
      </c>
      <c r="B112" s="453" t="s">
        <v>6422</v>
      </c>
      <c r="C112" s="454">
        <v>12</v>
      </c>
      <c r="D112" s="454">
        <v>500</v>
      </c>
      <c r="E112" s="455">
        <v>230</v>
      </c>
      <c r="F112" s="456"/>
    </row>
    <row r="113" spans="1:6" ht="14">
      <c r="A113" s="478"/>
      <c r="B113" s="478"/>
      <c r="C113" s="478"/>
      <c r="D113" s="478"/>
      <c r="E113" s="478"/>
      <c r="F113" s="478"/>
    </row>
  </sheetData>
  <mergeCells count="53">
    <mergeCell ref="A106:B106"/>
    <mergeCell ref="C106:E106"/>
    <mergeCell ref="A110:E110"/>
    <mergeCell ref="A111:E111"/>
    <mergeCell ref="A87:B87"/>
    <mergeCell ref="C87:E87"/>
    <mergeCell ref="A92:E92"/>
    <mergeCell ref="A98:E98"/>
    <mergeCell ref="A99:B99"/>
    <mergeCell ref="C99:E99"/>
    <mergeCell ref="A105:E105"/>
    <mergeCell ref="A71:E71"/>
    <mergeCell ref="A75:E75"/>
    <mergeCell ref="A76:E76"/>
    <mergeCell ref="A79:E79"/>
    <mergeCell ref="A86:E86"/>
    <mergeCell ref="A58:E58"/>
    <mergeCell ref="C59:E59"/>
    <mergeCell ref="A61:E61"/>
    <mergeCell ref="C62:E62"/>
    <mergeCell ref="A67:E67"/>
    <mergeCell ref="A48:E48"/>
    <mergeCell ref="A49:E49"/>
    <mergeCell ref="A51:E51"/>
    <mergeCell ref="A52:E52"/>
    <mergeCell ref="C53:E53"/>
    <mergeCell ref="A41:E41"/>
    <mergeCell ref="A42:B42"/>
    <mergeCell ref="C42:E42"/>
    <mergeCell ref="A44:E44"/>
    <mergeCell ref="A45:B45"/>
    <mergeCell ref="C45:E45"/>
    <mergeCell ref="A32:E32"/>
    <mergeCell ref="A33:B33"/>
    <mergeCell ref="C33:E33"/>
    <mergeCell ref="A37:E37"/>
    <mergeCell ref="A38:B38"/>
    <mergeCell ref="C38:E38"/>
    <mergeCell ref="A23:E23"/>
    <mergeCell ref="A26:E26"/>
    <mergeCell ref="A27:E27"/>
    <mergeCell ref="A28:E28"/>
    <mergeCell ref="A29:E29"/>
    <mergeCell ref="A7:E7"/>
    <mergeCell ref="A8:B8"/>
    <mergeCell ref="C8:E8"/>
    <mergeCell ref="A21:E21"/>
    <mergeCell ref="A22:E22"/>
    <mergeCell ref="A1:E1"/>
    <mergeCell ref="A2:E2"/>
    <mergeCell ref="A3:E3"/>
    <mergeCell ref="A4:E4"/>
    <mergeCell ref="A5:E5"/>
  </mergeCells>
  <hyperlinks>
    <hyperlink ref="A23" r:id="rId1" xr:uid="{00000000-0004-0000-0500-000000000000}"/>
    <hyperlink ref="A29" r:id="rId2" xr:uid="{00000000-0004-0000-0500-000001000000}"/>
    <hyperlink ref="A33" r:id="rId3" xr:uid="{00000000-0004-0000-0500-000002000000}"/>
    <hyperlink ref="C33" r:id="rId4" xr:uid="{00000000-0004-0000-0500-000003000000}"/>
    <hyperlink ref="A38" r:id="rId5" xr:uid="{00000000-0004-0000-0500-000004000000}"/>
    <hyperlink ref="A42" r:id="rId6" xr:uid="{00000000-0004-0000-0500-000005000000}"/>
    <hyperlink ref="A45" r:id="rId7" xr:uid="{00000000-0004-0000-0500-000006000000}"/>
    <hyperlink ref="A99" r:id="rId8" xr:uid="{00000000-0004-0000-0500-000007000000}"/>
    <hyperlink ref="A106" r:id="rId9" xr:uid="{00000000-0004-0000-0500-000008000000}"/>
    <hyperlink ref="A111" r:id="rId10" xr:uid="{00000000-0004-0000-0500-000009000000}"/>
  </hyperlinks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I104"/>
  <sheetViews>
    <sheetView workbookViewId="0"/>
  </sheetViews>
  <sheetFormatPr baseColWidth="10" defaultColWidth="12.6640625" defaultRowHeight="15.75" customHeight="1"/>
  <cols>
    <col min="1" max="1" width="16.6640625" customWidth="1"/>
    <col min="2" max="2" width="41.1640625" customWidth="1"/>
    <col min="3" max="3" width="51.1640625" customWidth="1"/>
    <col min="4" max="4" width="8" customWidth="1"/>
    <col min="5" max="6" width="7.83203125" customWidth="1"/>
    <col min="7" max="7" width="8" customWidth="1"/>
    <col min="8" max="8" width="7.6640625" customWidth="1"/>
    <col min="9" max="9" width="7.83203125" customWidth="1"/>
  </cols>
  <sheetData>
    <row r="1" spans="1:9" ht="16">
      <c r="A1" s="778" t="s">
        <v>6423</v>
      </c>
      <c r="B1" s="689"/>
      <c r="C1" s="689"/>
      <c r="D1" s="689"/>
      <c r="E1" s="689"/>
      <c r="F1" s="689"/>
      <c r="G1" s="689"/>
      <c r="H1" s="689"/>
      <c r="I1" s="690"/>
    </row>
    <row r="2" spans="1:9" ht="13">
      <c r="A2" s="779"/>
      <c r="B2" s="780"/>
      <c r="C2" s="780"/>
      <c r="D2" s="780"/>
      <c r="E2" s="780"/>
      <c r="F2" s="780"/>
      <c r="G2" s="780"/>
      <c r="H2" s="780"/>
      <c r="I2" s="781"/>
    </row>
    <row r="3" spans="1:9" ht="13">
      <c r="A3" s="782"/>
      <c r="B3" s="725"/>
      <c r="C3" s="725"/>
      <c r="D3" s="725"/>
      <c r="E3" s="725"/>
      <c r="F3" s="725"/>
      <c r="G3" s="725"/>
      <c r="H3" s="725"/>
      <c r="I3" s="783"/>
    </row>
    <row r="4" spans="1:9" ht="13">
      <c r="A4" s="782"/>
      <c r="B4" s="725"/>
      <c r="C4" s="725"/>
      <c r="D4" s="725"/>
      <c r="E4" s="725"/>
      <c r="F4" s="725"/>
      <c r="G4" s="725"/>
      <c r="H4" s="725"/>
      <c r="I4" s="783"/>
    </row>
    <row r="5" spans="1:9" ht="13">
      <c r="A5" s="782"/>
      <c r="B5" s="725"/>
      <c r="C5" s="725"/>
      <c r="D5" s="725"/>
      <c r="E5" s="725"/>
      <c r="F5" s="725"/>
      <c r="G5" s="725"/>
      <c r="H5" s="725"/>
      <c r="I5" s="783"/>
    </row>
    <row r="6" spans="1:9" ht="13">
      <c r="A6" s="782"/>
      <c r="B6" s="725"/>
      <c r="C6" s="725"/>
      <c r="D6" s="725"/>
      <c r="E6" s="725"/>
      <c r="F6" s="725"/>
      <c r="G6" s="725"/>
      <c r="H6" s="725"/>
      <c r="I6" s="783"/>
    </row>
    <row r="7" spans="1:9" ht="13">
      <c r="A7" s="782"/>
      <c r="B7" s="725"/>
      <c r="C7" s="725"/>
      <c r="D7" s="725"/>
      <c r="E7" s="725"/>
      <c r="F7" s="725"/>
      <c r="G7" s="725"/>
      <c r="H7" s="725"/>
      <c r="I7" s="783"/>
    </row>
    <row r="8" spans="1:9" ht="13">
      <c r="A8" s="782"/>
      <c r="B8" s="725"/>
      <c r="C8" s="725"/>
      <c r="D8" s="725"/>
      <c r="E8" s="725"/>
      <c r="F8" s="725"/>
      <c r="G8" s="725"/>
      <c r="H8" s="725"/>
      <c r="I8" s="783"/>
    </row>
    <row r="9" spans="1:9" ht="13">
      <c r="A9" s="782"/>
      <c r="B9" s="725"/>
      <c r="C9" s="725"/>
      <c r="D9" s="725"/>
      <c r="E9" s="725"/>
      <c r="F9" s="725"/>
      <c r="G9" s="725"/>
      <c r="H9" s="725"/>
      <c r="I9" s="783"/>
    </row>
    <row r="10" spans="1:9" ht="13">
      <c r="A10" s="784"/>
      <c r="B10" s="703"/>
      <c r="C10" s="703"/>
      <c r="D10" s="703"/>
      <c r="E10" s="703"/>
      <c r="F10" s="703"/>
      <c r="G10" s="703"/>
      <c r="H10" s="703"/>
      <c r="I10" s="704"/>
    </row>
    <row r="11" spans="1:9" ht="16" hidden="1">
      <c r="A11" s="776" t="s">
        <v>5844</v>
      </c>
      <c r="B11" s="776" t="s">
        <v>6424</v>
      </c>
      <c r="C11" s="776" t="s">
        <v>6425</v>
      </c>
      <c r="D11" s="776" t="s">
        <v>6426</v>
      </c>
      <c r="E11" s="776" t="s">
        <v>6427</v>
      </c>
      <c r="F11" s="776" t="s">
        <v>6428</v>
      </c>
      <c r="G11" s="776" t="s">
        <v>6429</v>
      </c>
      <c r="H11" s="479"/>
      <c r="I11" s="776" t="s">
        <v>6430</v>
      </c>
    </row>
    <row r="12" spans="1:9" ht="16" hidden="1">
      <c r="A12" s="777"/>
      <c r="B12" s="777"/>
      <c r="C12" s="777"/>
      <c r="D12" s="777"/>
      <c r="E12" s="777"/>
      <c r="F12" s="777"/>
      <c r="G12" s="777"/>
      <c r="H12" s="479"/>
      <c r="I12" s="777"/>
    </row>
    <row r="13" spans="1:9" ht="30">
      <c r="A13" s="785" t="s">
        <v>3716</v>
      </c>
      <c r="B13" s="689"/>
      <c r="C13" s="689"/>
      <c r="D13" s="689"/>
      <c r="E13" s="689"/>
      <c r="F13" s="689"/>
      <c r="G13" s="689"/>
      <c r="H13" s="689"/>
      <c r="I13" s="690"/>
    </row>
    <row r="14" spans="1:9" ht="23">
      <c r="A14" s="786" t="s">
        <v>6431</v>
      </c>
      <c r="B14" s="703"/>
      <c r="C14" s="703"/>
      <c r="D14" s="703"/>
      <c r="E14" s="703"/>
      <c r="F14" s="703"/>
      <c r="G14" s="703"/>
      <c r="H14" s="703"/>
      <c r="I14" s="704"/>
    </row>
    <row r="15" spans="1:9" ht="18">
      <c r="A15" s="787" t="s">
        <v>6432</v>
      </c>
      <c r="B15" s="689"/>
      <c r="C15" s="689"/>
      <c r="D15" s="689"/>
      <c r="E15" s="689"/>
      <c r="F15" s="689"/>
      <c r="G15" s="689"/>
      <c r="H15" s="689"/>
      <c r="I15" s="690"/>
    </row>
    <row r="16" spans="1:9" ht="13">
      <c r="A16" s="480" t="s">
        <v>6433</v>
      </c>
      <c r="B16" s="481" t="s">
        <v>6434</v>
      </c>
      <c r="C16" s="11" t="s">
        <v>6435</v>
      </c>
      <c r="D16" s="481" t="s">
        <v>5</v>
      </c>
      <c r="E16" s="482">
        <v>12</v>
      </c>
      <c r="F16" s="481" t="s">
        <v>3710</v>
      </c>
      <c r="G16" s="483">
        <v>198</v>
      </c>
      <c r="H16" s="484"/>
      <c r="I16" s="485"/>
    </row>
    <row r="17" spans="1:9" ht="13">
      <c r="A17" s="480" t="s">
        <v>6194</v>
      </c>
      <c r="B17" s="481" t="s">
        <v>6436</v>
      </c>
      <c r="C17" s="11" t="s">
        <v>6435</v>
      </c>
      <c r="D17" s="481" t="s">
        <v>5</v>
      </c>
      <c r="E17" s="482">
        <v>12</v>
      </c>
      <c r="F17" s="481" t="s">
        <v>3710</v>
      </c>
      <c r="G17" s="483">
        <v>192</v>
      </c>
      <c r="H17" s="486"/>
      <c r="I17" s="485"/>
    </row>
    <row r="18" spans="1:9" ht="13">
      <c r="A18" s="480" t="s">
        <v>5707</v>
      </c>
      <c r="B18" s="481" t="s">
        <v>6437</v>
      </c>
      <c r="C18" s="11" t="s">
        <v>6435</v>
      </c>
      <c r="D18" s="481" t="s">
        <v>5</v>
      </c>
      <c r="E18" s="482">
        <v>6</v>
      </c>
      <c r="F18" s="481" t="s">
        <v>6438</v>
      </c>
      <c r="G18" s="483">
        <v>192</v>
      </c>
      <c r="H18" s="486"/>
      <c r="I18" s="487"/>
    </row>
    <row r="19" spans="1:9" ht="13">
      <c r="A19" s="480" t="s">
        <v>6190</v>
      </c>
      <c r="B19" s="481" t="s">
        <v>6439</v>
      </c>
      <c r="C19" s="11" t="s">
        <v>6440</v>
      </c>
      <c r="D19" s="481" t="s">
        <v>5</v>
      </c>
      <c r="E19" s="482">
        <v>12</v>
      </c>
      <c r="F19" s="481" t="s">
        <v>3710</v>
      </c>
      <c r="G19" s="483">
        <v>216</v>
      </c>
      <c r="H19" s="488"/>
      <c r="I19" s="485">
        <v>1</v>
      </c>
    </row>
    <row r="20" spans="1:9" ht="13">
      <c r="A20" s="480" t="s">
        <v>6441</v>
      </c>
      <c r="B20" s="481" t="s">
        <v>6442</v>
      </c>
      <c r="C20" s="11" t="s">
        <v>6443</v>
      </c>
      <c r="D20" s="481" t="s">
        <v>5</v>
      </c>
      <c r="E20" s="482">
        <v>12</v>
      </c>
      <c r="F20" s="481" t="s">
        <v>3710</v>
      </c>
      <c r="G20" s="483">
        <v>198</v>
      </c>
      <c r="H20" s="488"/>
      <c r="I20" s="485"/>
    </row>
    <row r="21" spans="1:9" ht="13">
      <c r="A21" s="480" t="s">
        <v>6444</v>
      </c>
      <c r="B21" s="481" t="s">
        <v>6445</v>
      </c>
      <c r="C21" s="489" t="s">
        <v>6446</v>
      </c>
      <c r="D21" s="481" t="s">
        <v>5</v>
      </c>
      <c r="E21" s="482">
        <v>12</v>
      </c>
      <c r="F21" s="481" t="s">
        <v>3710</v>
      </c>
      <c r="G21" s="483">
        <v>144</v>
      </c>
      <c r="H21" s="488"/>
      <c r="I21" s="490"/>
    </row>
    <row r="22" spans="1:9" ht="13">
      <c r="A22" s="480" t="s">
        <v>5710</v>
      </c>
      <c r="B22" s="481" t="s">
        <v>6447</v>
      </c>
      <c r="C22" s="11" t="s">
        <v>6448</v>
      </c>
      <c r="D22" s="481" t="s">
        <v>5</v>
      </c>
      <c r="E22" s="482">
        <v>12</v>
      </c>
      <c r="F22" s="481" t="s">
        <v>3710</v>
      </c>
      <c r="G22" s="483">
        <v>228</v>
      </c>
      <c r="H22" s="488"/>
      <c r="I22" s="485"/>
    </row>
    <row r="23" spans="1:9" ht="13">
      <c r="A23" s="480" t="s">
        <v>6449</v>
      </c>
      <c r="B23" s="481" t="s">
        <v>6450</v>
      </c>
      <c r="C23" s="11" t="s">
        <v>6448</v>
      </c>
      <c r="D23" s="481" t="s">
        <v>5</v>
      </c>
      <c r="E23" s="482">
        <v>6</v>
      </c>
      <c r="F23" s="481" t="s">
        <v>6438</v>
      </c>
      <c r="G23" s="483">
        <v>228</v>
      </c>
      <c r="H23" s="486"/>
      <c r="I23" s="491"/>
    </row>
    <row r="24" spans="1:9" ht="13">
      <c r="A24" s="480" t="s">
        <v>6192</v>
      </c>
      <c r="B24" s="481" t="s">
        <v>6451</v>
      </c>
      <c r="C24" s="11" t="s">
        <v>6452</v>
      </c>
      <c r="D24" s="481" t="s">
        <v>5</v>
      </c>
      <c r="E24" s="482">
        <v>12</v>
      </c>
      <c r="F24" s="481" t="s">
        <v>3710</v>
      </c>
      <c r="G24" s="483">
        <v>450</v>
      </c>
      <c r="H24" s="486"/>
      <c r="I24" s="491"/>
    </row>
    <row r="25" spans="1:9" ht="18">
      <c r="A25" s="787" t="s">
        <v>6453</v>
      </c>
      <c r="B25" s="689"/>
      <c r="C25" s="689"/>
      <c r="D25" s="689"/>
      <c r="E25" s="689"/>
      <c r="F25" s="689"/>
      <c r="G25" s="689"/>
      <c r="H25" s="689"/>
      <c r="I25" s="690"/>
    </row>
    <row r="26" spans="1:9" ht="13">
      <c r="A26" s="481" t="s">
        <v>5660</v>
      </c>
      <c r="B26" s="481" t="s">
        <v>6454</v>
      </c>
      <c r="C26" s="11" t="s">
        <v>6455</v>
      </c>
      <c r="D26" s="481" t="s">
        <v>5</v>
      </c>
      <c r="E26" s="482">
        <v>12</v>
      </c>
      <c r="F26" s="481" t="s">
        <v>3829</v>
      </c>
      <c r="G26" s="483">
        <v>156</v>
      </c>
      <c r="H26" s="492"/>
      <c r="I26" s="485"/>
    </row>
    <row r="27" spans="1:9" ht="13">
      <c r="A27" s="481" t="s">
        <v>5663</v>
      </c>
      <c r="B27" s="481" t="s">
        <v>6456</v>
      </c>
      <c r="C27" s="11" t="s">
        <v>6455</v>
      </c>
      <c r="D27" s="481" t="s">
        <v>5</v>
      </c>
      <c r="E27" s="482">
        <v>12</v>
      </c>
      <c r="F27" s="481" t="s">
        <v>3710</v>
      </c>
      <c r="G27" s="483">
        <v>216</v>
      </c>
      <c r="H27" s="492"/>
      <c r="I27" s="485"/>
    </row>
    <row r="28" spans="1:9" ht="13">
      <c r="A28" s="481" t="s">
        <v>5654</v>
      </c>
      <c r="B28" s="481" t="s">
        <v>6457</v>
      </c>
      <c r="C28" s="11" t="s">
        <v>6458</v>
      </c>
      <c r="D28" s="481" t="s">
        <v>5</v>
      </c>
      <c r="E28" s="482">
        <v>12</v>
      </c>
      <c r="F28" s="481" t="s">
        <v>3710</v>
      </c>
      <c r="G28" s="483">
        <v>192</v>
      </c>
      <c r="H28" s="488"/>
      <c r="I28" s="485">
        <v>1</v>
      </c>
    </row>
    <row r="29" spans="1:9" ht="13">
      <c r="A29" s="481" t="s">
        <v>5665</v>
      </c>
      <c r="B29" s="481" t="s">
        <v>6459</v>
      </c>
      <c r="C29" s="11" t="s">
        <v>6460</v>
      </c>
      <c r="D29" s="481" t="s">
        <v>5</v>
      </c>
      <c r="E29" s="482">
        <v>12</v>
      </c>
      <c r="F29" s="481" t="s">
        <v>3710</v>
      </c>
      <c r="G29" s="483">
        <v>216</v>
      </c>
      <c r="H29" s="488"/>
      <c r="I29" s="485">
        <v>1</v>
      </c>
    </row>
    <row r="30" spans="1:9" ht="13">
      <c r="A30" s="481" t="s">
        <v>6461</v>
      </c>
      <c r="B30" s="481" t="s">
        <v>6462</v>
      </c>
      <c r="C30" s="11" t="s">
        <v>6460</v>
      </c>
      <c r="D30" s="481" t="s">
        <v>5</v>
      </c>
      <c r="E30" s="482">
        <v>6</v>
      </c>
      <c r="F30" s="481" t="s">
        <v>6438</v>
      </c>
      <c r="G30" s="483">
        <v>228</v>
      </c>
      <c r="H30" s="488"/>
      <c r="I30" s="485">
        <v>1</v>
      </c>
    </row>
    <row r="31" spans="1:9" ht="13">
      <c r="A31" s="480" t="s">
        <v>5658</v>
      </c>
      <c r="B31" s="481" t="s">
        <v>6463</v>
      </c>
      <c r="C31" s="11" t="s">
        <v>6464</v>
      </c>
      <c r="D31" s="481">
        <v>1990</v>
      </c>
      <c r="E31" s="482">
        <v>6</v>
      </c>
      <c r="F31" s="481" t="s">
        <v>3710</v>
      </c>
      <c r="G31" s="483">
        <v>390</v>
      </c>
      <c r="H31" s="486"/>
      <c r="I31" s="491"/>
    </row>
    <row r="32" spans="1:9" ht="23">
      <c r="A32" s="788" t="s">
        <v>6465</v>
      </c>
      <c r="B32" s="689"/>
      <c r="C32" s="689"/>
      <c r="D32" s="689"/>
      <c r="E32" s="689"/>
      <c r="F32" s="689"/>
      <c r="G32" s="689"/>
      <c r="H32" s="689"/>
      <c r="I32" s="690"/>
    </row>
    <row r="33" spans="1:9" ht="18">
      <c r="A33" s="787" t="s">
        <v>6466</v>
      </c>
      <c r="B33" s="689"/>
      <c r="C33" s="689"/>
      <c r="D33" s="689"/>
      <c r="E33" s="689"/>
      <c r="F33" s="689"/>
      <c r="G33" s="689"/>
      <c r="H33" s="689"/>
      <c r="I33" s="690"/>
    </row>
    <row r="34" spans="1:9" ht="13">
      <c r="A34" s="480" t="s">
        <v>6179</v>
      </c>
      <c r="B34" s="481" t="s">
        <v>6467</v>
      </c>
      <c r="C34" s="11" t="s">
        <v>6468</v>
      </c>
      <c r="D34" s="481" t="s">
        <v>5</v>
      </c>
      <c r="E34" s="482">
        <v>12</v>
      </c>
      <c r="F34" s="481" t="s">
        <v>3710</v>
      </c>
      <c r="G34" s="483">
        <v>180</v>
      </c>
      <c r="H34" s="486"/>
      <c r="I34" s="493"/>
    </row>
    <row r="35" spans="1:9" ht="13">
      <c r="A35" s="481" t="s">
        <v>5668</v>
      </c>
      <c r="B35" s="481" t="s">
        <v>6469</v>
      </c>
      <c r="C35" s="11" t="s">
        <v>6470</v>
      </c>
      <c r="D35" s="481" t="s">
        <v>5</v>
      </c>
      <c r="E35" s="482">
        <v>12</v>
      </c>
      <c r="F35" s="481" t="s">
        <v>3710</v>
      </c>
      <c r="G35" s="483">
        <v>162</v>
      </c>
      <c r="H35" s="486"/>
      <c r="I35" s="485">
        <v>1</v>
      </c>
    </row>
    <row r="36" spans="1:9" ht="13">
      <c r="A36" s="481" t="s">
        <v>6181</v>
      </c>
      <c r="B36" s="481" t="s">
        <v>6471</v>
      </c>
      <c r="C36" s="11" t="s">
        <v>6470</v>
      </c>
      <c r="D36" s="481" t="s">
        <v>5</v>
      </c>
      <c r="E36" s="482">
        <v>6</v>
      </c>
      <c r="F36" s="481" t="s">
        <v>6438</v>
      </c>
      <c r="G36" s="483">
        <v>162</v>
      </c>
      <c r="H36" s="486"/>
      <c r="I36" s="485">
        <v>1</v>
      </c>
    </row>
    <row r="37" spans="1:9" ht="18">
      <c r="A37" s="787" t="s">
        <v>6472</v>
      </c>
      <c r="B37" s="689"/>
      <c r="C37" s="689"/>
      <c r="D37" s="689"/>
      <c r="E37" s="689"/>
      <c r="F37" s="689"/>
      <c r="G37" s="689"/>
      <c r="H37" s="689"/>
      <c r="I37" s="690"/>
    </row>
    <row r="38" spans="1:9" ht="13">
      <c r="A38" s="480" t="s">
        <v>5651</v>
      </c>
      <c r="B38" s="481" t="s">
        <v>6473</v>
      </c>
      <c r="C38" s="11" t="s">
        <v>6474</v>
      </c>
      <c r="D38" s="481" t="s">
        <v>5</v>
      </c>
      <c r="E38" s="482">
        <v>12</v>
      </c>
      <c r="F38" s="481" t="s">
        <v>564</v>
      </c>
      <c r="G38" s="483">
        <v>144</v>
      </c>
      <c r="H38" s="486"/>
      <c r="I38" s="491"/>
    </row>
    <row r="39" spans="1:9" ht="23">
      <c r="A39" s="788" t="s">
        <v>6475</v>
      </c>
      <c r="B39" s="689"/>
      <c r="C39" s="689"/>
      <c r="D39" s="689"/>
      <c r="E39" s="689"/>
      <c r="F39" s="689"/>
      <c r="G39" s="689"/>
      <c r="H39" s="689"/>
      <c r="I39" s="690"/>
    </row>
    <row r="40" spans="1:9" ht="18">
      <c r="A40" s="787" t="s">
        <v>6476</v>
      </c>
      <c r="B40" s="689"/>
      <c r="C40" s="689"/>
      <c r="D40" s="689"/>
      <c r="E40" s="689"/>
      <c r="F40" s="689"/>
      <c r="G40" s="689"/>
      <c r="H40" s="689"/>
      <c r="I40" s="690"/>
    </row>
    <row r="41" spans="1:9" ht="13">
      <c r="A41" s="480" t="s">
        <v>5685</v>
      </c>
      <c r="B41" s="481" t="s">
        <v>6477</v>
      </c>
      <c r="C41" s="11" t="s">
        <v>6478</v>
      </c>
      <c r="D41" s="481" t="s">
        <v>5</v>
      </c>
      <c r="E41" s="482">
        <v>12</v>
      </c>
      <c r="F41" s="481" t="s">
        <v>3710</v>
      </c>
      <c r="G41" s="483">
        <v>216</v>
      </c>
      <c r="H41" s="484"/>
      <c r="I41" s="485">
        <v>1</v>
      </c>
    </row>
    <row r="42" spans="1:9" ht="13">
      <c r="A42" s="480" t="s">
        <v>6479</v>
      </c>
      <c r="B42" s="481" t="s">
        <v>6477</v>
      </c>
      <c r="C42" s="11" t="s">
        <v>6478</v>
      </c>
      <c r="D42" s="481" t="s">
        <v>5</v>
      </c>
      <c r="E42" s="482">
        <v>6</v>
      </c>
      <c r="F42" s="481" t="s">
        <v>6438</v>
      </c>
      <c r="G42" s="483">
        <v>216</v>
      </c>
      <c r="H42" s="486"/>
      <c r="I42" s="487"/>
    </row>
    <row r="43" spans="1:9" ht="13">
      <c r="A43" s="480" t="s">
        <v>5681</v>
      </c>
      <c r="B43" s="481" t="s">
        <v>6480</v>
      </c>
      <c r="C43" s="11" t="s">
        <v>6481</v>
      </c>
      <c r="D43" s="481" t="s">
        <v>5</v>
      </c>
      <c r="E43" s="482">
        <v>12</v>
      </c>
      <c r="F43" s="481" t="s">
        <v>3710</v>
      </c>
      <c r="G43" s="483">
        <v>312</v>
      </c>
      <c r="H43" s="484"/>
      <c r="I43" s="485">
        <v>1</v>
      </c>
    </row>
    <row r="44" spans="1:9" ht="13">
      <c r="A44" s="480" t="s">
        <v>6188</v>
      </c>
      <c r="B44" s="481" t="s">
        <v>6482</v>
      </c>
      <c r="C44" s="11" t="s">
        <v>6481</v>
      </c>
      <c r="D44" s="481" t="s">
        <v>5</v>
      </c>
      <c r="E44" s="482">
        <v>6</v>
      </c>
      <c r="F44" s="481" t="s">
        <v>6438</v>
      </c>
      <c r="G44" s="483">
        <v>264</v>
      </c>
      <c r="H44" s="486"/>
      <c r="I44" s="487"/>
    </row>
    <row r="45" spans="1:9" ht="23">
      <c r="A45" s="788" t="s">
        <v>6483</v>
      </c>
      <c r="B45" s="689"/>
      <c r="C45" s="689"/>
      <c r="D45" s="689"/>
      <c r="E45" s="689"/>
      <c r="F45" s="689"/>
      <c r="G45" s="689"/>
      <c r="H45" s="689"/>
      <c r="I45" s="690"/>
    </row>
    <row r="46" spans="1:9" ht="18">
      <c r="A46" s="787" t="s">
        <v>6484</v>
      </c>
      <c r="B46" s="689"/>
      <c r="C46" s="689"/>
      <c r="D46" s="689"/>
      <c r="E46" s="689"/>
      <c r="F46" s="689"/>
      <c r="G46" s="689"/>
      <c r="H46" s="689"/>
      <c r="I46" s="690"/>
    </row>
    <row r="47" spans="1:9" ht="13">
      <c r="A47" s="480" t="s">
        <v>6176</v>
      </c>
      <c r="B47" s="481" t="s">
        <v>6485</v>
      </c>
      <c r="C47" s="11" t="s">
        <v>6486</v>
      </c>
      <c r="D47" s="481">
        <v>2021</v>
      </c>
      <c r="E47" s="482">
        <v>12</v>
      </c>
      <c r="F47" s="481" t="s">
        <v>3710</v>
      </c>
      <c r="G47" s="483">
        <v>186</v>
      </c>
      <c r="H47" s="486"/>
      <c r="I47" s="487"/>
    </row>
    <row r="48" spans="1:9" ht="13">
      <c r="A48" s="480" t="s">
        <v>6487</v>
      </c>
      <c r="B48" s="481" t="s">
        <v>6488</v>
      </c>
      <c r="C48" s="11" t="s">
        <v>6486</v>
      </c>
      <c r="D48" s="481">
        <v>2021</v>
      </c>
      <c r="E48" s="482">
        <v>6</v>
      </c>
      <c r="F48" s="481" t="s">
        <v>6438</v>
      </c>
      <c r="G48" s="483">
        <v>186</v>
      </c>
      <c r="H48" s="486"/>
      <c r="I48" s="487"/>
    </row>
    <row r="49" spans="1:9" ht="13">
      <c r="A49" s="480" t="s">
        <v>6489</v>
      </c>
      <c r="B49" s="481" t="s">
        <v>6490</v>
      </c>
      <c r="C49" s="11" t="s">
        <v>6491</v>
      </c>
      <c r="D49" s="481" t="s">
        <v>5</v>
      </c>
      <c r="E49" s="482">
        <v>12</v>
      </c>
      <c r="F49" s="481" t="s">
        <v>3710</v>
      </c>
      <c r="G49" s="483">
        <v>240</v>
      </c>
      <c r="H49" s="486"/>
      <c r="I49" s="485">
        <v>1</v>
      </c>
    </row>
    <row r="50" spans="1:9" ht="13">
      <c r="A50" s="480" t="s">
        <v>5649</v>
      </c>
      <c r="B50" s="481" t="s">
        <v>6492</v>
      </c>
      <c r="C50" s="11" t="s">
        <v>6491</v>
      </c>
      <c r="D50" s="481" t="s">
        <v>5</v>
      </c>
      <c r="E50" s="482">
        <v>6</v>
      </c>
      <c r="F50" s="481" t="s">
        <v>6438</v>
      </c>
      <c r="G50" s="483">
        <v>210</v>
      </c>
      <c r="H50" s="486"/>
      <c r="I50" s="485">
        <v>1</v>
      </c>
    </row>
    <row r="51" spans="1:9" ht="13">
      <c r="A51" s="480" t="s">
        <v>5645</v>
      </c>
      <c r="B51" s="481" t="s">
        <v>6493</v>
      </c>
      <c r="C51" s="11" t="s">
        <v>6486</v>
      </c>
      <c r="D51" s="481" t="s">
        <v>5</v>
      </c>
      <c r="E51" s="482">
        <v>12</v>
      </c>
      <c r="F51" s="481" t="s">
        <v>3710</v>
      </c>
      <c r="G51" s="483">
        <v>228</v>
      </c>
      <c r="H51" s="484"/>
      <c r="I51" s="491"/>
    </row>
    <row r="52" spans="1:9" ht="13">
      <c r="A52" s="480" t="s">
        <v>5642</v>
      </c>
      <c r="B52" s="494" t="s">
        <v>6494</v>
      </c>
      <c r="C52" s="11" t="s">
        <v>6486</v>
      </c>
      <c r="D52" s="481" t="s">
        <v>5</v>
      </c>
      <c r="E52" s="482">
        <v>6</v>
      </c>
      <c r="F52" s="481" t="s">
        <v>6438</v>
      </c>
      <c r="G52" s="483">
        <v>219</v>
      </c>
      <c r="H52" s="484"/>
      <c r="I52" s="491"/>
    </row>
    <row r="53" spans="1:9" ht="13">
      <c r="A53" s="480" t="s">
        <v>6175</v>
      </c>
      <c r="B53" s="481" t="s">
        <v>6495</v>
      </c>
      <c r="C53" s="11" t="s">
        <v>6486</v>
      </c>
      <c r="D53" s="481">
        <v>2018</v>
      </c>
      <c r="E53" s="482">
        <v>12</v>
      </c>
      <c r="F53" s="481" t="s">
        <v>3710</v>
      </c>
      <c r="G53" s="483">
        <v>300</v>
      </c>
      <c r="H53" s="486"/>
      <c r="I53" s="493"/>
    </row>
    <row r="54" spans="1:9" ht="13">
      <c r="A54" s="480" t="s">
        <v>5647</v>
      </c>
      <c r="B54" s="481" t="s">
        <v>6496</v>
      </c>
      <c r="C54" s="11" t="s">
        <v>6486</v>
      </c>
      <c r="D54" s="481">
        <v>2017</v>
      </c>
      <c r="E54" s="482">
        <v>6</v>
      </c>
      <c r="F54" s="481" t="s">
        <v>6438</v>
      </c>
      <c r="G54" s="483">
        <v>300</v>
      </c>
      <c r="H54" s="486"/>
      <c r="I54" s="485">
        <v>1</v>
      </c>
    </row>
    <row r="55" spans="1:9" ht="13">
      <c r="A55" s="480" t="s">
        <v>5639</v>
      </c>
      <c r="B55" s="481" t="s">
        <v>6497</v>
      </c>
      <c r="C55" s="11" t="s">
        <v>6498</v>
      </c>
      <c r="D55" s="481" t="s">
        <v>5</v>
      </c>
      <c r="E55" s="482">
        <v>12</v>
      </c>
      <c r="F55" s="481" t="s">
        <v>3710</v>
      </c>
      <c r="G55" s="483">
        <v>462</v>
      </c>
      <c r="H55" s="484"/>
      <c r="I55" s="493"/>
    </row>
    <row r="56" spans="1:9" ht="23">
      <c r="A56" s="788" t="s">
        <v>6499</v>
      </c>
      <c r="B56" s="689"/>
      <c r="C56" s="689"/>
      <c r="D56" s="689"/>
      <c r="E56" s="689"/>
      <c r="F56" s="689"/>
      <c r="G56" s="689"/>
      <c r="H56" s="689"/>
      <c r="I56" s="690"/>
    </row>
    <row r="57" spans="1:9" ht="18">
      <c r="A57" s="787" t="s">
        <v>6500</v>
      </c>
      <c r="B57" s="689"/>
      <c r="C57" s="689"/>
      <c r="D57" s="689"/>
      <c r="E57" s="689"/>
      <c r="F57" s="689"/>
      <c r="G57" s="689"/>
      <c r="H57" s="689"/>
      <c r="I57" s="690"/>
    </row>
    <row r="58" spans="1:9" ht="13">
      <c r="A58" s="481" t="s">
        <v>6186</v>
      </c>
      <c r="B58" s="481" t="s">
        <v>6501</v>
      </c>
      <c r="C58" s="11" t="s">
        <v>6502</v>
      </c>
      <c r="D58" s="481" t="s">
        <v>5</v>
      </c>
      <c r="E58" s="482">
        <v>12</v>
      </c>
      <c r="F58" s="481" t="s">
        <v>3710</v>
      </c>
      <c r="G58" s="483">
        <v>192</v>
      </c>
      <c r="H58" s="486"/>
      <c r="I58" s="485">
        <v>1</v>
      </c>
    </row>
    <row r="59" spans="1:9" ht="13">
      <c r="A59" s="481" t="s">
        <v>5671</v>
      </c>
      <c r="B59" s="481" t="s">
        <v>6503</v>
      </c>
      <c r="C59" s="11" t="s">
        <v>6502</v>
      </c>
      <c r="D59" s="481" t="s">
        <v>5</v>
      </c>
      <c r="E59" s="482">
        <v>6</v>
      </c>
      <c r="F59" s="481" t="s">
        <v>6438</v>
      </c>
      <c r="G59" s="483">
        <v>192</v>
      </c>
      <c r="H59" s="486"/>
      <c r="I59" s="491"/>
    </row>
    <row r="60" spans="1:9" ht="13">
      <c r="A60" s="481" t="s">
        <v>5679</v>
      </c>
      <c r="B60" s="481" t="s">
        <v>6504</v>
      </c>
      <c r="C60" s="11" t="s">
        <v>6505</v>
      </c>
      <c r="D60" s="481" t="s">
        <v>5</v>
      </c>
      <c r="E60" s="482">
        <v>12</v>
      </c>
      <c r="F60" s="481" t="s">
        <v>3710</v>
      </c>
      <c r="G60" s="483">
        <v>192</v>
      </c>
      <c r="H60" s="486"/>
      <c r="I60" s="485">
        <v>1</v>
      </c>
    </row>
    <row r="61" spans="1:9" ht="13">
      <c r="A61" s="481" t="s">
        <v>6182</v>
      </c>
      <c r="B61" s="481" t="s">
        <v>6506</v>
      </c>
      <c r="C61" s="11" t="s">
        <v>6507</v>
      </c>
      <c r="D61" s="481" t="s">
        <v>5</v>
      </c>
      <c r="E61" s="482">
        <v>12</v>
      </c>
      <c r="F61" s="481" t="s">
        <v>3710</v>
      </c>
      <c r="G61" s="483">
        <v>198</v>
      </c>
      <c r="H61" s="486"/>
      <c r="I61" s="485">
        <v>1</v>
      </c>
    </row>
    <row r="62" spans="1:9" ht="13">
      <c r="A62" s="481" t="s">
        <v>6183</v>
      </c>
      <c r="B62" s="481" t="s">
        <v>6508</v>
      </c>
      <c r="C62" s="11" t="s">
        <v>6509</v>
      </c>
      <c r="D62" s="481" t="s">
        <v>5</v>
      </c>
      <c r="E62" s="482">
        <v>20</v>
      </c>
      <c r="F62" s="481" t="s">
        <v>564</v>
      </c>
      <c r="G62" s="483">
        <v>390</v>
      </c>
      <c r="H62" s="486"/>
      <c r="I62" s="487"/>
    </row>
    <row r="63" spans="1:9" ht="23">
      <c r="A63" s="788" t="s">
        <v>6510</v>
      </c>
      <c r="B63" s="689"/>
      <c r="C63" s="689"/>
      <c r="D63" s="689"/>
      <c r="E63" s="689"/>
      <c r="F63" s="689"/>
      <c r="G63" s="689"/>
      <c r="H63" s="689"/>
      <c r="I63" s="690"/>
    </row>
    <row r="64" spans="1:9" ht="18">
      <c r="A64" s="789" t="s">
        <v>6511</v>
      </c>
      <c r="B64" s="689"/>
      <c r="C64" s="689"/>
      <c r="D64" s="689"/>
      <c r="E64" s="689"/>
      <c r="F64" s="689"/>
      <c r="G64" s="689"/>
      <c r="H64" s="689"/>
      <c r="I64" s="690"/>
    </row>
    <row r="65" spans="1:9" ht="13">
      <c r="A65" s="495" t="s">
        <v>6512</v>
      </c>
      <c r="B65" s="496" t="s">
        <v>6513</v>
      </c>
      <c r="C65" s="497" t="s">
        <v>6468</v>
      </c>
      <c r="D65" s="496" t="s">
        <v>5</v>
      </c>
      <c r="E65" s="498">
        <v>12</v>
      </c>
      <c r="F65" s="496" t="s">
        <v>3710</v>
      </c>
      <c r="G65" s="483">
        <v>180</v>
      </c>
      <c r="H65" s="484"/>
      <c r="I65" s="499"/>
    </row>
    <row r="66" spans="1:9" ht="13">
      <c r="A66" s="495" t="s">
        <v>5691</v>
      </c>
      <c r="B66" s="496" t="s">
        <v>6514</v>
      </c>
      <c r="C66" s="497" t="s">
        <v>6515</v>
      </c>
      <c r="D66" s="496" t="s">
        <v>5</v>
      </c>
      <c r="E66" s="498">
        <v>12</v>
      </c>
      <c r="F66" s="496" t="s">
        <v>3710</v>
      </c>
      <c r="G66" s="483">
        <v>192</v>
      </c>
      <c r="H66" s="486"/>
      <c r="I66" s="499"/>
    </row>
    <row r="67" spans="1:9" ht="13">
      <c r="A67" s="495" t="s">
        <v>5693</v>
      </c>
      <c r="B67" s="496" t="s">
        <v>6516</v>
      </c>
      <c r="C67" s="497" t="s">
        <v>6517</v>
      </c>
      <c r="D67" s="496" t="s">
        <v>5</v>
      </c>
      <c r="E67" s="498">
        <v>12</v>
      </c>
      <c r="F67" s="496" t="s">
        <v>3710</v>
      </c>
      <c r="G67" s="483">
        <v>168</v>
      </c>
      <c r="H67" s="484"/>
      <c r="I67" s="499"/>
    </row>
    <row r="68" spans="1:9" ht="13">
      <c r="A68" s="495" t="s">
        <v>5695</v>
      </c>
      <c r="B68" s="496" t="s">
        <v>6518</v>
      </c>
      <c r="C68" s="497" t="s">
        <v>6517</v>
      </c>
      <c r="D68" s="496" t="s">
        <v>5</v>
      </c>
      <c r="E68" s="498">
        <v>30</v>
      </c>
      <c r="F68" s="496" t="s">
        <v>5697</v>
      </c>
      <c r="G68" s="483">
        <v>120</v>
      </c>
      <c r="H68" s="484"/>
      <c r="I68" s="499"/>
    </row>
    <row r="69" spans="1:9" ht="13">
      <c r="A69" s="495" t="s">
        <v>5688</v>
      </c>
      <c r="B69" s="496" t="s">
        <v>6519</v>
      </c>
      <c r="C69" s="497" t="s">
        <v>6520</v>
      </c>
      <c r="D69" s="496" t="s">
        <v>5</v>
      </c>
      <c r="E69" s="498">
        <v>12</v>
      </c>
      <c r="F69" s="496" t="s">
        <v>3710</v>
      </c>
      <c r="G69" s="483">
        <v>300</v>
      </c>
      <c r="H69" s="484"/>
      <c r="I69" s="499"/>
    </row>
    <row r="70" spans="1:9" ht="18">
      <c r="A70" s="787" t="s">
        <v>6521</v>
      </c>
      <c r="B70" s="689"/>
      <c r="C70" s="689"/>
      <c r="D70" s="689"/>
      <c r="E70" s="689"/>
      <c r="F70" s="689"/>
      <c r="G70" s="689"/>
      <c r="H70" s="689"/>
      <c r="I70" s="690"/>
    </row>
    <row r="71" spans="1:9" ht="13">
      <c r="A71" s="481" t="s">
        <v>6522</v>
      </c>
      <c r="B71" s="500" t="s">
        <v>6523</v>
      </c>
      <c r="C71" s="11" t="s">
        <v>6524</v>
      </c>
      <c r="D71" s="481" t="s">
        <v>5</v>
      </c>
      <c r="E71" s="482">
        <v>12</v>
      </c>
      <c r="F71" s="481" t="s">
        <v>3710</v>
      </c>
      <c r="G71" s="483">
        <v>210</v>
      </c>
      <c r="H71" s="484"/>
      <c r="I71" s="485"/>
    </row>
    <row r="72" spans="1:9" ht="13">
      <c r="A72" s="481" t="s">
        <v>5712</v>
      </c>
      <c r="B72" s="500" t="s">
        <v>6525</v>
      </c>
      <c r="C72" s="11" t="s">
        <v>6524</v>
      </c>
      <c r="D72" s="481" t="s">
        <v>5</v>
      </c>
      <c r="E72" s="482">
        <v>12</v>
      </c>
      <c r="F72" s="481" t="s">
        <v>3710</v>
      </c>
      <c r="G72" s="483">
        <v>228</v>
      </c>
      <c r="H72" s="484"/>
      <c r="I72" s="485"/>
    </row>
    <row r="73" spans="1:9" ht="13">
      <c r="A73" s="481" t="s">
        <v>6526</v>
      </c>
      <c r="B73" s="500" t="s">
        <v>6527</v>
      </c>
      <c r="C73" s="11" t="s">
        <v>6524</v>
      </c>
      <c r="D73" s="481" t="s">
        <v>5</v>
      </c>
      <c r="E73" s="482">
        <v>6</v>
      </c>
      <c r="F73" s="481" t="s">
        <v>6438</v>
      </c>
      <c r="G73" s="483">
        <v>237</v>
      </c>
      <c r="H73" s="484"/>
      <c r="I73" s="485"/>
    </row>
    <row r="74" spans="1:9" ht="13">
      <c r="A74" s="481" t="s">
        <v>5719</v>
      </c>
      <c r="B74" s="481" t="s">
        <v>6528</v>
      </c>
      <c r="C74" s="11" t="s">
        <v>6529</v>
      </c>
      <c r="D74" s="481" t="s">
        <v>5</v>
      </c>
      <c r="E74" s="482">
        <v>12</v>
      </c>
      <c r="F74" s="481" t="s">
        <v>3710</v>
      </c>
      <c r="G74" s="483">
        <v>216</v>
      </c>
      <c r="H74" s="484"/>
      <c r="I74" s="485">
        <v>1</v>
      </c>
    </row>
    <row r="75" spans="1:9" ht="13">
      <c r="A75" s="481" t="s">
        <v>5716</v>
      </c>
      <c r="B75" s="481" t="s">
        <v>6530</v>
      </c>
      <c r="C75" s="11" t="s">
        <v>6529</v>
      </c>
      <c r="D75" s="481" t="s">
        <v>5</v>
      </c>
      <c r="E75" s="482">
        <v>6</v>
      </c>
      <c r="F75" s="481" t="s">
        <v>6438</v>
      </c>
      <c r="G75" s="483">
        <v>219</v>
      </c>
      <c r="H75" s="484"/>
      <c r="I75" s="485">
        <v>1</v>
      </c>
    </row>
    <row r="76" spans="1:9" ht="13">
      <c r="A76" s="481" t="s">
        <v>6197</v>
      </c>
      <c r="B76" s="481" t="s">
        <v>6531</v>
      </c>
      <c r="C76" s="11" t="s">
        <v>6532</v>
      </c>
      <c r="D76" s="481" t="s">
        <v>5</v>
      </c>
      <c r="E76" s="482">
        <v>12</v>
      </c>
      <c r="F76" s="481" t="s">
        <v>3710</v>
      </c>
      <c r="G76" s="483">
        <v>234</v>
      </c>
      <c r="H76" s="486"/>
      <c r="I76" s="493"/>
    </row>
    <row r="77" spans="1:9" ht="13">
      <c r="A77" s="481" t="s">
        <v>6195</v>
      </c>
      <c r="B77" s="481" t="s">
        <v>6533</v>
      </c>
      <c r="C77" s="11" t="s">
        <v>6532</v>
      </c>
      <c r="D77" s="481" t="s">
        <v>5</v>
      </c>
      <c r="E77" s="482">
        <v>6</v>
      </c>
      <c r="F77" s="481" t="s">
        <v>6438</v>
      </c>
      <c r="G77" s="483">
        <v>234</v>
      </c>
      <c r="H77" s="486"/>
      <c r="I77" s="493"/>
    </row>
    <row r="78" spans="1:9" ht="23">
      <c r="A78" s="788" t="s">
        <v>6534</v>
      </c>
      <c r="B78" s="689"/>
      <c r="C78" s="689"/>
      <c r="D78" s="689"/>
      <c r="E78" s="689"/>
      <c r="F78" s="689"/>
      <c r="G78" s="689"/>
      <c r="H78" s="689"/>
      <c r="I78" s="690"/>
    </row>
    <row r="79" spans="1:9" ht="18">
      <c r="A79" s="787" t="s">
        <v>6535</v>
      </c>
      <c r="B79" s="689"/>
      <c r="C79" s="689"/>
      <c r="D79" s="689"/>
      <c r="E79" s="689"/>
      <c r="F79" s="689"/>
      <c r="G79" s="689"/>
      <c r="H79" s="689"/>
      <c r="I79" s="690"/>
    </row>
    <row r="80" spans="1:9" ht="13">
      <c r="A80" s="481" t="s">
        <v>5705</v>
      </c>
      <c r="B80" s="481" t="s">
        <v>6536</v>
      </c>
      <c r="C80" s="11" t="s">
        <v>6537</v>
      </c>
      <c r="D80" s="481" t="s">
        <v>5</v>
      </c>
      <c r="E80" s="482">
        <v>10</v>
      </c>
      <c r="F80" s="481" t="s">
        <v>3710</v>
      </c>
      <c r="G80" s="483">
        <v>160</v>
      </c>
      <c r="H80" s="486"/>
      <c r="I80" s="485">
        <v>1</v>
      </c>
    </row>
    <row r="81" spans="1:9" ht="13">
      <c r="A81" s="481" t="s">
        <v>5702</v>
      </c>
      <c r="B81" s="481" t="s">
        <v>6538</v>
      </c>
      <c r="C81" s="11" t="s">
        <v>6537</v>
      </c>
      <c r="D81" s="481" t="s">
        <v>5</v>
      </c>
      <c r="E81" s="482">
        <v>6</v>
      </c>
      <c r="F81" s="481" t="s">
        <v>6438</v>
      </c>
      <c r="G81" s="483">
        <v>180</v>
      </c>
      <c r="H81" s="486"/>
      <c r="I81" s="491"/>
    </row>
    <row r="82" spans="1:9" ht="13">
      <c r="A82" s="481" t="s">
        <v>5699</v>
      </c>
      <c r="B82" s="481" t="s">
        <v>6539</v>
      </c>
      <c r="C82" s="11" t="s">
        <v>6540</v>
      </c>
      <c r="D82" s="481" t="s">
        <v>5</v>
      </c>
      <c r="E82" s="482">
        <v>10</v>
      </c>
      <c r="F82" s="481" t="s">
        <v>3710</v>
      </c>
      <c r="G82" s="483">
        <v>200</v>
      </c>
      <c r="H82" s="486"/>
      <c r="I82" s="485">
        <v>1</v>
      </c>
    </row>
    <row r="83" spans="1:9" ht="18">
      <c r="A83" s="790"/>
      <c r="B83" s="689"/>
      <c r="C83" s="689"/>
      <c r="D83" s="689"/>
      <c r="E83" s="689"/>
      <c r="F83" s="689"/>
      <c r="G83" s="689"/>
      <c r="H83" s="689"/>
      <c r="I83" s="690"/>
    </row>
    <row r="84" spans="1:9" ht="16">
      <c r="A84" s="791" t="s">
        <v>6541</v>
      </c>
      <c r="B84" s="725"/>
      <c r="C84" s="725"/>
      <c r="D84" s="725"/>
      <c r="E84" s="725"/>
      <c r="F84" s="725"/>
      <c r="G84" s="725"/>
      <c r="H84" s="725"/>
      <c r="I84" s="725"/>
    </row>
    <row r="85" spans="1:9" ht="13">
      <c r="A85" s="792" t="s">
        <v>6542</v>
      </c>
      <c r="B85" s="725"/>
      <c r="C85" s="725"/>
      <c r="D85" s="725"/>
      <c r="E85" s="725"/>
      <c r="F85" s="725"/>
      <c r="G85" s="725"/>
      <c r="H85" s="725"/>
      <c r="I85" s="725"/>
    </row>
    <row r="86" spans="1:9" ht="13">
      <c r="A86" s="793" t="s">
        <v>6543</v>
      </c>
      <c r="B86" s="725"/>
      <c r="C86" s="725"/>
      <c r="D86" s="725"/>
      <c r="E86" s="725"/>
      <c r="F86" s="725"/>
      <c r="G86" s="725"/>
      <c r="H86" s="725"/>
      <c r="I86" s="725"/>
    </row>
    <row r="87" spans="1:9" ht="13">
      <c r="A87" s="792" t="s">
        <v>6544</v>
      </c>
      <c r="B87" s="725"/>
      <c r="C87" s="725"/>
      <c r="D87" s="725"/>
      <c r="E87" s="725"/>
      <c r="F87" s="725"/>
      <c r="G87" s="725"/>
      <c r="H87" s="725"/>
      <c r="I87" s="725"/>
    </row>
    <row r="88" spans="1:9" ht="13">
      <c r="A88" s="793" t="s">
        <v>6545</v>
      </c>
      <c r="B88" s="725"/>
      <c r="C88" s="725"/>
      <c r="D88" s="725"/>
      <c r="E88" s="725"/>
      <c r="F88" s="725"/>
      <c r="G88" s="725"/>
      <c r="H88" s="725"/>
      <c r="I88" s="725"/>
    </row>
    <row r="89" spans="1:9" ht="13">
      <c r="A89" s="792" t="s">
        <v>6546</v>
      </c>
      <c r="B89" s="725"/>
      <c r="C89" s="725"/>
      <c r="D89" s="725"/>
      <c r="E89" s="725"/>
      <c r="F89" s="725"/>
      <c r="G89" s="725"/>
      <c r="H89" s="725"/>
      <c r="I89" s="725"/>
    </row>
    <row r="90" spans="1:9" ht="13">
      <c r="A90" s="793" t="s">
        <v>6547</v>
      </c>
      <c r="B90" s="725"/>
      <c r="C90" s="725"/>
      <c r="D90" s="725"/>
      <c r="E90" s="725"/>
      <c r="F90" s="725"/>
      <c r="G90" s="725"/>
      <c r="H90" s="725"/>
      <c r="I90" s="725"/>
    </row>
    <row r="91" spans="1:9" ht="13">
      <c r="A91" s="792" t="s">
        <v>6548</v>
      </c>
      <c r="B91" s="725"/>
      <c r="C91" s="725"/>
      <c r="D91" s="725"/>
      <c r="E91" s="725"/>
      <c r="F91" s="725"/>
      <c r="G91" s="725"/>
      <c r="H91" s="725"/>
      <c r="I91" s="725"/>
    </row>
    <row r="92" spans="1:9" ht="13">
      <c r="A92" s="793" t="s">
        <v>6549</v>
      </c>
      <c r="B92" s="725"/>
      <c r="C92" s="725"/>
      <c r="D92" s="725"/>
      <c r="E92" s="725"/>
      <c r="F92" s="725"/>
      <c r="G92" s="725"/>
      <c r="H92" s="725"/>
      <c r="I92" s="725"/>
    </row>
    <row r="93" spans="1:9" ht="13">
      <c r="A93" s="792" t="s">
        <v>6550</v>
      </c>
      <c r="B93" s="725"/>
      <c r="C93" s="725"/>
      <c r="D93" s="725"/>
      <c r="E93" s="725"/>
      <c r="F93" s="725"/>
      <c r="G93" s="725"/>
      <c r="H93" s="725"/>
      <c r="I93" s="725"/>
    </row>
    <row r="94" spans="1:9" ht="13">
      <c r="A94" s="793" t="s">
        <v>6551</v>
      </c>
      <c r="B94" s="725"/>
      <c r="C94" s="725"/>
      <c r="D94" s="725"/>
      <c r="E94" s="725"/>
      <c r="F94" s="725"/>
      <c r="G94" s="725"/>
      <c r="H94" s="725"/>
      <c r="I94" s="725"/>
    </row>
    <row r="95" spans="1:9" ht="13">
      <c r="A95" s="792" t="s">
        <v>6552</v>
      </c>
      <c r="B95" s="725"/>
      <c r="C95" s="725"/>
      <c r="D95" s="725"/>
      <c r="E95" s="725"/>
      <c r="F95" s="725"/>
      <c r="G95" s="725"/>
      <c r="H95" s="725"/>
      <c r="I95" s="725"/>
    </row>
    <row r="96" spans="1:9" ht="13">
      <c r="A96" s="793" t="s">
        <v>6553</v>
      </c>
      <c r="B96" s="725"/>
      <c r="C96" s="725"/>
      <c r="D96" s="725"/>
      <c r="E96" s="725"/>
      <c r="F96" s="725"/>
      <c r="G96" s="725"/>
      <c r="H96" s="725"/>
      <c r="I96" s="725"/>
    </row>
    <row r="97" spans="1:9" ht="13">
      <c r="A97" s="792" t="s">
        <v>6554</v>
      </c>
      <c r="B97" s="725"/>
      <c r="C97" s="725"/>
      <c r="D97" s="725"/>
      <c r="E97" s="725"/>
      <c r="F97" s="725"/>
      <c r="G97" s="725"/>
      <c r="H97" s="725"/>
      <c r="I97" s="725"/>
    </row>
    <row r="98" spans="1:9" ht="13">
      <c r="A98" s="793" t="s">
        <v>6555</v>
      </c>
      <c r="B98" s="725"/>
      <c r="C98" s="725"/>
      <c r="D98" s="725"/>
      <c r="E98" s="725"/>
      <c r="F98" s="725"/>
      <c r="G98" s="725"/>
      <c r="H98" s="725"/>
      <c r="I98" s="725"/>
    </row>
    <row r="99" spans="1:9" ht="18">
      <c r="A99" s="790"/>
      <c r="B99" s="689"/>
      <c r="C99" s="689"/>
      <c r="D99" s="689"/>
      <c r="E99" s="689"/>
      <c r="F99" s="689"/>
      <c r="G99" s="689"/>
      <c r="H99" s="689"/>
      <c r="I99" s="690"/>
    </row>
    <row r="100" spans="1:9" ht="13">
      <c r="A100" s="794" t="s">
        <v>6556</v>
      </c>
      <c r="B100" s="725"/>
      <c r="C100" s="725"/>
      <c r="D100" s="725"/>
      <c r="E100" s="725"/>
      <c r="F100" s="725"/>
      <c r="G100" s="725"/>
      <c r="H100" s="725"/>
      <c r="I100" s="725"/>
    </row>
    <row r="101" spans="1:9" ht="13">
      <c r="A101" s="795" t="s">
        <v>3948</v>
      </c>
      <c r="B101" s="725"/>
      <c r="C101" s="725"/>
      <c r="D101" s="725"/>
      <c r="E101" s="725"/>
      <c r="F101" s="725"/>
      <c r="G101" s="725"/>
      <c r="H101" s="725"/>
      <c r="I101" s="725"/>
    </row>
    <row r="102" spans="1:9" ht="13">
      <c r="A102" s="796" t="s">
        <v>3949</v>
      </c>
      <c r="B102" s="725"/>
      <c r="C102" s="725"/>
      <c r="D102" s="725"/>
      <c r="E102" s="725"/>
      <c r="F102" s="725"/>
      <c r="G102" s="725"/>
      <c r="H102" s="725"/>
      <c r="I102" s="725"/>
    </row>
    <row r="103" spans="1:9" ht="13">
      <c r="A103" s="797" t="s">
        <v>3950</v>
      </c>
      <c r="B103" s="725"/>
      <c r="C103" s="725"/>
      <c r="D103" s="725"/>
      <c r="E103" s="725"/>
      <c r="F103" s="725"/>
      <c r="G103" s="725"/>
      <c r="H103" s="725"/>
      <c r="I103" s="725"/>
    </row>
    <row r="104" spans="1:9" ht="13">
      <c r="A104" s="798" t="s">
        <v>6557</v>
      </c>
      <c r="B104" s="725"/>
      <c r="C104" s="725"/>
      <c r="D104" s="725"/>
      <c r="E104" s="725"/>
      <c r="F104" s="725"/>
      <c r="G104" s="725"/>
      <c r="H104" s="725"/>
      <c r="I104" s="725"/>
    </row>
  </sheetData>
  <mergeCells count="50">
    <mergeCell ref="A102:I102"/>
    <mergeCell ref="A103:I103"/>
    <mergeCell ref="A104:I104"/>
    <mergeCell ref="A92:I92"/>
    <mergeCell ref="A93:I93"/>
    <mergeCell ref="A94:I94"/>
    <mergeCell ref="A95:I95"/>
    <mergeCell ref="A96:I96"/>
    <mergeCell ref="A97:I97"/>
    <mergeCell ref="A98:I98"/>
    <mergeCell ref="A90:I90"/>
    <mergeCell ref="A91:I91"/>
    <mergeCell ref="A99:I99"/>
    <mergeCell ref="A100:I100"/>
    <mergeCell ref="A101:I101"/>
    <mergeCell ref="A85:I85"/>
    <mergeCell ref="A86:I86"/>
    <mergeCell ref="A87:I87"/>
    <mergeCell ref="A88:I88"/>
    <mergeCell ref="A89:I89"/>
    <mergeCell ref="A70:I70"/>
    <mergeCell ref="A78:I78"/>
    <mergeCell ref="A79:I79"/>
    <mergeCell ref="A83:I83"/>
    <mergeCell ref="A84:I84"/>
    <mergeCell ref="A46:I46"/>
    <mergeCell ref="A56:I56"/>
    <mergeCell ref="A57:I57"/>
    <mergeCell ref="A63:I63"/>
    <mergeCell ref="A64:I64"/>
    <mergeCell ref="A33:I33"/>
    <mergeCell ref="A37:I37"/>
    <mergeCell ref="A39:I39"/>
    <mergeCell ref="A40:I40"/>
    <mergeCell ref="A45:I45"/>
    <mergeCell ref="A13:I13"/>
    <mergeCell ref="A14:I14"/>
    <mergeCell ref="A15:I15"/>
    <mergeCell ref="A25:I25"/>
    <mergeCell ref="A32:I32"/>
    <mergeCell ref="F11:F12"/>
    <mergeCell ref="G11:G12"/>
    <mergeCell ref="A1:I1"/>
    <mergeCell ref="A2:I10"/>
    <mergeCell ref="A11:A12"/>
    <mergeCell ref="B11:B12"/>
    <mergeCell ref="C11:C12"/>
    <mergeCell ref="D11:D12"/>
    <mergeCell ref="E11:E12"/>
    <mergeCell ref="I11:I12"/>
  </mergeCells>
  <hyperlinks>
    <hyperlink ref="A84" r:id="rId1" xr:uid="{00000000-0004-0000-0600-000000000000}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I163"/>
  <sheetViews>
    <sheetView workbookViewId="0"/>
  </sheetViews>
  <sheetFormatPr baseColWidth="10" defaultColWidth="12.6640625" defaultRowHeight="15.75" customHeight="1"/>
  <cols>
    <col min="1" max="1" width="17.5" customWidth="1"/>
    <col min="2" max="2" width="38.83203125" customWidth="1"/>
    <col min="3" max="3" width="45.1640625" customWidth="1"/>
    <col min="4" max="4" width="8.83203125" customWidth="1"/>
    <col min="5" max="5" width="8.5" customWidth="1"/>
    <col min="6" max="7" width="8.6640625" customWidth="1"/>
    <col min="8" max="8" width="10.1640625" customWidth="1"/>
    <col min="9" max="9" width="10" customWidth="1"/>
  </cols>
  <sheetData>
    <row r="1" spans="1:9" ht="16">
      <c r="A1" s="778" t="s">
        <v>6558</v>
      </c>
      <c r="B1" s="689"/>
      <c r="C1" s="689"/>
      <c r="D1" s="689"/>
      <c r="E1" s="689"/>
      <c r="F1" s="689"/>
      <c r="G1" s="689"/>
      <c r="H1" s="689"/>
      <c r="I1" s="690"/>
    </row>
    <row r="2" spans="1:9" ht="13">
      <c r="A2" s="779"/>
      <c r="B2" s="780"/>
      <c r="C2" s="780"/>
      <c r="D2" s="780"/>
      <c r="E2" s="780"/>
      <c r="F2" s="780"/>
      <c r="G2" s="780"/>
      <c r="H2" s="780"/>
      <c r="I2" s="781"/>
    </row>
    <row r="3" spans="1:9" ht="13">
      <c r="A3" s="782"/>
      <c r="B3" s="725"/>
      <c r="C3" s="725"/>
      <c r="D3" s="725"/>
      <c r="E3" s="725"/>
      <c r="F3" s="725"/>
      <c r="G3" s="725"/>
      <c r="H3" s="725"/>
      <c r="I3" s="783"/>
    </row>
    <row r="4" spans="1:9" ht="13">
      <c r="A4" s="782"/>
      <c r="B4" s="725"/>
      <c r="C4" s="725"/>
      <c r="D4" s="725"/>
      <c r="E4" s="725"/>
      <c r="F4" s="725"/>
      <c r="G4" s="725"/>
      <c r="H4" s="725"/>
      <c r="I4" s="783"/>
    </row>
    <row r="5" spans="1:9" ht="13">
      <c r="A5" s="782"/>
      <c r="B5" s="725"/>
      <c r="C5" s="725"/>
      <c r="D5" s="725"/>
      <c r="E5" s="725"/>
      <c r="F5" s="725"/>
      <c r="G5" s="725"/>
      <c r="H5" s="725"/>
      <c r="I5" s="783"/>
    </row>
    <row r="6" spans="1:9" ht="13">
      <c r="A6" s="782"/>
      <c r="B6" s="725"/>
      <c r="C6" s="725"/>
      <c r="D6" s="725"/>
      <c r="E6" s="725"/>
      <c r="F6" s="725"/>
      <c r="G6" s="725"/>
      <c r="H6" s="725"/>
      <c r="I6" s="783"/>
    </row>
    <row r="7" spans="1:9" ht="13">
      <c r="A7" s="782"/>
      <c r="B7" s="725"/>
      <c r="C7" s="725"/>
      <c r="D7" s="725"/>
      <c r="E7" s="725"/>
      <c r="F7" s="725"/>
      <c r="G7" s="725"/>
      <c r="H7" s="725"/>
      <c r="I7" s="783"/>
    </row>
    <row r="8" spans="1:9" ht="13">
      <c r="A8" s="782"/>
      <c r="B8" s="725"/>
      <c r="C8" s="725"/>
      <c r="D8" s="725"/>
      <c r="E8" s="725"/>
      <c r="F8" s="725"/>
      <c r="G8" s="725"/>
      <c r="H8" s="725"/>
      <c r="I8" s="783"/>
    </row>
    <row r="9" spans="1:9" ht="13">
      <c r="A9" s="782"/>
      <c r="B9" s="725"/>
      <c r="C9" s="725"/>
      <c r="D9" s="725"/>
      <c r="E9" s="725"/>
      <c r="F9" s="725"/>
      <c r="G9" s="725"/>
      <c r="H9" s="725"/>
      <c r="I9" s="783"/>
    </row>
    <row r="10" spans="1:9" ht="13">
      <c r="A10" s="782"/>
      <c r="B10" s="725"/>
      <c r="C10" s="725"/>
      <c r="D10" s="725"/>
      <c r="E10" s="725"/>
      <c r="F10" s="725"/>
      <c r="G10" s="725"/>
      <c r="H10" s="725"/>
      <c r="I10" s="783"/>
    </row>
    <row r="11" spans="1:9" ht="13">
      <c r="A11" s="782"/>
      <c r="B11" s="725"/>
      <c r="C11" s="725"/>
      <c r="D11" s="725"/>
      <c r="E11" s="725"/>
      <c r="F11" s="725"/>
      <c r="G11" s="725"/>
      <c r="H11" s="725"/>
      <c r="I11" s="783"/>
    </row>
    <row r="12" spans="1:9" ht="13">
      <c r="A12" s="782"/>
      <c r="B12" s="725"/>
      <c r="C12" s="725"/>
      <c r="D12" s="725"/>
      <c r="E12" s="725"/>
      <c r="F12" s="725"/>
      <c r="G12" s="725"/>
      <c r="H12" s="725"/>
      <c r="I12" s="783"/>
    </row>
    <row r="13" spans="1:9" ht="13">
      <c r="A13" s="782"/>
      <c r="B13" s="725"/>
      <c r="C13" s="725"/>
      <c r="D13" s="725"/>
      <c r="E13" s="725"/>
      <c r="F13" s="725"/>
      <c r="G13" s="725"/>
      <c r="H13" s="725"/>
      <c r="I13" s="783"/>
    </row>
    <row r="14" spans="1:9" ht="13">
      <c r="A14" s="782"/>
      <c r="B14" s="725"/>
      <c r="C14" s="725"/>
      <c r="D14" s="725"/>
      <c r="E14" s="725"/>
      <c r="F14" s="725"/>
      <c r="G14" s="725"/>
      <c r="H14" s="725"/>
      <c r="I14" s="783"/>
    </row>
    <row r="15" spans="1:9" ht="13">
      <c r="A15" s="784"/>
      <c r="B15" s="703"/>
      <c r="C15" s="703"/>
      <c r="D15" s="703"/>
      <c r="E15" s="703"/>
      <c r="F15" s="703"/>
      <c r="G15" s="703"/>
      <c r="H15" s="703"/>
      <c r="I15" s="704"/>
    </row>
    <row r="16" spans="1:9" ht="13" hidden="1">
      <c r="A16" s="814" t="s">
        <v>6559</v>
      </c>
      <c r="B16" s="811" t="s">
        <v>6424</v>
      </c>
      <c r="C16" s="811" t="s">
        <v>6560</v>
      </c>
      <c r="D16" s="811" t="s">
        <v>6426</v>
      </c>
      <c r="E16" s="811" t="s">
        <v>6427</v>
      </c>
      <c r="F16" s="811" t="s">
        <v>6428</v>
      </c>
      <c r="G16" s="812" t="s">
        <v>6429</v>
      </c>
      <c r="H16" s="812" t="s">
        <v>6561</v>
      </c>
      <c r="I16" s="813" t="s">
        <v>6430</v>
      </c>
    </row>
    <row r="17" spans="1:9" ht="13" hidden="1">
      <c r="A17" s="704"/>
      <c r="B17" s="777"/>
      <c r="C17" s="777"/>
      <c r="D17" s="777"/>
      <c r="E17" s="777"/>
      <c r="F17" s="777"/>
      <c r="G17" s="784"/>
      <c r="H17" s="784"/>
      <c r="I17" s="777"/>
    </row>
    <row r="18" spans="1:9" ht="33">
      <c r="A18" s="815" t="s">
        <v>0</v>
      </c>
      <c r="B18" s="689"/>
      <c r="C18" s="689"/>
      <c r="D18" s="689"/>
      <c r="E18" s="689"/>
      <c r="F18" s="689"/>
      <c r="G18" s="689"/>
      <c r="H18" s="689"/>
      <c r="I18" s="690"/>
    </row>
    <row r="19" spans="1:9" ht="23">
      <c r="A19" s="816" t="s">
        <v>578</v>
      </c>
      <c r="B19" s="703"/>
      <c r="C19" s="703"/>
      <c r="D19" s="703"/>
      <c r="E19" s="703"/>
      <c r="F19" s="703"/>
      <c r="G19" s="703"/>
      <c r="H19" s="703"/>
      <c r="I19" s="704"/>
    </row>
    <row r="20" spans="1:9" ht="18">
      <c r="A20" s="817" t="s">
        <v>6199</v>
      </c>
      <c r="B20" s="703"/>
      <c r="C20" s="703"/>
      <c r="D20" s="703"/>
      <c r="E20" s="703"/>
      <c r="F20" s="703"/>
      <c r="G20" s="703"/>
      <c r="H20" s="703"/>
      <c r="I20" s="704"/>
    </row>
    <row r="21" spans="1:9" ht="13">
      <c r="A21" s="242" t="s">
        <v>6200</v>
      </c>
      <c r="B21" s="481" t="s">
        <v>6562</v>
      </c>
      <c r="C21" s="11" t="s">
        <v>463</v>
      </c>
      <c r="D21" s="481" t="s">
        <v>5</v>
      </c>
      <c r="E21" s="482">
        <v>12</v>
      </c>
      <c r="F21" s="481" t="s">
        <v>32</v>
      </c>
      <c r="G21" s="483">
        <v>285.60000000000002</v>
      </c>
      <c r="H21" s="240"/>
      <c r="I21" s="501"/>
    </row>
    <row r="22" spans="1:9" ht="23">
      <c r="A22" s="818" t="s">
        <v>317</v>
      </c>
      <c r="B22" s="689"/>
      <c r="C22" s="689"/>
      <c r="D22" s="689"/>
      <c r="E22" s="689"/>
      <c r="F22" s="689"/>
      <c r="G22" s="689"/>
      <c r="H22" s="689"/>
      <c r="I22" s="690"/>
    </row>
    <row r="23" spans="1:9" ht="18">
      <c r="A23" s="787" t="s">
        <v>6563</v>
      </c>
      <c r="B23" s="689"/>
      <c r="C23" s="689"/>
      <c r="D23" s="689"/>
      <c r="E23" s="689"/>
      <c r="F23" s="689"/>
      <c r="G23" s="689"/>
      <c r="H23" s="689"/>
      <c r="I23" s="690"/>
    </row>
    <row r="24" spans="1:9" ht="13">
      <c r="A24" s="242" t="s">
        <v>6564</v>
      </c>
      <c r="B24" s="481" t="s">
        <v>6565</v>
      </c>
      <c r="C24" s="11" t="s">
        <v>321</v>
      </c>
      <c r="D24" s="481">
        <v>2023</v>
      </c>
      <c r="E24" s="482">
        <v>12</v>
      </c>
      <c r="F24" s="481" t="s">
        <v>32</v>
      </c>
      <c r="G24" s="483">
        <v>88.2</v>
      </c>
      <c r="H24" s="240"/>
      <c r="I24" s="501"/>
    </row>
    <row r="25" spans="1:9" ht="18">
      <c r="A25" s="787" t="s">
        <v>6212</v>
      </c>
      <c r="B25" s="689"/>
      <c r="C25" s="689"/>
      <c r="D25" s="689"/>
      <c r="E25" s="689"/>
      <c r="F25" s="689"/>
      <c r="G25" s="689"/>
      <c r="H25" s="689"/>
      <c r="I25" s="690"/>
    </row>
    <row r="26" spans="1:9" ht="13">
      <c r="A26" s="502" t="s">
        <v>6213</v>
      </c>
      <c r="B26" s="503" t="s">
        <v>6566</v>
      </c>
      <c r="C26" s="11" t="s">
        <v>360</v>
      </c>
      <c r="D26" s="504">
        <v>2020</v>
      </c>
      <c r="E26" s="505">
        <v>12</v>
      </c>
      <c r="F26" s="503" t="s">
        <v>6567</v>
      </c>
      <c r="G26" s="506">
        <v>108.6</v>
      </c>
      <c r="H26" s="507" t="s">
        <v>6568</v>
      </c>
      <c r="I26" s="487"/>
    </row>
    <row r="27" spans="1:9" ht="13">
      <c r="A27" s="502" t="s">
        <v>6569</v>
      </c>
      <c r="B27" s="503" t="s">
        <v>6570</v>
      </c>
      <c r="C27" s="11" t="s">
        <v>360</v>
      </c>
      <c r="D27" s="504">
        <v>2020</v>
      </c>
      <c r="E27" s="505">
        <v>12</v>
      </c>
      <c r="F27" s="503" t="s">
        <v>6567</v>
      </c>
      <c r="G27" s="483">
        <v>104.76</v>
      </c>
      <c r="H27" s="240"/>
      <c r="I27" s="501"/>
    </row>
    <row r="28" spans="1:9" ht="13">
      <c r="A28" s="105" t="s">
        <v>6571</v>
      </c>
      <c r="B28" s="481" t="s">
        <v>6572</v>
      </c>
      <c r="C28" s="11" t="s">
        <v>360</v>
      </c>
      <c r="D28" s="481">
        <v>2015</v>
      </c>
      <c r="E28" s="482">
        <v>12</v>
      </c>
      <c r="F28" s="481" t="s">
        <v>32</v>
      </c>
      <c r="G28" s="483">
        <v>155.4</v>
      </c>
      <c r="H28" s="240"/>
      <c r="I28" s="501"/>
    </row>
    <row r="29" spans="1:9" ht="13">
      <c r="A29" s="508" t="s">
        <v>6573</v>
      </c>
      <c r="B29" s="509" t="s">
        <v>6574</v>
      </c>
      <c r="C29" s="11" t="s">
        <v>360</v>
      </c>
      <c r="D29" s="510">
        <v>2020</v>
      </c>
      <c r="E29" s="482">
        <v>12</v>
      </c>
      <c r="F29" s="481" t="s">
        <v>32</v>
      </c>
      <c r="G29" s="483">
        <v>167.4</v>
      </c>
      <c r="H29" s="240"/>
      <c r="I29" s="511"/>
    </row>
    <row r="30" spans="1:9" ht="13">
      <c r="A30" s="105" t="s">
        <v>6575</v>
      </c>
      <c r="B30" s="481" t="s">
        <v>6576</v>
      </c>
      <c r="C30" s="11" t="s">
        <v>360</v>
      </c>
      <c r="D30" s="481">
        <v>2018</v>
      </c>
      <c r="E30" s="482">
        <v>12</v>
      </c>
      <c r="F30" s="481" t="s">
        <v>32</v>
      </c>
      <c r="G30" s="483">
        <v>167.4</v>
      </c>
      <c r="H30" s="240"/>
      <c r="I30" s="501"/>
    </row>
    <row r="31" spans="1:9" ht="13">
      <c r="A31" s="105" t="s">
        <v>6577</v>
      </c>
      <c r="B31" s="481" t="s">
        <v>6576</v>
      </c>
      <c r="C31" s="11" t="s">
        <v>360</v>
      </c>
      <c r="D31" s="481">
        <v>2014</v>
      </c>
      <c r="E31" s="482">
        <v>12</v>
      </c>
      <c r="F31" s="481" t="s">
        <v>32</v>
      </c>
      <c r="G31" s="483">
        <v>167.4</v>
      </c>
      <c r="H31" s="240"/>
      <c r="I31" s="501"/>
    </row>
    <row r="32" spans="1:9" ht="13">
      <c r="A32" s="105" t="s">
        <v>6578</v>
      </c>
      <c r="B32" s="481" t="s">
        <v>6579</v>
      </c>
      <c r="C32" s="11" t="s">
        <v>360</v>
      </c>
      <c r="D32" s="481">
        <v>2014</v>
      </c>
      <c r="E32" s="482">
        <v>12</v>
      </c>
      <c r="F32" s="481" t="s">
        <v>32</v>
      </c>
      <c r="G32" s="483">
        <v>192</v>
      </c>
      <c r="H32" s="240"/>
      <c r="I32" s="487"/>
    </row>
    <row r="33" spans="1:9" ht="13">
      <c r="A33" s="105" t="s">
        <v>6580</v>
      </c>
      <c r="B33" s="481" t="s">
        <v>6581</v>
      </c>
      <c r="C33" s="11" t="s">
        <v>360</v>
      </c>
      <c r="D33" s="481">
        <v>2015</v>
      </c>
      <c r="E33" s="482">
        <v>12</v>
      </c>
      <c r="F33" s="481" t="s">
        <v>32</v>
      </c>
      <c r="G33" s="483">
        <v>197.4</v>
      </c>
      <c r="H33" s="240"/>
      <c r="I33" s="501"/>
    </row>
    <row r="34" spans="1:9" ht="13">
      <c r="A34" s="105" t="s">
        <v>6223</v>
      </c>
      <c r="B34" s="481" t="s">
        <v>6581</v>
      </c>
      <c r="C34" s="11" t="s">
        <v>360</v>
      </c>
      <c r="D34" s="481">
        <v>2014</v>
      </c>
      <c r="E34" s="482">
        <v>12</v>
      </c>
      <c r="F34" s="481" t="s">
        <v>32</v>
      </c>
      <c r="G34" s="483">
        <v>197.4</v>
      </c>
      <c r="H34" s="240"/>
      <c r="I34" s="501"/>
    </row>
    <row r="35" spans="1:9" ht="13">
      <c r="A35" s="105" t="s">
        <v>6582</v>
      </c>
      <c r="B35" s="481" t="s">
        <v>6583</v>
      </c>
      <c r="C35" s="11" t="s">
        <v>360</v>
      </c>
      <c r="D35" s="481">
        <v>2015</v>
      </c>
      <c r="E35" s="482">
        <v>12</v>
      </c>
      <c r="F35" s="481" t="s">
        <v>32</v>
      </c>
      <c r="G35" s="483">
        <v>243</v>
      </c>
      <c r="H35" s="240"/>
      <c r="I35" s="487"/>
    </row>
    <row r="36" spans="1:9" ht="13">
      <c r="A36" s="105" t="s">
        <v>6584</v>
      </c>
      <c r="B36" s="481" t="s">
        <v>6585</v>
      </c>
      <c r="C36" s="11" t="s">
        <v>360</v>
      </c>
      <c r="D36" s="481">
        <v>2015</v>
      </c>
      <c r="E36" s="482">
        <v>12</v>
      </c>
      <c r="F36" s="481" t="s">
        <v>32</v>
      </c>
      <c r="G36" s="483">
        <v>408</v>
      </c>
      <c r="H36" s="240"/>
      <c r="I36" s="487"/>
    </row>
    <row r="37" spans="1:9" ht="18">
      <c r="A37" s="787" t="s">
        <v>6586</v>
      </c>
      <c r="B37" s="689"/>
      <c r="C37" s="689"/>
      <c r="D37" s="689"/>
      <c r="E37" s="689"/>
      <c r="F37" s="689"/>
      <c r="G37" s="689"/>
      <c r="H37" s="689"/>
      <c r="I37" s="690"/>
    </row>
    <row r="38" spans="1:9" ht="13">
      <c r="A38" s="105" t="s">
        <v>6587</v>
      </c>
      <c r="B38" s="481" t="s">
        <v>6588</v>
      </c>
      <c r="C38" s="11" t="s">
        <v>360</v>
      </c>
      <c r="D38" s="481">
        <v>2020</v>
      </c>
      <c r="E38" s="482">
        <v>12</v>
      </c>
      <c r="F38" s="481" t="s">
        <v>32</v>
      </c>
      <c r="G38" s="506">
        <v>78</v>
      </c>
      <c r="H38" s="507" t="s">
        <v>6589</v>
      </c>
      <c r="I38" s="501">
        <v>1</v>
      </c>
    </row>
    <row r="39" spans="1:9" ht="13">
      <c r="A39" s="105" t="s">
        <v>6590</v>
      </c>
      <c r="B39" s="481" t="s">
        <v>6591</v>
      </c>
      <c r="C39" s="11" t="s">
        <v>360</v>
      </c>
      <c r="D39" s="481">
        <v>2019</v>
      </c>
      <c r="E39" s="482">
        <v>12</v>
      </c>
      <c r="F39" s="481" t="s">
        <v>32</v>
      </c>
      <c r="G39" s="506">
        <v>78</v>
      </c>
      <c r="H39" s="507" t="s">
        <v>6592</v>
      </c>
      <c r="I39" s="501"/>
    </row>
    <row r="40" spans="1:9" ht="13">
      <c r="A40" s="105" t="s">
        <v>6593</v>
      </c>
      <c r="B40" s="481" t="s">
        <v>6594</v>
      </c>
      <c r="C40" s="11" t="s">
        <v>360</v>
      </c>
      <c r="D40" s="481">
        <v>2020</v>
      </c>
      <c r="E40" s="482">
        <v>12</v>
      </c>
      <c r="F40" s="481" t="s">
        <v>32</v>
      </c>
      <c r="G40" s="483">
        <v>120.24</v>
      </c>
      <c r="H40" s="240"/>
      <c r="I40" s="501">
        <v>1</v>
      </c>
    </row>
    <row r="41" spans="1:9" ht="18" hidden="1">
      <c r="A41" s="799" t="s">
        <v>6595</v>
      </c>
      <c r="B41" s="689"/>
      <c r="C41" s="689"/>
      <c r="D41" s="689"/>
      <c r="E41" s="689"/>
      <c r="F41" s="689"/>
      <c r="G41" s="689"/>
      <c r="H41" s="689"/>
      <c r="I41" s="690"/>
    </row>
    <row r="42" spans="1:9" ht="13" hidden="1">
      <c r="A42" s="242" t="s">
        <v>6262</v>
      </c>
      <c r="B42" s="512" t="s">
        <v>6596</v>
      </c>
      <c r="C42" s="11" t="s">
        <v>133</v>
      </c>
      <c r="D42" s="481">
        <v>2021</v>
      </c>
      <c r="E42" s="482">
        <v>12</v>
      </c>
      <c r="F42" s="481" t="s">
        <v>32</v>
      </c>
      <c r="G42" s="483" t="s">
        <v>1946</v>
      </c>
      <c r="H42" s="513" t="s">
        <v>6597</v>
      </c>
      <c r="I42" s="514"/>
    </row>
    <row r="43" spans="1:9" ht="18">
      <c r="A43" s="819" t="s">
        <v>6598</v>
      </c>
      <c r="B43" s="689"/>
      <c r="C43" s="689"/>
      <c r="D43" s="689"/>
      <c r="E43" s="689"/>
      <c r="F43" s="689"/>
      <c r="G43" s="689"/>
      <c r="H43" s="689"/>
      <c r="I43" s="690"/>
    </row>
    <row r="44" spans="1:9" ht="13">
      <c r="A44" s="515" t="s">
        <v>6599</v>
      </c>
      <c r="B44" s="202" t="s">
        <v>6596</v>
      </c>
      <c r="C44" s="516" t="s">
        <v>133</v>
      </c>
      <c r="D44" s="341">
        <v>2023</v>
      </c>
      <c r="E44" s="517">
        <v>12</v>
      </c>
      <c r="F44" s="202" t="s">
        <v>32</v>
      </c>
      <c r="G44" s="518">
        <v>102.6</v>
      </c>
      <c r="H44" s="519"/>
      <c r="I44" s="520"/>
    </row>
    <row r="45" spans="1:9" ht="18">
      <c r="A45" s="787" t="s">
        <v>6600</v>
      </c>
      <c r="B45" s="689"/>
      <c r="C45" s="689"/>
      <c r="D45" s="689"/>
      <c r="E45" s="689"/>
      <c r="F45" s="689"/>
      <c r="G45" s="689"/>
      <c r="H45" s="689"/>
      <c r="I45" s="690"/>
    </row>
    <row r="46" spans="1:9" ht="13">
      <c r="A46" s="242" t="s">
        <v>6601</v>
      </c>
      <c r="B46" s="481" t="s">
        <v>6602</v>
      </c>
      <c r="C46" s="11" t="s">
        <v>133</v>
      </c>
      <c r="D46" s="481" t="s">
        <v>5</v>
      </c>
      <c r="E46" s="482">
        <v>12</v>
      </c>
      <c r="F46" s="481" t="s">
        <v>32</v>
      </c>
      <c r="G46" s="483">
        <v>155.4</v>
      </c>
      <c r="H46" s="521"/>
      <c r="I46" s="522"/>
    </row>
    <row r="47" spans="1:9" ht="13">
      <c r="A47" s="242" t="s">
        <v>6603</v>
      </c>
      <c r="B47" s="481" t="s">
        <v>6604</v>
      </c>
      <c r="C47" s="11" t="s">
        <v>133</v>
      </c>
      <c r="D47" s="481">
        <v>2022</v>
      </c>
      <c r="E47" s="482">
        <v>12</v>
      </c>
      <c r="F47" s="481" t="s">
        <v>32</v>
      </c>
      <c r="G47" s="483">
        <v>120</v>
      </c>
      <c r="H47" s="101"/>
      <c r="I47" s="522"/>
    </row>
    <row r="48" spans="1:9" ht="13">
      <c r="A48" s="105" t="s">
        <v>6605</v>
      </c>
      <c r="B48" s="481" t="s">
        <v>6606</v>
      </c>
      <c r="C48" s="11" t="s">
        <v>155</v>
      </c>
      <c r="D48" s="481">
        <v>2022</v>
      </c>
      <c r="E48" s="482">
        <v>12</v>
      </c>
      <c r="F48" s="481" t="s">
        <v>32</v>
      </c>
      <c r="G48" s="483">
        <v>120</v>
      </c>
      <c r="H48" s="240"/>
      <c r="I48" s="522"/>
    </row>
    <row r="49" spans="1:9" ht="13">
      <c r="A49" s="242" t="s">
        <v>6607</v>
      </c>
      <c r="B49" s="481" t="s">
        <v>6608</v>
      </c>
      <c r="C49" s="11" t="s">
        <v>4</v>
      </c>
      <c r="D49" s="481">
        <v>2022</v>
      </c>
      <c r="E49" s="482">
        <v>12</v>
      </c>
      <c r="F49" s="481" t="s">
        <v>32</v>
      </c>
      <c r="G49" s="483">
        <v>143.4</v>
      </c>
      <c r="H49" s="101"/>
      <c r="I49" s="501">
        <v>1</v>
      </c>
    </row>
    <row r="50" spans="1:9" ht="13">
      <c r="A50" s="105" t="s">
        <v>6609</v>
      </c>
      <c r="B50" s="481" t="s">
        <v>6606</v>
      </c>
      <c r="C50" s="11" t="s">
        <v>291</v>
      </c>
      <c r="D50" s="481">
        <v>2022</v>
      </c>
      <c r="E50" s="482">
        <v>12</v>
      </c>
      <c r="F50" s="481" t="s">
        <v>32</v>
      </c>
      <c r="G50" s="483">
        <v>143.4</v>
      </c>
      <c r="H50" s="240"/>
      <c r="I50" s="522"/>
    </row>
    <row r="51" spans="1:9" ht="18">
      <c r="A51" s="787" t="s">
        <v>6610</v>
      </c>
      <c r="B51" s="689"/>
      <c r="C51" s="689"/>
      <c r="D51" s="689"/>
      <c r="E51" s="689"/>
      <c r="F51" s="689"/>
      <c r="G51" s="689"/>
      <c r="H51" s="689"/>
      <c r="I51" s="690"/>
    </row>
    <row r="52" spans="1:9" ht="13">
      <c r="A52" s="242" t="s">
        <v>6611</v>
      </c>
      <c r="B52" s="481" t="s">
        <v>6612</v>
      </c>
      <c r="C52" s="11" t="s">
        <v>9</v>
      </c>
      <c r="D52" s="481" t="s">
        <v>5</v>
      </c>
      <c r="E52" s="482">
        <v>12</v>
      </c>
      <c r="F52" s="481" t="s">
        <v>32</v>
      </c>
      <c r="G52" s="483">
        <v>162.6</v>
      </c>
      <c r="H52" s="240"/>
      <c r="I52" s="501"/>
    </row>
    <row r="53" spans="1:9" ht="13">
      <c r="A53" s="242" t="s">
        <v>6613</v>
      </c>
      <c r="B53" s="481" t="s">
        <v>6614</v>
      </c>
      <c r="C53" s="11" t="s">
        <v>9</v>
      </c>
      <c r="D53" s="481" t="s">
        <v>5</v>
      </c>
      <c r="E53" s="482">
        <v>12</v>
      </c>
      <c r="F53" s="481" t="s">
        <v>32</v>
      </c>
      <c r="G53" s="483">
        <v>187.8</v>
      </c>
      <c r="H53" s="240"/>
      <c r="I53" s="522"/>
    </row>
    <row r="54" spans="1:9" ht="13">
      <c r="A54" s="242" t="s">
        <v>6615</v>
      </c>
      <c r="B54" s="481" t="s">
        <v>6616</v>
      </c>
      <c r="C54" s="11" t="s">
        <v>9</v>
      </c>
      <c r="D54" s="481">
        <v>2023</v>
      </c>
      <c r="E54" s="482">
        <v>12</v>
      </c>
      <c r="F54" s="481" t="s">
        <v>32</v>
      </c>
      <c r="G54" s="483">
        <v>134.4</v>
      </c>
      <c r="H54" s="240"/>
      <c r="I54" s="501"/>
    </row>
    <row r="55" spans="1:9" ht="18">
      <c r="A55" s="787" t="s">
        <v>6617</v>
      </c>
      <c r="B55" s="689"/>
      <c r="C55" s="689"/>
      <c r="D55" s="689"/>
      <c r="E55" s="689"/>
      <c r="F55" s="689"/>
      <c r="G55" s="689"/>
      <c r="H55" s="689"/>
      <c r="I55" s="690"/>
    </row>
    <row r="56" spans="1:9" ht="13">
      <c r="A56" s="242" t="s">
        <v>6618</v>
      </c>
      <c r="B56" s="481" t="s">
        <v>6619</v>
      </c>
      <c r="C56" s="11" t="s">
        <v>9</v>
      </c>
      <c r="D56" s="481" t="s">
        <v>5</v>
      </c>
      <c r="E56" s="482">
        <v>12</v>
      </c>
      <c r="F56" s="481" t="s">
        <v>32</v>
      </c>
      <c r="G56" s="483">
        <v>127.2</v>
      </c>
      <c r="H56" s="240"/>
      <c r="I56" s="487"/>
    </row>
    <row r="57" spans="1:9" ht="13">
      <c r="A57" s="242" t="s">
        <v>6620</v>
      </c>
      <c r="B57" s="481" t="s">
        <v>6621</v>
      </c>
      <c r="C57" s="11" t="s">
        <v>6622</v>
      </c>
      <c r="D57" s="481">
        <v>2022</v>
      </c>
      <c r="E57" s="482">
        <v>12</v>
      </c>
      <c r="F57" s="481" t="s">
        <v>32</v>
      </c>
      <c r="G57" s="483">
        <v>107.16</v>
      </c>
      <c r="H57" s="240"/>
      <c r="I57" s="487"/>
    </row>
    <row r="58" spans="1:9" ht="13">
      <c r="A58" s="198" t="s">
        <v>6623</v>
      </c>
      <c r="B58" s="481" t="s">
        <v>6624</v>
      </c>
      <c r="C58" s="11" t="s">
        <v>291</v>
      </c>
      <c r="D58" s="481">
        <v>2023</v>
      </c>
      <c r="E58" s="482">
        <v>12</v>
      </c>
      <c r="F58" s="481" t="s">
        <v>32</v>
      </c>
      <c r="G58" s="483">
        <v>98.88</v>
      </c>
      <c r="H58" s="240"/>
      <c r="I58" s="491"/>
    </row>
    <row r="59" spans="1:9" ht="13">
      <c r="A59" s="105" t="s">
        <v>6275</v>
      </c>
      <c r="B59" s="481" t="s">
        <v>6625</v>
      </c>
      <c r="C59" s="11" t="s">
        <v>291</v>
      </c>
      <c r="D59" s="481">
        <v>2022</v>
      </c>
      <c r="E59" s="482">
        <v>12</v>
      </c>
      <c r="F59" s="481" t="s">
        <v>32</v>
      </c>
      <c r="G59" s="483">
        <v>107.16</v>
      </c>
      <c r="H59" s="240"/>
      <c r="I59" s="487"/>
    </row>
    <row r="60" spans="1:9" ht="13">
      <c r="A60" s="105" t="s">
        <v>6273</v>
      </c>
      <c r="B60" s="481" t="s">
        <v>6626</v>
      </c>
      <c r="C60" s="11" t="s">
        <v>6627</v>
      </c>
      <c r="D60" s="481">
        <v>2021</v>
      </c>
      <c r="E60" s="482">
        <v>12</v>
      </c>
      <c r="F60" s="481" t="s">
        <v>32</v>
      </c>
      <c r="G60" s="506">
        <v>84</v>
      </c>
      <c r="H60" s="507" t="s">
        <v>2634</v>
      </c>
      <c r="I60" s="491"/>
    </row>
    <row r="61" spans="1:9" ht="13">
      <c r="A61" s="105" t="s">
        <v>6277</v>
      </c>
      <c r="B61" s="481" t="s">
        <v>6628</v>
      </c>
      <c r="C61" s="11" t="s">
        <v>294</v>
      </c>
      <c r="D61" s="481">
        <v>2021</v>
      </c>
      <c r="E61" s="482">
        <v>12</v>
      </c>
      <c r="F61" s="481" t="s">
        <v>32</v>
      </c>
      <c r="G61" s="483">
        <v>108</v>
      </c>
      <c r="H61" s="240"/>
      <c r="I61" s="491"/>
    </row>
    <row r="62" spans="1:9" ht="18">
      <c r="A62" s="787" t="s">
        <v>6629</v>
      </c>
      <c r="B62" s="689"/>
      <c r="C62" s="689"/>
      <c r="D62" s="689"/>
      <c r="E62" s="689"/>
      <c r="F62" s="689"/>
      <c r="G62" s="689"/>
      <c r="H62" s="689"/>
      <c r="I62" s="690"/>
    </row>
    <row r="63" spans="1:9" ht="13">
      <c r="A63" s="242" t="s">
        <v>6630</v>
      </c>
      <c r="B63" s="481" t="s">
        <v>6631</v>
      </c>
      <c r="C63" s="11" t="s">
        <v>133</v>
      </c>
      <c r="D63" s="481">
        <v>2023</v>
      </c>
      <c r="E63" s="482">
        <v>12</v>
      </c>
      <c r="F63" s="481" t="s">
        <v>32</v>
      </c>
      <c r="G63" s="483">
        <v>184.2</v>
      </c>
      <c r="H63" s="240"/>
      <c r="I63" s="240"/>
    </row>
    <row r="64" spans="1:9" ht="18">
      <c r="A64" s="787" t="s">
        <v>6632</v>
      </c>
      <c r="B64" s="689"/>
      <c r="C64" s="689"/>
      <c r="D64" s="689"/>
      <c r="E64" s="689"/>
      <c r="F64" s="689"/>
      <c r="G64" s="689"/>
      <c r="H64" s="689"/>
      <c r="I64" s="690"/>
    </row>
    <row r="65" spans="1:9" ht="13">
      <c r="A65" s="105" t="s">
        <v>6633</v>
      </c>
      <c r="B65" s="481" t="s">
        <v>6634</v>
      </c>
      <c r="C65" s="11" t="s">
        <v>541</v>
      </c>
      <c r="D65" s="481">
        <v>2021</v>
      </c>
      <c r="E65" s="482">
        <v>12</v>
      </c>
      <c r="F65" s="481" t="s">
        <v>32</v>
      </c>
      <c r="G65" s="483">
        <v>93.6</v>
      </c>
      <c r="H65" s="240"/>
      <c r="I65" s="487"/>
    </row>
    <row r="66" spans="1:9" ht="23">
      <c r="A66" s="818" t="s">
        <v>606</v>
      </c>
      <c r="B66" s="689"/>
      <c r="C66" s="689"/>
      <c r="D66" s="689"/>
      <c r="E66" s="689"/>
      <c r="F66" s="689"/>
      <c r="G66" s="689"/>
      <c r="H66" s="689"/>
      <c r="I66" s="690"/>
    </row>
    <row r="67" spans="1:9" ht="18">
      <c r="A67" s="787" t="s">
        <v>6209</v>
      </c>
      <c r="B67" s="689"/>
      <c r="C67" s="689"/>
      <c r="D67" s="689"/>
      <c r="E67" s="689"/>
      <c r="F67" s="689"/>
      <c r="G67" s="689"/>
      <c r="H67" s="689"/>
      <c r="I67" s="690"/>
    </row>
    <row r="68" spans="1:9" ht="13">
      <c r="A68" s="242" t="s">
        <v>6635</v>
      </c>
      <c r="B68" s="481" t="s">
        <v>623</v>
      </c>
      <c r="C68" s="11" t="s">
        <v>4</v>
      </c>
      <c r="D68" s="481">
        <v>2023</v>
      </c>
      <c r="E68" s="482">
        <v>12</v>
      </c>
      <c r="F68" s="481" t="s">
        <v>32</v>
      </c>
      <c r="G68" s="483">
        <v>126</v>
      </c>
      <c r="H68" s="240"/>
      <c r="I68" s="487"/>
    </row>
    <row r="69" spans="1:9" ht="13">
      <c r="A69" s="105" t="s">
        <v>6636</v>
      </c>
      <c r="B69" s="481" t="s">
        <v>664</v>
      </c>
      <c r="C69" s="11" t="s">
        <v>463</v>
      </c>
      <c r="D69" s="481">
        <v>2023</v>
      </c>
      <c r="E69" s="482">
        <v>12</v>
      </c>
      <c r="F69" s="481" t="s">
        <v>32</v>
      </c>
      <c r="G69" s="483">
        <v>132.6</v>
      </c>
      <c r="H69" s="240"/>
      <c r="I69" s="487"/>
    </row>
    <row r="70" spans="1:9" ht="18">
      <c r="A70" s="787" t="s">
        <v>6252</v>
      </c>
      <c r="B70" s="689"/>
      <c r="C70" s="689"/>
      <c r="D70" s="689"/>
      <c r="E70" s="689"/>
      <c r="F70" s="689"/>
      <c r="G70" s="689"/>
      <c r="H70" s="689"/>
      <c r="I70" s="690"/>
    </row>
    <row r="71" spans="1:9" ht="13">
      <c r="A71" s="242" t="s">
        <v>6637</v>
      </c>
      <c r="B71" s="481" t="s">
        <v>6638</v>
      </c>
      <c r="C71" s="11" t="s">
        <v>612</v>
      </c>
      <c r="D71" s="481">
        <v>2017</v>
      </c>
      <c r="E71" s="482">
        <v>12</v>
      </c>
      <c r="F71" s="481" t="s">
        <v>32</v>
      </c>
      <c r="G71" s="483">
        <v>111.72</v>
      </c>
      <c r="H71" s="240"/>
      <c r="I71" s="487"/>
    </row>
    <row r="72" spans="1:9" ht="13">
      <c r="A72" s="502" t="s">
        <v>6639</v>
      </c>
      <c r="B72" s="523" t="s">
        <v>6254</v>
      </c>
      <c r="C72" s="11" t="s">
        <v>463</v>
      </c>
      <c r="D72" s="481">
        <v>2021</v>
      </c>
      <c r="E72" s="524">
        <v>12</v>
      </c>
      <c r="F72" s="523" t="s">
        <v>6567</v>
      </c>
      <c r="G72" s="483">
        <v>128.4</v>
      </c>
      <c r="H72" s="521"/>
      <c r="I72" s="511"/>
    </row>
    <row r="73" spans="1:9" ht="23">
      <c r="A73" s="818" t="s">
        <v>1698</v>
      </c>
      <c r="B73" s="689"/>
      <c r="C73" s="689"/>
      <c r="D73" s="689"/>
      <c r="E73" s="689"/>
      <c r="F73" s="689"/>
      <c r="G73" s="689"/>
      <c r="H73" s="689"/>
      <c r="I73" s="690"/>
    </row>
    <row r="74" spans="1:9" ht="18">
      <c r="A74" s="787" t="s">
        <v>6229</v>
      </c>
      <c r="B74" s="689"/>
      <c r="C74" s="689"/>
      <c r="D74" s="689"/>
      <c r="E74" s="689"/>
      <c r="F74" s="689"/>
      <c r="G74" s="689"/>
      <c r="H74" s="689"/>
      <c r="I74" s="690"/>
    </row>
    <row r="75" spans="1:9" ht="13">
      <c r="A75" s="105" t="s">
        <v>6230</v>
      </c>
      <c r="B75" s="481" t="s">
        <v>6640</v>
      </c>
      <c r="C75" s="11" t="s">
        <v>23</v>
      </c>
      <c r="D75" s="481">
        <v>2021</v>
      </c>
      <c r="E75" s="482">
        <v>12</v>
      </c>
      <c r="F75" s="481" t="s">
        <v>32</v>
      </c>
      <c r="G75" s="483">
        <v>86.4</v>
      </c>
      <c r="H75" s="521"/>
      <c r="I75" s="511"/>
    </row>
    <row r="76" spans="1:9" ht="23">
      <c r="A76" s="818" t="s">
        <v>6641</v>
      </c>
      <c r="B76" s="689"/>
      <c r="C76" s="689"/>
      <c r="D76" s="689"/>
      <c r="E76" s="689"/>
      <c r="F76" s="689"/>
      <c r="G76" s="689"/>
      <c r="H76" s="689"/>
      <c r="I76" s="690"/>
    </row>
    <row r="77" spans="1:9" ht="18">
      <c r="A77" s="787" t="s">
        <v>6642</v>
      </c>
      <c r="B77" s="689"/>
      <c r="C77" s="689"/>
      <c r="D77" s="689"/>
      <c r="E77" s="689"/>
      <c r="F77" s="689"/>
      <c r="G77" s="689"/>
      <c r="H77" s="689"/>
      <c r="I77" s="690"/>
    </row>
    <row r="78" spans="1:9" ht="13">
      <c r="A78" s="198" t="s">
        <v>6643</v>
      </c>
      <c r="B78" s="481" t="s">
        <v>6644</v>
      </c>
      <c r="C78" s="11" t="s">
        <v>6645</v>
      </c>
      <c r="D78" s="481">
        <v>2023</v>
      </c>
      <c r="E78" s="482">
        <v>12</v>
      </c>
      <c r="F78" s="481" t="s">
        <v>32</v>
      </c>
      <c r="G78" s="483">
        <v>70.8</v>
      </c>
      <c r="H78" s="240"/>
      <c r="I78" s="511"/>
    </row>
    <row r="79" spans="1:9" ht="23">
      <c r="A79" s="818" t="s">
        <v>2260</v>
      </c>
      <c r="B79" s="689"/>
      <c r="C79" s="689"/>
      <c r="D79" s="689"/>
      <c r="E79" s="689"/>
      <c r="F79" s="689"/>
      <c r="G79" s="689"/>
      <c r="H79" s="689"/>
      <c r="I79" s="690"/>
    </row>
    <row r="80" spans="1:9" ht="18">
      <c r="A80" s="787" t="s">
        <v>6646</v>
      </c>
      <c r="B80" s="689"/>
      <c r="C80" s="689"/>
      <c r="D80" s="689"/>
      <c r="E80" s="689"/>
      <c r="F80" s="689"/>
      <c r="G80" s="689"/>
      <c r="H80" s="689"/>
      <c r="I80" s="690"/>
    </row>
    <row r="81" spans="1:9" ht="13">
      <c r="A81" s="242" t="s">
        <v>6647</v>
      </c>
      <c r="B81" s="481" t="s">
        <v>6648</v>
      </c>
      <c r="C81" s="11" t="s">
        <v>6649</v>
      </c>
      <c r="D81" s="481">
        <v>2024</v>
      </c>
      <c r="E81" s="482">
        <v>12</v>
      </c>
      <c r="F81" s="481" t="s">
        <v>32</v>
      </c>
      <c r="G81" s="483">
        <v>70.8</v>
      </c>
      <c r="H81" s="240"/>
      <c r="I81" s="501"/>
    </row>
    <row r="82" spans="1:9" ht="18">
      <c r="A82" s="787" t="s">
        <v>6650</v>
      </c>
      <c r="B82" s="689"/>
      <c r="C82" s="689"/>
      <c r="D82" s="689"/>
      <c r="E82" s="689"/>
      <c r="F82" s="689"/>
      <c r="G82" s="689"/>
      <c r="H82" s="689"/>
      <c r="I82" s="690"/>
    </row>
    <row r="83" spans="1:9" ht="13">
      <c r="A83" s="105" t="s">
        <v>6203</v>
      </c>
      <c r="B83" s="481" t="s">
        <v>6651</v>
      </c>
      <c r="C83" s="11" t="s">
        <v>1322</v>
      </c>
      <c r="D83" s="481">
        <v>2021</v>
      </c>
      <c r="E83" s="482">
        <v>12</v>
      </c>
      <c r="F83" s="481" t="s">
        <v>32</v>
      </c>
      <c r="G83" s="483">
        <v>123</v>
      </c>
      <c r="H83" s="521"/>
      <c r="I83" s="501"/>
    </row>
    <row r="84" spans="1:9" ht="13">
      <c r="A84" s="105" t="s">
        <v>6652</v>
      </c>
      <c r="B84" s="481" t="s">
        <v>6653</v>
      </c>
      <c r="C84" s="11" t="s">
        <v>360</v>
      </c>
      <c r="D84" s="481">
        <v>2022</v>
      </c>
      <c r="E84" s="482">
        <v>12</v>
      </c>
      <c r="F84" s="481" t="s">
        <v>32</v>
      </c>
      <c r="G84" s="506">
        <v>72</v>
      </c>
      <c r="H84" s="507" t="s">
        <v>6654</v>
      </c>
      <c r="I84" s="501"/>
    </row>
    <row r="85" spans="1:9" ht="13">
      <c r="A85" s="105" t="s">
        <v>6655</v>
      </c>
      <c r="B85" s="481" t="s">
        <v>6656</v>
      </c>
      <c r="C85" s="11" t="s">
        <v>307</v>
      </c>
      <c r="D85" s="481">
        <v>2022</v>
      </c>
      <c r="E85" s="482">
        <v>12</v>
      </c>
      <c r="F85" s="481" t="s">
        <v>32</v>
      </c>
      <c r="G85" s="506">
        <v>72</v>
      </c>
      <c r="H85" s="507" t="s">
        <v>6654</v>
      </c>
      <c r="I85" s="501">
        <v>1</v>
      </c>
    </row>
    <row r="86" spans="1:9" ht="18">
      <c r="A86" s="787" t="s">
        <v>6206</v>
      </c>
      <c r="B86" s="689"/>
      <c r="C86" s="689"/>
      <c r="D86" s="689"/>
      <c r="E86" s="689"/>
      <c r="F86" s="689"/>
      <c r="G86" s="689"/>
      <c r="H86" s="689"/>
      <c r="I86" s="690"/>
    </row>
    <row r="87" spans="1:9" ht="13">
      <c r="A87" s="105" t="s">
        <v>6207</v>
      </c>
      <c r="B87" s="481" t="s">
        <v>6657</v>
      </c>
      <c r="C87" s="11" t="s">
        <v>6658</v>
      </c>
      <c r="D87" s="481">
        <v>2022</v>
      </c>
      <c r="E87" s="482">
        <v>12</v>
      </c>
      <c r="F87" s="481" t="s">
        <v>32</v>
      </c>
      <c r="G87" s="483">
        <v>85.44</v>
      </c>
      <c r="H87" s="240"/>
      <c r="I87" s="511"/>
    </row>
    <row r="88" spans="1:9" ht="18">
      <c r="A88" s="787" t="s">
        <v>6659</v>
      </c>
      <c r="B88" s="689"/>
      <c r="C88" s="689"/>
      <c r="D88" s="689"/>
      <c r="E88" s="689"/>
      <c r="F88" s="689"/>
      <c r="G88" s="689"/>
      <c r="H88" s="689"/>
      <c r="I88" s="690"/>
    </row>
    <row r="89" spans="1:9" ht="13">
      <c r="A89" s="105" t="s">
        <v>6235</v>
      </c>
      <c r="B89" s="481" t="s">
        <v>6660</v>
      </c>
      <c r="C89" s="11" t="s">
        <v>6658</v>
      </c>
      <c r="D89" s="481">
        <v>2019</v>
      </c>
      <c r="E89" s="482">
        <v>12</v>
      </c>
      <c r="F89" s="481" t="s">
        <v>32</v>
      </c>
      <c r="G89" s="483">
        <v>118.2</v>
      </c>
      <c r="H89" s="521"/>
      <c r="I89" s="491"/>
    </row>
    <row r="90" spans="1:9" ht="13">
      <c r="A90" s="105" t="s">
        <v>6661</v>
      </c>
      <c r="B90" s="481" t="s">
        <v>6662</v>
      </c>
      <c r="C90" s="11" t="s">
        <v>6658</v>
      </c>
      <c r="D90" s="481">
        <v>2019</v>
      </c>
      <c r="E90" s="482">
        <v>12</v>
      </c>
      <c r="F90" s="481" t="s">
        <v>32</v>
      </c>
      <c r="G90" s="483">
        <v>143.16</v>
      </c>
      <c r="H90" s="240"/>
      <c r="I90" s="511"/>
    </row>
    <row r="91" spans="1:9" ht="23">
      <c r="A91" s="818" t="s">
        <v>6663</v>
      </c>
      <c r="B91" s="689"/>
      <c r="C91" s="689"/>
      <c r="D91" s="689"/>
      <c r="E91" s="689"/>
      <c r="F91" s="689"/>
      <c r="G91" s="689"/>
      <c r="H91" s="689"/>
      <c r="I91" s="690"/>
    </row>
    <row r="92" spans="1:9" ht="18">
      <c r="A92" s="787" t="s">
        <v>6664</v>
      </c>
      <c r="B92" s="689"/>
      <c r="C92" s="689"/>
      <c r="D92" s="689"/>
      <c r="E92" s="689"/>
      <c r="F92" s="689"/>
      <c r="G92" s="689"/>
      <c r="H92" s="689"/>
      <c r="I92" s="690"/>
    </row>
    <row r="93" spans="1:9" ht="13">
      <c r="A93" s="242" t="s">
        <v>6256</v>
      </c>
      <c r="B93" s="481" t="s">
        <v>6665</v>
      </c>
      <c r="C93" s="11" t="s">
        <v>6666</v>
      </c>
      <c r="D93" s="481">
        <v>2021</v>
      </c>
      <c r="E93" s="482">
        <v>12</v>
      </c>
      <c r="F93" s="481" t="s">
        <v>32</v>
      </c>
      <c r="G93" s="483">
        <v>58.8</v>
      </c>
      <c r="H93" s="240"/>
      <c r="I93" s="487"/>
    </row>
    <row r="94" spans="1:9" ht="18">
      <c r="A94" s="787" t="s">
        <v>6667</v>
      </c>
      <c r="B94" s="689"/>
      <c r="C94" s="689"/>
      <c r="D94" s="689"/>
      <c r="E94" s="689"/>
      <c r="F94" s="689"/>
      <c r="G94" s="689"/>
      <c r="H94" s="689"/>
      <c r="I94" s="690"/>
    </row>
    <row r="95" spans="1:9" ht="13">
      <c r="A95" s="242" t="s">
        <v>6246</v>
      </c>
      <c r="B95" s="481" t="s">
        <v>6668</v>
      </c>
      <c r="C95" s="11" t="s">
        <v>6669</v>
      </c>
      <c r="D95" s="481">
        <v>2022</v>
      </c>
      <c r="E95" s="482">
        <v>12</v>
      </c>
      <c r="F95" s="481" t="s">
        <v>2327</v>
      </c>
      <c r="G95" s="483">
        <v>151.19999999999999</v>
      </c>
      <c r="H95" s="521"/>
      <c r="I95" s="491"/>
    </row>
    <row r="96" spans="1:9" ht="13">
      <c r="A96" s="242" t="s">
        <v>6670</v>
      </c>
      <c r="B96" s="481" t="s">
        <v>6671</v>
      </c>
      <c r="C96" s="11" t="s">
        <v>6672</v>
      </c>
      <c r="D96" s="481">
        <v>2023</v>
      </c>
      <c r="E96" s="482">
        <v>12</v>
      </c>
      <c r="F96" s="481" t="s">
        <v>32</v>
      </c>
      <c r="G96" s="483">
        <v>124.8</v>
      </c>
      <c r="H96" s="521"/>
      <c r="I96" s="511"/>
    </row>
    <row r="97" spans="1:9" ht="13">
      <c r="A97" s="242" t="s">
        <v>6673</v>
      </c>
      <c r="B97" s="481" t="s">
        <v>6674</v>
      </c>
      <c r="C97" s="11" t="s">
        <v>9</v>
      </c>
      <c r="D97" s="481">
        <v>2023</v>
      </c>
      <c r="E97" s="482">
        <v>12</v>
      </c>
      <c r="F97" s="481" t="s">
        <v>32</v>
      </c>
      <c r="G97" s="483">
        <v>174</v>
      </c>
      <c r="H97" s="521"/>
      <c r="I97" s="491"/>
    </row>
    <row r="98" spans="1:9" ht="13">
      <c r="A98" s="239" t="s">
        <v>6675</v>
      </c>
      <c r="B98" s="481" t="s">
        <v>6676</v>
      </c>
      <c r="C98" s="11" t="s">
        <v>14</v>
      </c>
      <c r="D98" s="481">
        <v>2024</v>
      </c>
      <c r="E98" s="482">
        <v>12</v>
      </c>
      <c r="F98" s="481" t="s">
        <v>32</v>
      </c>
      <c r="G98" s="483">
        <v>148.80000000000001</v>
      </c>
      <c r="H98" s="521"/>
      <c r="I98" s="491"/>
    </row>
    <row r="99" spans="1:9" ht="13">
      <c r="A99" s="239" t="s">
        <v>6677</v>
      </c>
      <c r="B99" s="481" t="s">
        <v>6678</v>
      </c>
      <c r="C99" s="11" t="s">
        <v>3247</v>
      </c>
      <c r="D99" s="481">
        <v>2024</v>
      </c>
      <c r="E99" s="482">
        <v>12</v>
      </c>
      <c r="F99" s="481" t="s">
        <v>32</v>
      </c>
      <c r="G99" s="483">
        <v>240</v>
      </c>
      <c r="H99" s="521"/>
      <c r="I99" s="501"/>
    </row>
    <row r="100" spans="1:9" ht="13">
      <c r="A100" s="525" t="s">
        <v>6679</v>
      </c>
      <c r="B100" s="481" t="s">
        <v>6680</v>
      </c>
      <c r="C100" s="11" t="s">
        <v>6681</v>
      </c>
      <c r="D100" s="481">
        <v>2024</v>
      </c>
      <c r="E100" s="482">
        <v>12</v>
      </c>
      <c r="F100" s="481" t="s">
        <v>32</v>
      </c>
      <c r="G100" s="483">
        <v>124.8</v>
      </c>
      <c r="H100" s="521"/>
      <c r="I100" s="491"/>
    </row>
    <row r="101" spans="1:9" ht="13">
      <c r="A101" s="105" t="s">
        <v>6244</v>
      </c>
      <c r="B101" s="481" t="s">
        <v>6245</v>
      </c>
      <c r="C101" s="11" t="s">
        <v>6682</v>
      </c>
      <c r="D101" s="481">
        <v>2022</v>
      </c>
      <c r="E101" s="482">
        <v>12</v>
      </c>
      <c r="F101" s="481" t="s">
        <v>2327</v>
      </c>
      <c r="G101" s="483">
        <v>151.19999999999999</v>
      </c>
      <c r="H101" s="521"/>
      <c r="I101" s="511"/>
    </row>
    <row r="102" spans="1:9" ht="13">
      <c r="A102" s="105" t="s">
        <v>6683</v>
      </c>
      <c r="B102" s="481" t="s">
        <v>6684</v>
      </c>
      <c r="C102" s="11" t="s">
        <v>6685</v>
      </c>
      <c r="D102" s="481">
        <v>2023</v>
      </c>
      <c r="E102" s="482">
        <v>12</v>
      </c>
      <c r="F102" s="481" t="s">
        <v>32</v>
      </c>
      <c r="G102" s="483">
        <v>120</v>
      </c>
      <c r="H102" s="521"/>
      <c r="I102" s="491"/>
    </row>
    <row r="103" spans="1:9" ht="13">
      <c r="A103" s="105" t="s">
        <v>6686</v>
      </c>
      <c r="B103" s="481" t="s">
        <v>6687</v>
      </c>
      <c r="C103" s="11" t="s">
        <v>6688</v>
      </c>
      <c r="D103" s="481">
        <v>2024</v>
      </c>
      <c r="E103" s="482">
        <v>12</v>
      </c>
      <c r="F103" s="481" t="s">
        <v>32</v>
      </c>
      <c r="G103" s="483">
        <v>124.8</v>
      </c>
      <c r="H103" s="521"/>
      <c r="I103" s="491"/>
    </row>
    <row r="104" spans="1:9" ht="13">
      <c r="A104" s="105" t="s">
        <v>6689</v>
      </c>
      <c r="B104" s="481" t="s">
        <v>6690</v>
      </c>
      <c r="C104" s="11" t="s">
        <v>6691</v>
      </c>
      <c r="D104" s="481">
        <v>2024</v>
      </c>
      <c r="E104" s="482">
        <v>12</v>
      </c>
      <c r="F104" s="481" t="s">
        <v>32</v>
      </c>
      <c r="G104" s="483">
        <v>124.8</v>
      </c>
      <c r="H104" s="521"/>
      <c r="I104" s="491"/>
    </row>
    <row r="105" spans="1:9" ht="13">
      <c r="A105" s="105" t="s">
        <v>6692</v>
      </c>
      <c r="B105" s="481" t="s">
        <v>6693</v>
      </c>
      <c r="C105" s="11" t="s">
        <v>6694</v>
      </c>
      <c r="D105" s="481">
        <v>2023</v>
      </c>
      <c r="E105" s="482">
        <v>12</v>
      </c>
      <c r="F105" s="481" t="s">
        <v>32</v>
      </c>
      <c r="G105" s="483">
        <v>118.8</v>
      </c>
      <c r="H105" s="521"/>
      <c r="I105" s="487"/>
    </row>
    <row r="106" spans="1:9" ht="13">
      <c r="A106" s="105" t="s">
        <v>6695</v>
      </c>
      <c r="B106" s="481" t="s">
        <v>6696</v>
      </c>
      <c r="C106" s="11" t="s">
        <v>6697</v>
      </c>
      <c r="D106" s="481">
        <v>2017</v>
      </c>
      <c r="E106" s="482">
        <v>12</v>
      </c>
      <c r="F106" s="481" t="s">
        <v>32</v>
      </c>
      <c r="G106" s="483">
        <v>161.88</v>
      </c>
      <c r="H106" s="521"/>
      <c r="I106" s="487"/>
    </row>
    <row r="107" spans="1:9" ht="13">
      <c r="A107" s="105" t="s">
        <v>6698</v>
      </c>
      <c r="B107" s="481" t="s">
        <v>6699</v>
      </c>
      <c r="C107" s="11" t="s">
        <v>6700</v>
      </c>
      <c r="D107" s="481">
        <v>2023</v>
      </c>
      <c r="E107" s="482">
        <v>12</v>
      </c>
      <c r="F107" s="481" t="s">
        <v>32</v>
      </c>
      <c r="G107" s="483">
        <v>144</v>
      </c>
      <c r="H107" s="521"/>
      <c r="I107" s="491"/>
    </row>
    <row r="108" spans="1:9" ht="13">
      <c r="A108" s="105" t="s">
        <v>6701</v>
      </c>
      <c r="B108" s="481" t="s">
        <v>6702</v>
      </c>
      <c r="C108" s="11" t="s">
        <v>6703</v>
      </c>
      <c r="D108" s="481">
        <v>2021</v>
      </c>
      <c r="E108" s="482">
        <v>12</v>
      </c>
      <c r="F108" s="481" t="s">
        <v>32</v>
      </c>
      <c r="G108" s="483">
        <v>172.2</v>
      </c>
      <c r="H108" s="521"/>
      <c r="I108" s="511"/>
    </row>
    <row r="109" spans="1:9" ht="13">
      <c r="A109" s="105" t="s">
        <v>6704</v>
      </c>
      <c r="B109" s="481" t="s">
        <v>6705</v>
      </c>
      <c r="C109" s="11" t="s">
        <v>6685</v>
      </c>
      <c r="D109" s="481">
        <v>2023</v>
      </c>
      <c r="E109" s="482">
        <v>12</v>
      </c>
      <c r="F109" s="481" t="s">
        <v>32</v>
      </c>
      <c r="G109" s="483">
        <v>144</v>
      </c>
      <c r="H109" s="521"/>
      <c r="I109" s="501"/>
    </row>
    <row r="110" spans="1:9" ht="13">
      <c r="A110" s="105" t="s">
        <v>6248</v>
      </c>
      <c r="B110" s="481" t="s">
        <v>6706</v>
      </c>
      <c r="C110" s="11" t="s">
        <v>6685</v>
      </c>
      <c r="D110" s="481">
        <v>2022</v>
      </c>
      <c r="E110" s="482">
        <v>12</v>
      </c>
      <c r="F110" s="481" t="s">
        <v>32</v>
      </c>
      <c r="G110" s="483">
        <v>169.2</v>
      </c>
      <c r="H110" s="521"/>
      <c r="I110" s="501"/>
    </row>
    <row r="111" spans="1:9" ht="13">
      <c r="A111" s="105" t="s">
        <v>6707</v>
      </c>
      <c r="B111" s="481" t="s">
        <v>6708</v>
      </c>
      <c r="C111" s="11" t="s">
        <v>6685</v>
      </c>
      <c r="D111" s="481">
        <v>2020</v>
      </c>
      <c r="E111" s="482">
        <v>12</v>
      </c>
      <c r="F111" s="481" t="s">
        <v>32</v>
      </c>
      <c r="G111" s="483">
        <v>240</v>
      </c>
      <c r="H111" s="521"/>
      <c r="I111" s="511"/>
    </row>
    <row r="112" spans="1:9" ht="13">
      <c r="A112" s="105" t="s">
        <v>6709</v>
      </c>
      <c r="B112" s="481" t="s">
        <v>6710</v>
      </c>
      <c r="C112" s="11" t="s">
        <v>6685</v>
      </c>
      <c r="D112" s="481">
        <v>2020</v>
      </c>
      <c r="E112" s="482">
        <v>12</v>
      </c>
      <c r="F112" s="481" t="s">
        <v>32</v>
      </c>
      <c r="G112" s="483">
        <v>240</v>
      </c>
      <c r="H112" s="521"/>
      <c r="I112" s="501">
        <v>1</v>
      </c>
    </row>
    <row r="113" spans="1:9" ht="13">
      <c r="A113" s="105" t="s">
        <v>6711</v>
      </c>
      <c r="B113" s="481" t="s">
        <v>6710</v>
      </c>
      <c r="C113" s="11" t="s">
        <v>6685</v>
      </c>
      <c r="D113" s="481">
        <v>2021</v>
      </c>
      <c r="E113" s="482">
        <v>12</v>
      </c>
      <c r="F113" s="481" t="s">
        <v>32</v>
      </c>
      <c r="G113" s="483">
        <v>240</v>
      </c>
      <c r="H113" s="521"/>
      <c r="I113" s="501"/>
    </row>
    <row r="114" spans="1:9" ht="13">
      <c r="A114" s="105" t="s">
        <v>6712</v>
      </c>
      <c r="B114" s="481" t="s">
        <v>6713</v>
      </c>
      <c r="C114" s="11" t="s">
        <v>6685</v>
      </c>
      <c r="D114" s="481">
        <v>2020</v>
      </c>
      <c r="E114" s="482">
        <v>12</v>
      </c>
      <c r="F114" s="481" t="s">
        <v>32</v>
      </c>
      <c r="G114" s="483">
        <v>336</v>
      </c>
      <c r="H114" s="521"/>
      <c r="I114" s="511"/>
    </row>
    <row r="115" spans="1:9" ht="13">
      <c r="A115" s="242" t="s">
        <v>6714</v>
      </c>
      <c r="B115" s="481" t="s">
        <v>6715</v>
      </c>
      <c r="C115" s="11" t="s">
        <v>6716</v>
      </c>
      <c r="D115" s="481">
        <v>2022</v>
      </c>
      <c r="E115" s="482">
        <v>12</v>
      </c>
      <c r="F115" s="481" t="s">
        <v>32</v>
      </c>
      <c r="G115" s="483">
        <v>162</v>
      </c>
      <c r="H115" s="521"/>
      <c r="I115" s="501"/>
    </row>
    <row r="116" spans="1:9" ht="13">
      <c r="A116" s="105" t="s">
        <v>6717</v>
      </c>
      <c r="B116" s="481" t="s">
        <v>6718</v>
      </c>
      <c r="C116" s="11" t="s">
        <v>6719</v>
      </c>
      <c r="D116" s="481">
        <v>2022</v>
      </c>
      <c r="E116" s="482">
        <v>12</v>
      </c>
      <c r="F116" s="481" t="s">
        <v>2327</v>
      </c>
      <c r="G116" s="483">
        <v>144</v>
      </c>
      <c r="H116" s="521"/>
      <c r="I116" s="491"/>
    </row>
    <row r="117" spans="1:9" ht="18">
      <c r="A117" s="799" t="s">
        <v>6720</v>
      </c>
      <c r="B117" s="689"/>
      <c r="C117" s="689"/>
      <c r="D117" s="689"/>
      <c r="E117" s="689"/>
      <c r="F117" s="689"/>
      <c r="G117" s="689"/>
      <c r="H117" s="689"/>
      <c r="I117" s="690"/>
    </row>
    <row r="118" spans="1:9" ht="13">
      <c r="A118" s="526" t="s">
        <v>6721</v>
      </c>
      <c r="B118" s="527" t="s">
        <v>6722</v>
      </c>
      <c r="C118" s="11" t="s">
        <v>149</v>
      </c>
      <c r="D118" s="481">
        <v>2020</v>
      </c>
      <c r="E118" s="482">
        <v>12</v>
      </c>
      <c r="F118" s="481" t="s">
        <v>32</v>
      </c>
      <c r="G118" s="528">
        <v>118.44</v>
      </c>
      <c r="H118" s="521"/>
      <c r="I118" s="501">
        <v>1</v>
      </c>
    </row>
    <row r="119" spans="1:9" ht="13">
      <c r="A119" s="526" t="s">
        <v>6723</v>
      </c>
      <c r="B119" s="527" t="s">
        <v>6724</v>
      </c>
      <c r="C119" s="11" t="s">
        <v>6725</v>
      </c>
      <c r="D119" s="481">
        <v>2021</v>
      </c>
      <c r="E119" s="482">
        <v>12</v>
      </c>
      <c r="F119" s="481" t="s">
        <v>32</v>
      </c>
      <c r="G119" s="528">
        <v>118.44</v>
      </c>
      <c r="H119" s="521"/>
      <c r="I119" s="501">
        <v>1</v>
      </c>
    </row>
    <row r="120" spans="1:9" ht="18">
      <c r="A120" s="787" t="s">
        <v>6726</v>
      </c>
      <c r="B120" s="689"/>
      <c r="C120" s="689"/>
      <c r="D120" s="689"/>
      <c r="E120" s="689"/>
      <c r="F120" s="689"/>
      <c r="G120" s="689"/>
      <c r="H120" s="689"/>
      <c r="I120" s="690"/>
    </row>
    <row r="121" spans="1:9" ht="13">
      <c r="A121" s="242" t="s">
        <v>6727</v>
      </c>
      <c r="B121" s="527" t="s">
        <v>6728</v>
      </c>
      <c r="C121" s="11" t="s">
        <v>765</v>
      </c>
      <c r="D121" s="481">
        <v>2022</v>
      </c>
      <c r="E121" s="482">
        <v>12</v>
      </c>
      <c r="F121" s="481" t="s">
        <v>32</v>
      </c>
      <c r="G121" s="483">
        <v>115.2</v>
      </c>
      <c r="H121" s="521"/>
      <c r="I121" s="501"/>
    </row>
    <row r="122" spans="1:9" ht="13">
      <c r="A122" s="105" t="s">
        <v>6729</v>
      </c>
      <c r="B122" s="481" t="s">
        <v>6730</v>
      </c>
      <c r="C122" s="11" t="s">
        <v>6731</v>
      </c>
      <c r="D122" s="481">
        <v>2022</v>
      </c>
      <c r="E122" s="482">
        <v>12</v>
      </c>
      <c r="F122" s="481" t="s">
        <v>32</v>
      </c>
      <c r="G122" s="483">
        <v>80.52</v>
      </c>
      <c r="H122" s="529"/>
      <c r="I122" s="501">
        <v>1</v>
      </c>
    </row>
    <row r="123" spans="1:9" ht="13">
      <c r="A123" s="526" t="s">
        <v>6732</v>
      </c>
      <c r="B123" s="527" t="s">
        <v>6733</v>
      </c>
      <c r="C123" s="11" t="s">
        <v>6734</v>
      </c>
      <c r="D123" s="481">
        <v>2022</v>
      </c>
      <c r="E123" s="482">
        <v>12</v>
      </c>
      <c r="F123" s="481" t="s">
        <v>32</v>
      </c>
      <c r="G123" s="483">
        <v>108</v>
      </c>
      <c r="H123" s="521"/>
      <c r="I123" s="501"/>
    </row>
    <row r="124" spans="1:9" ht="33">
      <c r="A124" s="800" t="s">
        <v>3209</v>
      </c>
      <c r="B124" s="689"/>
      <c r="C124" s="689"/>
      <c r="D124" s="689"/>
      <c r="E124" s="689"/>
      <c r="F124" s="689"/>
      <c r="G124" s="689"/>
      <c r="H124" s="689"/>
      <c r="I124" s="690"/>
    </row>
    <row r="125" spans="1:9" ht="23">
      <c r="A125" s="801" t="s">
        <v>3279</v>
      </c>
      <c r="B125" s="689"/>
      <c r="C125" s="689"/>
      <c r="D125" s="689"/>
      <c r="E125" s="689"/>
      <c r="F125" s="689"/>
      <c r="G125" s="689"/>
      <c r="H125" s="689"/>
      <c r="I125" s="690"/>
    </row>
    <row r="126" spans="1:9" ht="18">
      <c r="A126" s="787" t="s">
        <v>6282</v>
      </c>
      <c r="B126" s="689"/>
      <c r="C126" s="689"/>
      <c r="D126" s="689"/>
      <c r="E126" s="689"/>
      <c r="F126" s="689"/>
      <c r="G126" s="689"/>
      <c r="H126" s="689"/>
      <c r="I126" s="690"/>
    </row>
    <row r="127" spans="1:9" ht="13">
      <c r="A127" s="242" t="s">
        <v>6735</v>
      </c>
      <c r="B127" s="481" t="s">
        <v>3157</v>
      </c>
      <c r="C127" s="11" t="s">
        <v>3158</v>
      </c>
      <c r="D127" s="481">
        <v>2023</v>
      </c>
      <c r="E127" s="481">
        <v>12</v>
      </c>
      <c r="F127" s="481" t="s">
        <v>32</v>
      </c>
      <c r="G127" s="483">
        <v>70.2</v>
      </c>
      <c r="H127" s="521"/>
      <c r="I127" s="491"/>
    </row>
    <row r="128" spans="1:9" ht="23">
      <c r="A128" s="801" t="s">
        <v>6736</v>
      </c>
      <c r="B128" s="689"/>
      <c r="C128" s="689"/>
      <c r="D128" s="689"/>
      <c r="E128" s="689"/>
      <c r="F128" s="689"/>
      <c r="G128" s="689"/>
      <c r="H128" s="689"/>
      <c r="I128" s="690"/>
    </row>
    <row r="129" spans="1:9" ht="18">
      <c r="A129" s="787" t="s">
        <v>6285</v>
      </c>
      <c r="B129" s="689"/>
      <c r="C129" s="689"/>
      <c r="D129" s="689"/>
      <c r="E129" s="689"/>
      <c r="F129" s="689"/>
      <c r="G129" s="689"/>
      <c r="H129" s="689"/>
      <c r="I129" s="690"/>
    </row>
    <row r="130" spans="1:9" ht="13">
      <c r="A130" s="242" t="s">
        <v>6286</v>
      </c>
      <c r="B130" s="481" t="s">
        <v>6287</v>
      </c>
      <c r="C130" s="11" t="s">
        <v>6737</v>
      </c>
      <c r="D130" s="481">
        <v>2021</v>
      </c>
      <c r="E130" s="481">
        <v>12</v>
      </c>
      <c r="F130" s="481" t="s">
        <v>32</v>
      </c>
      <c r="G130" s="483">
        <v>105.6</v>
      </c>
      <c r="H130" s="521"/>
      <c r="I130" s="487"/>
    </row>
    <row r="131" spans="1:9" ht="13">
      <c r="A131" s="105" t="s">
        <v>6738</v>
      </c>
      <c r="B131" s="481" t="s">
        <v>6739</v>
      </c>
      <c r="C131" s="11" t="s">
        <v>6740</v>
      </c>
      <c r="D131" s="481">
        <v>2020</v>
      </c>
      <c r="E131" s="481">
        <v>12</v>
      </c>
      <c r="F131" s="481" t="s">
        <v>32</v>
      </c>
      <c r="G131" s="483">
        <v>115.2</v>
      </c>
      <c r="H131" s="101"/>
      <c r="I131" s="487"/>
    </row>
    <row r="132" spans="1:9" ht="23">
      <c r="A132" s="801" t="s">
        <v>3413</v>
      </c>
      <c r="B132" s="689"/>
      <c r="C132" s="689"/>
      <c r="D132" s="689"/>
      <c r="E132" s="689"/>
      <c r="F132" s="689"/>
      <c r="G132" s="689"/>
      <c r="H132" s="689"/>
      <c r="I132" s="690"/>
    </row>
    <row r="133" spans="1:9" ht="18">
      <c r="A133" s="787" t="s">
        <v>6741</v>
      </c>
      <c r="B133" s="689"/>
      <c r="C133" s="689"/>
      <c r="D133" s="689"/>
      <c r="E133" s="689"/>
      <c r="F133" s="689"/>
      <c r="G133" s="689"/>
      <c r="H133" s="689"/>
      <c r="I133" s="690"/>
    </row>
    <row r="134" spans="1:9" ht="13">
      <c r="A134" s="105" t="s">
        <v>6742</v>
      </c>
      <c r="B134" s="481" t="s">
        <v>6743</v>
      </c>
      <c r="C134" s="11" t="s">
        <v>3420</v>
      </c>
      <c r="D134" s="481">
        <v>2021</v>
      </c>
      <c r="E134" s="481">
        <v>12</v>
      </c>
      <c r="F134" s="481" t="s">
        <v>32</v>
      </c>
      <c r="G134" s="483">
        <v>73.2</v>
      </c>
      <c r="H134" s="240"/>
      <c r="I134" s="501">
        <v>1</v>
      </c>
    </row>
    <row r="135" spans="1:9" ht="23">
      <c r="A135" s="801" t="s">
        <v>6744</v>
      </c>
      <c r="B135" s="689"/>
      <c r="C135" s="689"/>
      <c r="D135" s="689"/>
      <c r="E135" s="689"/>
      <c r="F135" s="689"/>
      <c r="G135" s="689"/>
      <c r="H135" s="689"/>
      <c r="I135" s="690"/>
    </row>
    <row r="136" spans="1:9" ht="18">
      <c r="A136" s="787" t="s">
        <v>6745</v>
      </c>
      <c r="B136" s="689"/>
      <c r="C136" s="689"/>
      <c r="D136" s="689"/>
      <c r="E136" s="689"/>
      <c r="F136" s="689"/>
      <c r="G136" s="689"/>
      <c r="H136" s="689"/>
      <c r="I136" s="690"/>
    </row>
    <row r="137" spans="1:9" ht="13">
      <c r="A137" s="105" t="s">
        <v>6746</v>
      </c>
      <c r="B137" s="481" t="s">
        <v>6747</v>
      </c>
      <c r="C137" s="11" t="s">
        <v>6748</v>
      </c>
      <c r="D137" s="481">
        <v>2024</v>
      </c>
      <c r="E137" s="481">
        <v>12</v>
      </c>
      <c r="F137" s="481" t="s">
        <v>32</v>
      </c>
      <c r="G137" s="483">
        <v>71.400000000000006</v>
      </c>
      <c r="H137" s="521"/>
      <c r="I137" s="501">
        <v>1</v>
      </c>
    </row>
    <row r="138" spans="1:9" ht="13">
      <c r="A138" s="105" t="s">
        <v>6749</v>
      </c>
      <c r="B138" s="481" t="s">
        <v>6750</v>
      </c>
      <c r="C138" s="11" t="s">
        <v>6751</v>
      </c>
      <c r="D138" s="481">
        <v>2022</v>
      </c>
      <c r="E138" s="481">
        <v>12</v>
      </c>
      <c r="F138" s="481" t="s">
        <v>32</v>
      </c>
      <c r="G138" s="483">
        <v>93.6</v>
      </c>
      <c r="H138" s="521"/>
      <c r="I138" s="501"/>
    </row>
    <row r="139" spans="1:9" ht="30">
      <c r="A139" s="802" t="s">
        <v>6752</v>
      </c>
      <c r="B139" s="689"/>
      <c r="C139" s="689"/>
      <c r="D139" s="689"/>
      <c r="E139" s="689"/>
      <c r="F139" s="689"/>
      <c r="G139" s="689"/>
      <c r="H139" s="689"/>
      <c r="I139" s="690"/>
    </row>
    <row r="140" spans="1:9" ht="23">
      <c r="A140" s="803" t="s">
        <v>6753</v>
      </c>
      <c r="B140" s="689"/>
      <c r="C140" s="689"/>
      <c r="D140" s="689"/>
      <c r="E140" s="689"/>
      <c r="F140" s="689"/>
      <c r="G140" s="689"/>
      <c r="H140" s="689"/>
      <c r="I140" s="690"/>
    </row>
    <row r="141" spans="1:9" ht="18">
      <c r="A141" s="787" t="s">
        <v>6754</v>
      </c>
      <c r="B141" s="689"/>
      <c r="C141" s="689"/>
      <c r="D141" s="689"/>
      <c r="E141" s="689"/>
      <c r="F141" s="689"/>
      <c r="G141" s="689"/>
      <c r="H141" s="689"/>
      <c r="I141" s="690"/>
    </row>
    <row r="142" spans="1:9" ht="13">
      <c r="A142" s="242" t="s">
        <v>6755</v>
      </c>
      <c r="B142" s="481" t="s">
        <v>6756</v>
      </c>
      <c r="C142" s="11" t="s">
        <v>133</v>
      </c>
      <c r="D142" s="481">
        <v>2023</v>
      </c>
      <c r="E142" s="481">
        <v>12</v>
      </c>
      <c r="F142" s="481" t="s">
        <v>32</v>
      </c>
      <c r="G142" s="483">
        <v>69.599999999999994</v>
      </c>
      <c r="H142" s="521"/>
      <c r="I142" s="511"/>
    </row>
    <row r="143" spans="1:9" ht="13">
      <c r="A143" s="242" t="s">
        <v>6757</v>
      </c>
      <c r="B143" s="481" t="s">
        <v>6758</v>
      </c>
      <c r="C143" s="11" t="s">
        <v>4</v>
      </c>
      <c r="D143" s="481">
        <v>2020</v>
      </c>
      <c r="E143" s="481">
        <v>12</v>
      </c>
      <c r="F143" s="481" t="s">
        <v>32</v>
      </c>
      <c r="G143" s="483">
        <v>57.96</v>
      </c>
      <c r="H143" s="521"/>
      <c r="I143" s="511"/>
    </row>
    <row r="144" spans="1:9" ht="13">
      <c r="A144" s="242" t="s">
        <v>6759</v>
      </c>
      <c r="B144" s="481" t="s">
        <v>6760</v>
      </c>
      <c r="C144" s="11" t="s">
        <v>765</v>
      </c>
      <c r="D144" s="481">
        <v>2023</v>
      </c>
      <c r="E144" s="481">
        <v>12</v>
      </c>
      <c r="F144" s="481" t="s">
        <v>32</v>
      </c>
      <c r="G144" s="483">
        <v>68.16</v>
      </c>
      <c r="H144" s="521"/>
      <c r="I144" s="487"/>
    </row>
    <row r="145" spans="1:9" ht="13">
      <c r="A145" s="239" t="s">
        <v>6761</v>
      </c>
      <c r="B145" s="481" t="s">
        <v>6762</v>
      </c>
      <c r="C145" s="11" t="s">
        <v>6763</v>
      </c>
      <c r="D145" s="481">
        <v>2023</v>
      </c>
      <c r="E145" s="481">
        <v>12</v>
      </c>
      <c r="F145" s="481" t="s">
        <v>32</v>
      </c>
      <c r="G145" s="483">
        <v>68.16</v>
      </c>
      <c r="H145" s="521"/>
      <c r="I145" s="487"/>
    </row>
    <row r="146" spans="1:9" ht="13">
      <c r="A146" s="105" t="s">
        <v>6764</v>
      </c>
      <c r="B146" s="481" t="s">
        <v>6765</v>
      </c>
      <c r="C146" s="11" t="s">
        <v>346</v>
      </c>
      <c r="D146" s="481">
        <v>2023</v>
      </c>
      <c r="E146" s="481">
        <v>12</v>
      </c>
      <c r="F146" s="481" t="s">
        <v>32</v>
      </c>
      <c r="G146" s="483">
        <v>69.599999999999994</v>
      </c>
      <c r="H146" s="521"/>
      <c r="I146" s="501"/>
    </row>
    <row r="147" spans="1:9" ht="13">
      <c r="A147" s="105" t="s">
        <v>6766</v>
      </c>
      <c r="B147" s="481" t="s">
        <v>6767</v>
      </c>
      <c r="C147" s="11" t="s">
        <v>6768</v>
      </c>
      <c r="D147" s="481">
        <v>2022</v>
      </c>
      <c r="E147" s="481">
        <v>12</v>
      </c>
      <c r="F147" s="481" t="s">
        <v>32</v>
      </c>
      <c r="G147" s="483">
        <v>68.16</v>
      </c>
      <c r="H147" s="521"/>
      <c r="I147" s="511"/>
    </row>
    <row r="148" spans="1:9" ht="13">
      <c r="A148" s="105" t="s">
        <v>6769</v>
      </c>
      <c r="B148" s="481" t="s">
        <v>6770</v>
      </c>
      <c r="C148" s="11" t="s">
        <v>6771</v>
      </c>
      <c r="D148" s="481">
        <v>2024</v>
      </c>
      <c r="E148" s="481">
        <v>12</v>
      </c>
      <c r="F148" s="481" t="s">
        <v>32</v>
      </c>
      <c r="G148" s="483">
        <v>85.8</v>
      </c>
      <c r="H148" s="521"/>
      <c r="I148" s="501"/>
    </row>
    <row r="149" spans="1:9" ht="13">
      <c r="A149" s="105" t="s">
        <v>6772</v>
      </c>
      <c r="B149" s="480" t="s">
        <v>6773</v>
      </c>
      <c r="C149" s="11" t="s">
        <v>346</v>
      </c>
      <c r="D149" s="481">
        <v>2024</v>
      </c>
      <c r="E149" s="481">
        <v>12</v>
      </c>
      <c r="F149" s="481" t="s">
        <v>32</v>
      </c>
      <c r="G149" s="483">
        <v>85.8</v>
      </c>
      <c r="H149" s="521"/>
      <c r="I149" s="501"/>
    </row>
    <row r="150" spans="1:9" ht="13">
      <c r="A150" s="105" t="s">
        <v>6774</v>
      </c>
      <c r="B150" s="481" t="s">
        <v>6775</v>
      </c>
      <c r="C150" s="11" t="s">
        <v>463</v>
      </c>
      <c r="D150" s="481">
        <v>2024</v>
      </c>
      <c r="E150" s="481">
        <v>12</v>
      </c>
      <c r="F150" s="481" t="s">
        <v>32</v>
      </c>
      <c r="G150" s="483">
        <v>85.8</v>
      </c>
      <c r="H150" s="521"/>
      <c r="I150" s="501"/>
    </row>
    <row r="151" spans="1:9" ht="13">
      <c r="A151" s="105" t="s">
        <v>6776</v>
      </c>
      <c r="B151" s="481" t="s">
        <v>6777</v>
      </c>
      <c r="C151" s="11" t="s">
        <v>52</v>
      </c>
      <c r="D151" s="481">
        <v>2023</v>
      </c>
      <c r="E151" s="481">
        <v>12</v>
      </c>
      <c r="F151" s="481" t="s">
        <v>32</v>
      </c>
      <c r="G151" s="483">
        <v>68.16</v>
      </c>
      <c r="H151" s="521"/>
      <c r="I151" s="511"/>
    </row>
    <row r="152" spans="1:9" ht="13">
      <c r="A152" s="105" t="s">
        <v>6778</v>
      </c>
      <c r="B152" s="481" t="s">
        <v>6779</v>
      </c>
      <c r="C152" s="11" t="s">
        <v>360</v>
      </c>
      <c r="D152" s="481">
        <v>2021</v>
      </c>
      <c r="E152" s="481">
        <v>12</v>
      </c>
      <c r="F152" s="481" t="s">
        <v>32</v>
      </c>
      <c r="G152" s="483">
        <v>68.16</v>
      </c>
      <c r="H152" s="521"/>
      <c r="I152" s="487"/>
    </row>
    <row r="153" spans="1:9" ht="13">
      <c r="A153" s="105" t="s">
        <v>6780</v>
      </c>
      <c r="B153" s="481" t="s">
        <v>6781</v>
      </c>
      <c r="C153" s="11" t="s">
        <v>6782</v>
      </c>
      <c r="D153" s="481">
        <v>2022</v>
      </c>
      <c r="E153" s="481">
        <v>12</v>
      </c>
      <c r="F153" s="481" t="s">
        <v>32</v>
      </c>
      <c r="G153" s="506">
        <v>48</v>
      </c>
      <c r="H153" s="521" t="s">
        <v>6783</v>
      </c>
      <c r="I153" s="501">
        <v>1</v>
      </c>
    </row>
    <row r="154" spans="1:9" ht="13">
      <c r="A154" s="805"/>
      <c r="B154" s="689"/>
      <c r="C154" s="689"/>
      <c r="D154" s="689"/>
      <c r="E154" s="689"/>
      <c r="F154" s="689"/>
      <c r="G154" s="689"/>
      <c r="H154" s="689"/>
      <c r="I154" s="690"/>
    </row>
    <row r="155" spans="1:9" ht="13">
      <c r="A155" s="806" t="s">
        <v>3940</v>
      </c>
      <c r="B155" s="725"/>
      <c r="C155" s="725"/>
      <c r="D155" s="725"/>
      <c r="E155" s="725"/>
      <c r="F155" s="725"/>
      <c r="G155" s="725"/>
      <c r="H155" s="725"/>
      <c r="I155" s="725"/>
    </row>
    <row r="156" spans="1:9" ht="13">
      <c r="A156" s="807" t="s">
        <v>3942</v>
      </c>
      <c r="B156" s="725"/>
      <c r="C156" s="725"/>
      <c r="D156" s="725"/>
      <c r="E156" s="725"/>
      <c r="F156" s="725"/>
      <c r="G156" s="725"/>
      <c r="H156" s="725"/>
      <c r="I156" s="725"/>
    </row>
    <row r="157" spans="1:9" ht="13">
      <c r="A157" s="808" t="s">
        <v>3943</v>
      </c>
      <c r="B157" s="725"/>
      <c r="C157" s="725"/>
      <c r="D157" s="725"/>
      <c r="E157" s="725"/>
      <c r="F157" s="725"/>
      <c r="G157" s="725"/>
      <c r="H157" s="725"/>
      <c r="I157" s="725"/>
    </row>
    <row r="158" spans="1:9" ht="13">
      <c r="A158" s="809" t="s">
        <v>3945</v>
      </c>
      <c r="B158" s="725"/>
      <c r="C158" s="725"/>
      <c r="D158" s="725"/>
      <c r="E158" s="725"/>
      <c r="F158" s="725"/>
      <c r="G158" s="725"/>
      <c r="H158" s="725"/>
      <c r="I158" s="725"/>
    </row>
    <row r="159" spans="1:9" ht="13">
      <c r="A159" s="810" t="s">
        <v>3946</v>
      </c>
      <c r="B159" s="725"/>
      <c r="C159" s="725"/>
      <c r="D159" s="725"/>
      <c r="E159" s="725"/>
      <c r="F159" s="725"/>
      <c r="G159" s="725"/>
      <c r="H159" s="725"/>
      <c r="I159" s="725"/>
    </row>
    <row r="160" spans="1:9" ht="13">
      <c r="A160" s="804" t="s">
        <v>3947</v>
      </c>
      <c r="B160" s="725"/>
      <c r="C160" s="725"/>
      <c r="D160" s="725"/>
      <c r="E160" s="725"/>
      <c r="F160" s="725"/>
      <c r="G160" s="725"/>
      <c r="H160" s="725"/>
      <c r="I160" s="725"/>
    </row>
    <row r="161" spans="1:9" ht="13">
      <c r="A161" s="794" t="s">
        <v>6784</v>
      </c>
      <c r="B161" s="725"/>
      <c r="C161" s="725"/>
      <c r="D161" s="725"/>
      <c r="E161" s="725"/>
      <c r="F161" s="725"/>
      <c r="G161" s="725"/>
      <c r="H161" s="725"/>
      <c r="I161" s="725"/>
    </row>
    <row r="162" spans="1:9" ht="13">
      <c r="A162" s="796" t="s">
        <v>3949</v>
      </c>
      <c r="B162" s="725"/>
      <c r="C162" s="725"/>
      <c r="D162" s="725"/>
      <c r="E162" s="725"/>
      <c r="F162" s="725"/>
      <c r="G162" s="725"/>
      <c r="H162" s="725"/>
      <c r="I162" s="725"/>
    </row>
    <row r="163" spans="1:9" ht="13">
      <c r="A163" s="797" t="s">
        <v>3950</v>
      </c>
      <c r="B163" s="725"/>
      <c r="C163" s="725"/>
      <c r="D163" s="725"/>
      <c r="E163" s="725"/>
      <c r="F163" s="725"/>
      <c r="G163" s="725"/>
      <c r="H163" s="725"/>
      <c r="I163" s="725"/>
    </row>
  </sheetData>
  <mergeCells count="64">
    <mergeCell ref="A88:I88"/>
    <mergeCell ref="A91:I91"/>
    <mergeCell ref="A92:I92"/>
    <mergeCell ref="A77:I77"/>
    <mergeCell ref="A79:I79"/>
    <mergeCell ref="A80:I80"/>
    <mergeCell ref="A82:I82"/>
    <mergeCell ref="A86:I86"/>
    <mergeCell ref="A67:I67"/>
    <mergeCell ref="A70:I70"/>
    <mergeCell ref="A73:I73"/>
    <mergeCell ref="A74:I74"/>
    <mergeCell ref="A76:I76"/>
    <mergeCell ref="A51:I51"/>
    <mergeCell ref="A55:I55"/>
    <mergeCell ref="A62:I62"/>
    <mergeCell ref="A64:I64"/>
    <mergeCell ref="A66:I66"/>
    <mergeCell ref="A25:I25"/>
    <mergeCell ref="A37:I37"/>
    <mergeCell ref="A41:I41"/>
    <mergeCell ref="A43:I43"/>
    <mergeCell ref="A45:I45"/>
    <mergeCell ref="A18:I18"/>
    <mergeCell ref="A19:I19"/>
    <mergeCell ref="A20:I20"/>
    <mergeCell ref="A22:I22"/>
    <mergeCell ref="A23:I23"/>
    <mergeCell ref="F16:F17"/>
    <mergeCell ref="G16:G17"/>
    <mergeCell ref="H16:H17"/>
    <mergeCell ref="I16:I17"/>
    <mergeCell ref="A1:I1"/>
    <mergeCell ref="A2:I15"/>
    <mergeCell ref="A16:A17"/>
    <mergeCell ref="B16:B17"/>
    <mergeCell ref="C16:C17"/>
    <mergeCell ref="D16:D17"/>
    <mergeCell ref="E16:E17"/>
    <mergeCell ref="A161:I161"/>
    <mergeCell ref="A162:I162"/>
    <mergeCell ref="A163:I163"/>
    <mergeCell ref="A141:I141"/>
    <mergeCell ref="A154:I154"/>
    <mergeCell ref="A155:I155"/>
    <mergeCell ref="A156:I156"/>
    <mergeCell ref="A157:I157"/>
    <mergeCell ref="A158:I158"/>
    <mergeCell ref="A159:I159"/>
    <mergeCell ref="A135:I135"/>
    <mergeCell ref="A136:I136"/>
    <mergeCell ref="A139:I139"/>
    <mergeCell ref="A140:I140"/>
    <mergeCell ref="A160:I160"/>
    <mergeCell ref="A126:I126"/>
    <mergeCell ref="A128:I128"/>
    <mergeCell ref="A129:I129"/>
    <mergeCell ref="A132:I132"/>
    <mergeCell ref="A133:I133"/>
    <mergeCell ref="A94:I94"/>
    <mergeCell ref="A117:I117"/>
    <mergeCell ref="A120:I120"/>
    <mergeCell ref="A124:I124"/>
    <mergeCell ref="A125:I12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68"/>
  <sheetViews>
    <sheetView workbookViewId="0"/>
  </sheetViews>
  <sheetFormatPr baseColWidth="10" defaultColWidth="12.6640625" defaultRowHeight="15.75" customHeight="1"/>
  <cols>
    <col min="1" max="1" width="10.6640625" customWidth="1"/>
    <col min="2" max="2" width="14.33203125" customWidth="1"/>
    <col min="3" max="3" width="22.1640625" customWidth="1"/>
    <col min="4" max="4" width="40.1640625" customWidth="1"/>
    <col min="5" max="6" width="8.5" customWidth="1"/>
    <col min="7" max="7" width="8.83203125" customWidth="1"/>
    <col min="8" max="8" width="8.5" customWidth="1"/>
    <col min="9" max="9" width="9.1640625" customWidth="1"/>
    <col min="10" max="10" width="7" customWidth="1"/>
  </cols>
  <sheetData>
    <row r="1" spans="1:10" ht="15.75" customHeight="1">
      <c r="A1" s="820" t="s">
        <v>6785</v>
      </c>
      <c r="B1" s="725"/>
      <c r="C1" s="725"/>
      <c r="D1" s="725"/>
      <c r="E1" s="725"/>
      <c r="F1" s="725"/>
      <c r="G1" s="725"/>
      <c r="H1" s="725"/>
      <c r="I1" s="725"/>
      <c r="J1" s="725"/>
    </row>
    <row r="2" spans="1:10" ht="15.75" customHeight="1">
      <c r="A2" s="530" t="s">
        <v>3952</v>
      </c>
      <c r="B2" s="530" t="s">
        <v>3953</v>
      </c>
      <c r="C2" s="530" t="s">
        <v>3954</v>
      </c>
      <c r="D2" s="530" t="s">
        <v>3955</v>
      </c>
      <c r="E2" s="531" t="s">
        <v>3956</v>
      </c>
      <c r="F2" s="532" t="s">
        <v>3957</v>
      </c>
      <c r="G2" s="530" t="s">
        <v>5497</v>
      </c>
      <c r="H2" s="530" t="s">
        <v>3959</v>
      </c>
      <c r="I2" s="530" t="s">
        <v>3960</v>
      </c>
      <c r="J2" s="533" t="s">
        <v>3962</v>
      </c>
    </row>
    <row r="3" spans="1:10" ht="15.75" customHeight="1">
      <c r="A3" s="259" t="s">
        <v>4255</v>
      </c>
      <c r="B3" s="534" t="s">
        <v>6564</v>
      </c>
      <c r="C3" s="262" t="s">
        <v>6786</v>
      </c>
      <c r="D3" s="260" t="s">
        <v>6787</v>
      </c>
      <c r="E3" s="262">
        <v>2023</v>
      </c>
      <c r="F3" s="263">
        <v>12</v>
      </c>
      <c r="G3" s="262" t="s">
        <v>32</v>
      </c>
      <c r="H3" s="260" t="s">
        <v>6788</v>
      </c>
      <c r="I3" s="260">
        <v>97.8</v>
      </c>
      <c r="J3" s="534">
        <v>11</v>
      </c>
    </row>
    <row r="4" spans="1:10" ht="15.75" customHeight="1">
      <c r="A4" s="259" t="s">
        <v>4255</v>
      </c>
      <c r="B4" s="260" t="s">
        <v>6615</v>
      </c>
      <c r="C4" s="262" t="s">
        <v>6789</v>
      </c>
      <c r="D4" s="262" t="s">
        <v>6790</v>
      </c>
      <c r="E4" s="262">
        <v>2023</v>
      </c>
      <c r="F4" s="263">
        <v>12</v>
      </c>
      <c r="G4" s="260" t="s">
        <v>32</v>
      </c>
      <c r="H4" s="260" t="s">
        <v>4673</v>
      </c>
      <c r="I4" s="260">
        <v>151.19999999999999</v>
      </c>
      <c r="J4" s="534">
        <v>12.5</v>
      </c>
    </row>
    <row r="5" spans="1:10" ht="15.75" customHeight="1">
      <c r="A5" s="259" t="s">
        <v>4255</v>
      </c>
      <c r="B5" s="260" t="s">
        <v>6791</v>
      </c>
      <c r="C5" s="260" t="s">
        <v>6789</v>
      </c>
      <c r="D5" s="261" t="s">
        <v>6790</v>
      </c>
      <c r="E5" s="262">
        <v>2021</v>
      </c>
      <c r="F5" s="263">
        <v>12</v>
      </c>
      <c r="G5" s="260" t="s">
        <v>32</v>
      </c>
      <c r="H5" s="260" t="s">
        <v>4315</v>
      </c>
      <c r="I5" s="260">
        <v>118.44</v>
      </c>
      <c r="J5" s="534">
        <v>12.5</v>
      </c>
    </row>
    <row r="6" spans="1:10" ht="15.75" customHeight="1">
      <c r="A6" s="259" t="s">
        <v>4255</v>
      </c>
      <c r="B6" s="262" t="s">
        <v>6792</v>
      </c>
      <c r="C6" s="262" t="s">
        <v>6793</v>
      </c>
      <c r="D6" s="262" t="s">
        <v>6204</v>
      </c>
      <c r="E6" s="262">
        <v>2023</v>
      </c>
      <c r="F6" s="263">
        <v>12</v>
      </c>
      <c r="G6" s="262" t="s">
        <v>32</v>
      </c>
      <c r="H6" s="260" t="s">
        <v>4829</v>
      </c>
      <c r="I6" s="260">
        <v>123</v>
      </c>
      <c r="J6" s="534">
        <v>14</v>
      </c>
    </row>
    <row r="7" spans="1:10" ht="15.75" customHeight="1">
      <c r="A7" s="259" t="s">
        <v>4255</v>
      </c>
      <c r="B7" s="260" t="s">
        <v>6655</v>
      </c>
      <c r="C7" s="262" t="s">
        <v>6793</v>
      </c>
      <c r="D7" s="262" t="s">
        <v>6794</v>
      </c>
      <c r="E7" s="262">
        <v>2022</v>
      </c>
      <c r="F7" s="263">
        <v>12</v>
      </c>
      <c r="G7" s="260" t="s">
        <v>32</v>
      </c>
      <c r="H7" s="260" t="s">
        <v>6795</v>
      </c>
      <c r="I7" s="260">
        <v>72</v>
      </c>
      <c r="J7" s="534">
        <v>14</v>
      </c>
    </row>
    <row r="8" spans="1:10" ht="15.75" customHeight="1">
      <c r="A8" s="259" t="s">
        <v>4255</v>
      </c>
      <c r="B8" s="260" t="s">
        <v>6652</v>
      </c>
      <c r="C8" s="260" t="s">
        <v>6793</v>
      </c>
      <c r="D8" s="261" t="s">
        <v>6796</v>
      </c>
      <c r="E8" s="262">
        <v>2022</v>
      </c>
      <c r="F8" s="263">
        <v>12</v>
      </c>
      <c r="G8" s="260" t="s">
        <v>32</v>
      </c>
      <c r="H8" s="260" t="s">
        <v>4744</v>
      </c>
      <c r="I8" s="260">
        <v>72</v>
      </c>
      <c r="J8" s="534">
        <v>14</v>
      </c>
    </row>
    <row r="9" spans="1:10" ht="15.75" customHeight="1">
      <c r="A9" s="259" t="s">
        <v>4255</v>
      </c>
      <c r="B9" s="260" t="s">
        <v>6636</v>
      </c>
      <c r="C9" s="260" t="s">
        <v>6797</v>
      </c>
      <c r="D9" s="260" t="s">
        <v>973</v>
      </c>
      <c r="E9" s="262">
        <v>2023</v>
      </c>
      <c r="F9" s="263">
        <v>12</v>
      </c>
      <c r="G9" s="260" t="s">
        <v>32</v>
      </c>
      <c r="H9" s="260" t="s">
        <v>6798</v>
      </c>
      <c r="I9" s="260">
        <v>141.6</v>
      </c>
      <c r="J9" s="534">
        <v>13</v>
      </c>
    </row>
    <row r="10" spans="1:10" ht="15.75" customHeight="1">
      <c r="A10" s="259" t="s">
        <v>4255</v>
      </c>
      <c r="B10" s="534" t="s">
        <v>6635</v>
      </c>
      <c r="C10" s="260" t="s">
        <v>6797</v>
      </c>
      <c r="D10" s="260" t="s">
        <v>954</v>
      </c>
      <c r="E10" s="262">
        <v>2023</v>
      </c>
      <c r="F10" s="263">
        <v>12</v>
      </c>
      <c r="G10" s="260" t="s">
        <v>32</v>
      </c>
      <c r="H10" s="260" t="s">
        <v>4783</v>
      </c>
      <c r="I10" s="260">
        <v>132</v>
      </c>
      <c r="J10" s="534">
        <v>13</v>
      </c>
    </row>
    <row r="11" spans="1:10" ht="15.75" customHeight="1">
      <c r="A11" s="259" t="s">
        <v>4255</v>
      </c>
      <c r="B11" s="260" t="s">
        <v>6225</v>
      </c>
      <c r="C11" s="260" t="s">
        <v>6799</v>
      </c>
      <c r="D11" s="260" t="s">
        <v>6224</v>
      </c>
      <c r="E11" s="262">
        <v>2015</v>
      </c>
      <c r="F11" s="263">
        <v>12</v>
      </c>
      <c r="G11" s="260" t="s">
        <v>32</v>
      </c>
      <c r="H11" s="260" t="s">
        <v>6800</v>
      </c>
      <c r="I11" s="260">
        <v>193.8</v>
      </c>
      <c r="J11" s="534">
        <v>13.5</v>
      </c>
    </row>
    <row r="12" spans="1:10" ht="15.75" customHeight="1">
      <c r="A12" s="259" t="s">
        <v>4255</v>
      </c>
      <c r="B12" s="262" t="s">
        <v>6801</v>
      </c>
      <c r="C12" s="262" t="s">
        <v>6799</v>
      </c>
      <c r="D12" s="260" t="s">
        <v>6224</v>
      </c>
      <c r="E12" s="262">
        <v>2017</v>
      </c>
      <c r="F12" s="263">
        <v>12</v>
      </c>
      <c r="G12" s="262" t="s">
        <v>32</v>
      </c>
      <c r="H12" s="260" t="s">
        <v>6800</v>
      </c>
      <c r="I12" s="260">
        <v>193.8</v>
      </c>
      <c r="J12" s="534">
        <v>13.5</v>
      </c>
    </row>
    <row r="13" spans="1:10" ht="15.75" customHeight="1">
      <c r="A13" s="259" t="s">
        <v>4255</v>
      </c>
      <c r="B13" s="262" t="s">
        <v>6802</v>
      </c>
      <c r="C13" s="262" t="s">
        <v>6799</v>
      </c>
      <c r="D13" s="262" t="s">
        <v>6214</v>
      </c>
      <c r="E13" s="262">
        <v>2022</v>
      </c>
      <c r="F13" s="263">
        <v>12</v>
      </c>
      <c r="G13" s="260" t="s">
        <v>32</v>
      </c>
      <c r="H13" s="260" t="s">
        <v>6803</v>
      </c>
      <c r="I13" s="260">
        <v>168</v>
      </c>
      <c r="J13" s="534">
        <v>13.5</v>
      </c>
    </row>
    <row r="14" spans="1:10" ht="15.75" customHeight="1">
      <c r="A14" s="259" t="s">
        <v>4255</v>
      </c>
      <c r="B14" s="262" t="s">
        <v>6804</v>
      </c>
      <c r="C14" s="262" t="s">
        <v>6799</v>
      </c>
      <c r="D14" s="260" t="s">
        <v>6228</v>
      </c>
      <c r="E14" s="262">
        <v>2021</v>
      </c>
      <c r="F14" s="263">
        <v>12</v>
      </c>
      <c r="G14" s="260" t="s">
        <v>32</v>
      </c>
      <c r="H14" s="260" t="s">
        <v>6805</v>
      </c>
      <c r="I14" s="260">
        <v>132</v>
      </c>
      <c r="J14" s="534">
        <v>13</v>
      </c>
    </row>
    <row r="15" spans="1:10" ht="15.75" customHeight="1">
      <c r="A15" s="259" t="s">
        <v>4255</v>
      </c>
      <c r="B15" s="260" t="s">
        <v>6577</v>
      </c>
      <c r="C15" s="260" t="s">
        <v>6799</v>
      </c>
      <c r="D15" s="260" t="s">
        <v>6806</v>
      </c>
      <c r="E15" s="262">
        <v>2014</v>
      </c>
      <c r="F15" s="263">
        <v>12</v>
      </c>
      <c r="G15" s="260" t="s">
        <v>32</v>
      </c>
      <c r="H15" s="260" t="s">
        <v>4168</v>
      </c>
      <c r="I15" s="260">
        <v>167.4</v>
      </c>
      <c r="J15" s="534">
        <v>12.5</v>
      </c>
    </row>
    <row r="16" spans="1:10" ht="15.75" customHeight="1">
      <c r="A16" s="259" t="s">
        <v>4255</v>
      </c>
      <c r="B16" s="262" t="s">
        <v>6221</v>
      </c>
      <c r="C16" s="262" t="s">
        <v>6799</v>
      </c>
      <c r="D16" s="262" t="s">
        <v>6806</v>
      </c>
      <c r="E16" s="262">
        <v>2015</v>
      </c>
      <c r="F16" s="263">
        <v>12</v>
      </c>
      <c r="G16" s="260" t="s">
        <v>32</v>
      </c>
      <c r="H16" s="260" t="s">
        <v>5086</v>
      </c>
      <c r="I16" s="260">
        <v>191.4</v>
      </c>
      <c r="J16" s="534">
        <v>12.5</v>
      </c>
    </row>
    <row r="17" spans="1:10" ht="15.75" customHeight="1">
      <c r="A17" s="259" t="s">
        <v>4255</v>
      </c>
      <c r="B17" s="262" t="s">
        <v>6575</v>
      </c>
      <c r="C17" s="262" t="s">
        <v>6799</v>
      </c>
      <c r="D17" s="262" t="s">
        <v>6806</v>
      </c>
      <c r="E17" s="262">
        <v>2018</v>
      </c>
      <c r="F17" s="263">
        <v>12</v>
      </c>
      <c r="G17" s="260" t="s">
        <v>32</v>
      </c>
      <c r="H17" s="260" t="s">
        <v>5089</v>
      </c>
      <c r="I17" s="260">
        <v>167.4</v>
      </c>
      <c r="J17" s="534">
        <v>12.5</v>
      </c>
    </row>
    <row r="18" spans="1:10" ht="15.75" customHeight="1">
      <c r="A18" s="259" t="s">
        <v>4255</v>
      </c>
      <c r="B18" s="262" t="s">
        <v>6590</v>
      </c>
      <c r="C18" s="262" t="s">
        <v>6807</v>
      </c>
      <c r="D18" s="260" t="s">
        <v>6808</v>
      </c>
      <c r="E18" s="262">
        <v>2019</v>
      </c>
      <c r="F18" s="263">
        <v>12</v>
      </c>
      <c r="G18" s="260" t="s">
        <v>32</v>
      </c>
      <c r="H18" s="260" t="s">
        <v>6809</v>
      </c>
      <c r="I18" s="260">
        <v>78</v>
      </c>
      <c r="J18" s="534">
        <v>12.5</v>
      </c>
    </row>
    <row r="19" spans="1:10" ht="15.75" customHeight="1">
      <c r="A19" s="259" t="s">
        <v>4255</v>
      </c>
      <c r="B19" s="534" t="s">
        <v>6593</v>
      </c>
      <c r="C19" s="262" t="s">
        <v>6807</v>
      </c>
      <c r="D19" s="262" t="s">
        <v>6810</v>
      </c>
      <c r="E19" s="262">
        <v>2020</v>
      </c>
      <c r="F19" s="263">
        <v>12</v>
      </c>
      <c r="G19" s="260" t="s">
        <v>32</v>
      </c>
      <c r="H19" s="260" t="s">
        <v>4376</v>
      </c>
      <c r="I19" s="260">
        <v>144</v>
      </c>
      <c r="J19" s="534">
        <v>12.5</v>
      </c>
    </row>
    <row r="20" spans="1:10" ht="15.75" customHeight="1">
      <c r="A20" s="259" t="s">
        <v>4255</v>
      </c>
      <c r="B20" s="260" t="s">
        <v>6811</v>
      </c>
      <c r="C20" s="262" t="s">
        <v>6807</v>
      </c>
      <c r="D20" s="260" t="s">
        <v>6810</v>
      </c>
      <c r="E20" s="262">
        <v>2023</v>
      </c>
      <c r="F20" s="263">
        <v>12</v>
      </c>
      <c r="G20" s="262" t="s">
        <v>32</v>
      </c>
      <c r="H20" s="260" t="s">
        <v>6812</v>
      </c>
      <c r="I20" s="260">
        <v>144</v>
      </c>
      <c r="J20" s="534">
        <v>12.5</v>
      </c>
    </row>
    <row r="21" spans="1:10" ht="15.75" customHeight="1">
      <c r="A21" s="259" t="s">
        <v>4255</v>
      </c>
      <c r="B21" s="534" t="s">
        <v>6813</v>
      </c>
      <c r="C21" s="262" t="s">
        <v>6814</v>
      </c>
      <c r="D21" s="260" t="s">
        <v>6231</v>
      </c>
      <c r="E21" s="262">
        <v>2023</v>
      </c>
      <c r="F21" s="263">
        <v>12</v>
      </c>
      <c r="G21" s="260" t="s">
        <v>32</v>
      </c>
      <c r="H21" s="260" t="s">
        <v>6815</v>
      </c>
      <c r="I21" s="260">
        <v>90</v>
      </c>
      <c r="J21" s="534">
        <v>14.5</v>
      </c>
    </row>
    <row r="22" spans="1:10" ht="15.75" customHeight="1">
      <c r="A22" s="259" t="s">
        <v>4255</v>
      </c>
      <c r="B22" s="262" t="s">
        <v>6235</v>
      </c>
      <c r="C22" s="262" t="s">
        <v>6816</v>
      </c>
      <c r="D22" s="262" t="s">
        <v>6236</v>
      </c>
      <c r="E22" s="262">
        <v>2019</v>
      </c>
      <c r="F22" s="263">
        <v>12</v>
      </c>
      <c r="G22" s="260" t="s">
        <v>32</v>
      </c>
      <c r="H22" s="260" t="s">
        <v>5333</v>
      </c>
      <c r="I22" s="260">
        <v>118.2</v>
      </c>
      <c r="J22" s="534">
        <v>13</v>
      </c>
    </row>
    <row r="23" spans="1:10" ht="15.75" customHeight="1">
      <c r="A23" s="259" t="s">
        <v>4255</v>
      </c>
      <c r="B23" s="260" t="s">
        <v>6817</v>
      </c>
      <c r="C23" s="262" t="s">
        <v>6818</v>
      </c>
      <c r="D23" s="260" t="s">
        <v>6241</v>
      </c>
      <c r="E23" s="262">
        <v>2024</v>
      </c>
      <c r="F23" s="263">
        <v>12</v>
      </c>
      <c r="G23" s="260" t="s">
        <v>32</v>
      </c>
      <c r="H23" s="260" t="s">
        <v>4272</v>
      </c>
      <c r="I23" s="260">
        <v>124.8</v>
      </c>
      <c r="J23" s="534">
        <v>13</v>
      </c>
    </row>
    <row r="24" spans="1:10" ht="15.75" customHeight="1">
      <c r="A24" s="259" t="s">
        <v>4255</v>
      </c>
      <c r="B24" s="534" t="s">
        <v>6250</v>
      </c>
      <c r="C24" s="260" t="s">
        <v>6818</v>
      </c>
      <c r="D24" s="260" t="s">
        <v>6251</v>
      </c>
      <c r="E24" s="262">
        <v>2021</v>
      </c>
      <c r="F24" s="263">
        <v>12</v>
      </c>
      <c r="G24" s="260" t="s">
        <v>32</v>
      </c>
      <c r="H24" s="260" t="s">
        <v>3983</v>
      </c>
      <c r="I24" s="260">
        <v>134.63999999999999</v>
      </c>
      <c r="J24" s="534">
        <v>13</v>
      </c>
    </row>
    <row r="25" spans="1:10" ht="15.75" customHeight="1">
      <c r="A25" s="259" t="s">
        <v>4255</v>
      </c>
      <c r="B25" s="262" t="s">
        <v>6673</v>
      </c>
      <c r="C25" s="262" t="s">
        <v>6818</v>
      </c>
      <c r="D25" s="260" t="s">
        <v>6819</v>
      </c>
      <c r="E25" s="262">
        <v>2023</v>
      </c>
      <c r="F25" s="263">
        <v>12</v>
      </c>
      <c r="G25" s="262" t="s">
        <v>32</v>
      </c>
      <c r="H25" s="260" t="s">
        <v>4262</v>
      </c>
      <c r="I25" s="260">
        <v>174</v>
      </c>
      <c r="J25" s="534">
        <v>12</v>
      </c>
    </row>
    <row r="26" spans="1:10" ht="15.75" customHeight="1">
      <c r="A26" s="259" t="s">
        <v>4255</v>
      </c>
      <c r="B26" s="260" t="s">
        <v>6711</v>
      </c>
      <c r="C26" s="260" t="s">
        <v>6818</v>
      </c>
      <c r="D26" s="260" t="s">
        <v>6820</v>
      </c>
      <c r="E26" s="262">
        <v>2021</v>
      </c>
      <c r="F26" s="263">
        <v>12</v>
      </c>
      <c r="G26" s="260" t="s">
        <v>32</v>
      </c>
      <c r="H26" s="260" t="s">
        <v>4302</v>
      </c>
      <c r="I26" s="260">
        <v>240</v>
      </c>
      <c r="J26" s="534">
        <v>12</v>
      </c>
    </row>
    <row r="27" spans="1:10" ht="15.75" customHeight="1">
      <c r="A27" s="259" t="s">
        <v>4255</v>
      </c>
      <c r="B27" s="534" t="s">
        <v>6248</v>
      </c>
      <c r="C27" s="260" t="s">
        <v>6818</v>
      </c>
      <c r="D27" s="260" t="s">
        <v>6249</v>
      </c>
      <c r="E27" s="262">
        <v>2022</v>
      </c>
      <c r="F27" s="263">
        <v>12</v>
      </c>
      <c r="G27" s="260" t="s">
        <v>32</v>
      </c>
      <c r="H27" s="260" t="s">
        <v>6821</v>
      </c>
      <c r="I27" s="260">
        <v>169.2</v>
      </c>
      <c r="J27" s="534">
        <v>12.5</v>
      </c>
    </row>
    <row r="28" spans="1:10" ht="15.75" customHeight="1">
      <c r="A28" s="259" t="s">
        <v>4255</v>
      </c>
      <c r="B28" s="262" t="s">
        <v>6822</v>
      </c>
      <c r="C28" s="262" t="s">
        <v>6818</v>
      </c>
      <c r="D28" s="262" t="s">
        <v>6823</v>
      </c>
      <c r="E28" s="262">
        <v>2022</v>
      </c>
      <c r="F28" s="263">
        <v>12</v>
      </c>
      <c r="G28" s="262" t="s">
        <v>32</v>
      </c>
      <c r="H28" s="260" t="s">
        <v>6824</v>
      </c>
      <c r="I28" s="260">
        <v>240</v>
      </c>
      <c r="J28" s="534">
        <v>14</v>
      </c>
    </row>
    <row r="29" spans="1:10" ht="15.75" customHeight="1">
      <c r="A29" s="259" t="s">
        <v>4255</v>
      </c>
      <c r="B29" s="262" t="s">
        <v>6704</v>
      </c>
      <c r="C29" s="262" t="s">
        <v>6818</v>
      </c>
      <c r="D29" s="260" t="s">
        <v>6825</v>
      </c>
      <c r="E29" s="262">
        <v>2023</v>
      </c>
      <c r="F29" s="263">
        <v>12</v>
      </c>
      <c r="G29" s="260" t="s">
        <v>32</v>
      </c>
      <c r="H29" s="260" t="s">
        <v>5560</v>
      </c>
      <c r="I29" s="260">
        <v>144</v>
      </c>
      <c r="J29" s="534">
        <v>12.5</v>
      </c>
    </row>
    <row r="30" spans="1:10" ht="15.75" customHeight="1">
      <c r="A30" s="259" t="s">
        <v>4255</v>
      </c>
      <c r="B30" s="534" t="s">
        <v>6826</v>
      </c>
      <c r="C30" s="262" t="s">
        <v>6818</v>
      </c>
      <c r="D30" s="260" t="s">
        <v>6247</v>
      </c>
      <c r="E30" s="262">
        <v>2024</v>
      </c>
      <c r="F30" s="263">
        <v>12</v>
      </c>
      <c r="G30" s="262" t="s">
        <v>4141</v>
      </c>
      <c r="H30" s="260" t="s">
        <v>4142</v>
      </c>
      <c r="I30" s="260">
        <v>160.80000000000001</v>
      </c>
      <c r="J30" s="534">
        <v>15</v>
      </c>
    </row>
    <row r="31" spans="1:10" ht="15.75" customHeight="1">
      <c r="A31" s="259" t="s">
        <v>4255</v>
      </c>
      <c r="B31" s="534" t="s">
        <v>6827</v>
      </c>
      <c r="C31" s="262" t="s">
        <v>6818</v>
      </c>
      <c r="D31" s="260" t="s">
        <v>6828</v>
      </c>
      <c r="E31" s="262">
        <v>2022</v>
      </c>
      <c r="F31" s="263">
        <v>12</v>
      </c>
      <c r="G31" s="262" t="s">
        <v>32</v>
      </c>
      <c r="H31" s="260" t="s">
        <v>4818</v>
      </c>
      <c r="I31" s="260">
        <v>240</v>
      </c>
      <c r="J31" s="534">
        <v>12</v>
      </c>
    </row>
    <row r="32" spans="1:10" ht="15.75" customHeight="1">
      <c r="A32" s="259" t="s">
        <v>4255</v>
      </c>
      <c r="B32" s="534" t="s">
        <v>6677</v>
      </c>
      <c r="C32" s="262" t="s">
        <v>6818</v>
      </c>
      <c r="D32" s="262" t="s">
        <v>6828</v>
      </c>
      <c r="E32" s="262">
        <v>2023</v>
      </c>
      <c r="F32" s="263">
        <v>12</v>
      </c>
      <c r="G32" s="262" t="s">
        <v>32</v>
      </c>
      <c r="H32" s="260" t="s">
        <v>4659</v>
      </c>
      <c r="I32" s="260">
        <v>240</v>
      </c>
      <c r="J32" s="534">
        <v>12</v>
      </c>
    </row>
    <row r="33" spans="1:10" ht="15.75" customHeight="1">
      <c r="A33" s="259" t="s">
        <v>4255</v>
      </c>
      <c r="B33" s="534" t="s">
        <v>6689</v>
      </c>
      <c r="C33" s="260" t="s">
        <v>6818</v>
      </c>
      <c r="D33" s="260" t="s">
        <v>6829</v>
      </c>
      <c r="E33" s="262">
        <v>2024</v>
      </c>
      <c r="F33" s="263">
        <v>12</v>
      </c>
      <c r="G33" s="262" t="s">
        <v>32</v>
      </c>
      <c r="H33" s="260" t="s">
        <v>6830</v>
      </c>
      <c r="I33" s="260">
        <v>134.4</v>
      </c>
      <c r="J33" s="534">
        <v>13</v>
      </c>
    </row>
    <row r="34" spans="1:10" ht="15.75" customHeight="1">
      <c r="A34" s="259" t="s">
        <v>4255</v>
      </c>
      <c r="B34" s="534" t="s">
        <v>6831</v>
      </c>
      <c r="C34" s="262" t="s">
        <v>6832</v>
      </c>
      <c r="D34" s="262" t="s">
        <v>6833</v>
      </c>
      <c r="E34" s="262">
        <v>2024</v>
      </c>
      <c r="F34" s="263">
        <v>12</v>
      </c>
      <c r="G34" s="262" t="s">
        <v>32</v>
      </c>
      <c r="H34" s="260" t="s">
        <v>6834</v>
      </c>
      <c r="I34" s="260">
        <v>108</v>
      </c>
      <c r="J34" s="534">
        <v>14</v>
      </c>
    </row>
    <row r="35" spans="1:10" ht="15.75" customHeight="1">
      <c r="A35" s="259" t="s">
        <v>4255</v>
      </c>
      <c r="B35" s="534" t="s">
        <v>6835</v>
      </c>
      <c r="C35" s="262" t="s">
        <v>6836</v>
      </c>
      <c r="D35" s="260" t="s">
        <v>6254</v>
      </c>
      <c r="E35" s="262">
        <v>2023</v>
      </c>
      <c r="F35" s="263">
        <v>12</v>
      </c>
      <c r="G35" s="260" t="s">
        <v>32</v>
      </c>
      <c r="H35" s="260" t="s">
        <v>4590</v>
      </c>
      <c r="I35" s="260">
        <v>159</v>
      </c>
      <c r="J35" s="534">
        <v>13</v>
      </c>
    </row>
    <row r="36" spans="1:10" ht="15.75" customHeight="1">
      <c r="A36" s="259" t="s">
        <v>4255</v>
      </c>
      <c r="B36" s="262" t="s">
        <v>6723</v>
      </c>
      <c r="C36" s="260" t="s">
        <v>6837</v>
      </c>
      <c r="D36" s="262" t="s">
        <v>6838</v>
      </c>
      <c r="E36" s="262">
        <v>2021</v>
      </c>
      <c r="F36" s="263">
        <v>12</v>
      </c>
      <c r="G36" s="262" t="s">
        <v>32</v>
      </c>
      <c r="H36" s="260" t="s">
        <v>6839</v>
      </c>
      <c r="I36" s="260">
        <v>118.44</v>
      </c>
      <c r="J36" s="534">
        <v>12</v>
      </c>
    </row>
    <row r="37" spans="1:10" ht="15.75" customHeight="1">
      <c r="A37" s="259" t="s">
        <v>4255</v>
      </c>
      <c r="B37" s="534" t="s">
        <v>6840</v>
      </c>
      <c r="C37" s="260" t="s">
        <v>6841</v>
      </c>
      <c r="D37" s="260" t="s">
        <v>6257</v>
      </c>
      <c r="E37" s="262">
        <v>2024</v>
      </c>
      <c r="F37" s="263">
        <v>12</v>
      </c>
      <c r="G37" s="260" t="s">
        <v>32</v>
      </c>
      <c r="H37" s="260" t="s">
        <v>6842</v>
      </c>
      <c r="I37" s="260">
        <v>61.2</v>
      </c>
      <c r="J37" s="534">
        <v>12</v>
      </c>
    </row>
    <row r="38" spans="1:10" ht="15.75" customHeight="1">
      <c r="A38" s="259" t="s">
        <v>4255</v>
      </c>
      <c r="B38" s="262" t="s">
        <v>6599</v>
      </c>
      <c r="C38" s="260" t="s">
        <v>6843</v>
      </c>
      <c r="D38" s="262" t="s">
        <v>6263</v>
      </c>
      <c r="E38" s="262">
        <v>2023</v>
      </c>
      <c r="F38" s="263">
        <v>12</v>
      </c>
      <c r="G38" s="262" t="s">
        <v>32</v>
      </c>
      <c r="H38" s="260" t="s">
        <v>5488</v>
      </c>
      <c r="I38" s="260">
        <v>114.6</v>
      </c>
      <c r="J38" s="534">
        <v>12.5</v>
      </c>
    </row>
    <row r="39" spans="1:10" ht="15.75" customHeight="1">
      <c r="A39" s="259" t="s">
        <v>4255</v>
      </c>
      <c r="B39" s="260" t="s">
        <v>6844</v>
      </c>
      <c r="C39" s="262" t="s">
        <v>6845</v>
      </c>
      <c r="D39" s="260" t="s">
        <v>6266</v>
      </c>
      <c r="E39" s="262">
        <v>2024</v>
      </c>
      <c r="F39" s="263">
        <v>12</v>
      </c>
      <c r="G39" s="262" t="s">
        <v>32</v>
      </c>
      <c r="H39" s="260" t="s">
        <v>6846</v>
      </c>
      <c r="I39" s="260">
        <v>73.44</v>
      </c>
      <c r="J39" s="534">
        <v>13</v>
      </c>
    </row>
    <row r="40" spans="1:10" ht="15.75" customHeight="1">
      <c r="A40" s="259" t="s">
        <v>4255</v>
      </c>
      <c r="B40" s="262" t="s">
        <v>6601</v>
      </c>
      <c r="C40" s="262" t="s">
        <v>6847</v>
      </c>
      <c r="D40" s="262" t="s">
        <v>6848</v>
      </c>
      <c r="E40" s="262" t="s">
        <v>5</v>
      </c>
      <c r="F40" s="263">
        <v>12</v>
      </c>
      <c r="G40" s="262" t="s">
        <v>32</v>
      </c>
      <c r="H40" s="260" t="s">
        <v>6849</v>
      </c>
      <c r="I40" s="260">
        <v>155.4</v>
      </c>
      <c r="J40" s="534">
        <v>13</v>
      </c>
    </row>
    <row r="41" spans="1:10" ht="15.75" customHeight="1">
      <c r="A41" s="259" t="s">
        <v>4255</v>
      </c>
      <c r="B41" s="262" t="s">
        <v>6605</v>
      </c>
      <c r="C41" s="262" t="s">
        <v>6847</v>
      </c>
      <c r="D41" s="260" t="s">
        <v>6269</v>
      </c>
      <c r="E41" s="262">
        <v>2023</v>
      </c>
      <c r="F41" s="263">
        <v>12</v>
      </c>
      <c r="G41" s="262" t="s">
        <v>32</v>
      </c>
      <c r="H41" s="260" t="s">
        <v>6850</v>
      </c>
      <c r="I41" s="260">
        <v>120</v>
      </c>
      <c r="J41" s="534">
        <v>13</v>
      </c>
    </row>
    <row r="42" spans="1:10" ht="15.75" customHeight="1">
      <c r="A42" s="259" t="s">
        <v>4255</v>
      </c>
      <c r="B42" s="260" t="s">
        <v>6851</v>
      </c>
      <c r="C42" s="260" t="s">
        <v>6847</v>
      </c>
      <c r="D42" s="261" t="s">
        <v>6269</v>
      </c>
      <c r="E42" s="262">
        <v>2024</v>
      </c>
      <c r="F42" s="263">
        <v>12</v>
      </c>
      <c r="G42" s="260" t="s">
        <v>32</v>
      </c>
      <c r="H42" s="260" t="s">
        <v>6852</v>
      </c>
      <c r="I42" s="260">
        <v>127.8</v>
      </c>
      <c r="J42" s="534">
        <v>13</v>
      </c>
    </row>
    <row r="43" spans="1:10" ht="15.75" customHeight="1">
      <c r="A43" s="259" t="s">
        <v>4255</v>
      </c>
      <c r="B43" s="260" t="s">
        <v>6603</v>
      </c>
      <c r="C43" s="262" t="s">
        <v>6847</v>
      </c>
      <c r="D43" s="260" t="s">
        <v>6271</v>
      </c>
      <c r="E43" s="262">
        <v>2023</v>
      </c>
      <c r="F43" s="263">
        <v>12</v>
      </c>
      <c r="G43" s="262" t="s">
        <v>32</v>
      </c>
      <c r="H43" s="260" t="s">
        <v>6853</v>
      </c>
      <c r="I43" s="260">
        <v>127.8</v>
      </c>
      <c r="J43" s="534">
        <v>13</v>
      </c>
    </row>
    <row r="44" spans="1:10" ht="15.75" customHeight="1">
      <c r="A44" s="259" t="s">
        <v>4255</v>
      </c>
      <c r="B44" s="262" t="s">
        <v>6854</v>
      </c>
      <c r="C44" s="262" t="s">
        <v>6847</v>
      </c>
      <c r="D44" s="262" t="s">
        <v>6855</v>
      </c>
      <c r="E44" s="262">
        <v>2023</v>
      </c>
      <c r="F44" s="263">
        <v>12</v>
      </c>
      <c r="G44" s="262" t="s">
        <v>32</v>
      </c>
      <c r="H44" s="260" t="s">
        <v>5004</v>
      </c>
      <c r="I44" s="260">
        <v>143.4</v>
      </c>
      <c r="J44" s="534">
        <v>13</v>
      </c>
    </row>
    <row r="45" spans="1:10" ht="15.75" customHeight="1">
      <c r="A45" s="259" t="s">
        <v>4255</v>
      </c>
      <c r="B45" s="260" t="s">
        <v>6856</v>
      </c>
      <c r="C45" s="262" t="s">
        <v>6847</v>
      </c>
      <c r="D45" s="260" t="s">
        <v>6857</v>
      </c>
      <c r="E45" s="262">
        <v>2023</v>
      </c>
      <c r="F45" s="263">
        <v>12</v>
      </c>
      <c r="G45" s="262" t="s">
        <v>32</v>
      </c>
      <c r="H45" s="260" t="s">
        <v>6858</v>
      </c>
      <c r="I45" s="260">
        <v>143.4</v>
      </c>
      <c r="J45" s="534">
        <v>13</v>
      </c>
    </row>
    <row r="46" spans="1:10" ht="15.75" customHeight="1">
      <c r="A46" s="259" t="s">
        <v>4255</v>
      </c>
      <c r="B46" s="262" t="s">
        <v>6277</v>
      </c>
      <c r="C46" s="262" t="s">
        <v>6859</v>
      </c>
      <c r="D46" s="262" t="s">
        <v>6278</v>
      </c>
      <c r="E46" s="262">
        <v>2021</v>
      </c>
      <c r="F46" s="263">
        <v>12</v>
      </c>
      <c r="G46" s="262" t="s">
        <v>32</v>
      </c>
      <c r="H46" s="260" t="s">
        <v>4010</v>
      </c>
      <c r="I46" s="260">
        <v>108</v>
      </c>
      <c r="J46" s="534">
        <v>12</v>
      </c>
    </row>
    <row r="47" spans="1:10" ht="15.75" customHeight="1">
      <c r="A47" s="259" t="s">
        <v>4255</v>
      </c>
      <c r="B47" s="260" t="s">
        <v>6860</v>
      </c>
      <c r="C47" s="260" t="s">
        <v>6859</v>
      </c>
      <c r="D47" s="261" t="s">
        <v>6278</v>
      </c>
      <c r="E47" s="262">
        <v>2022</v>
      </c>
      <c r="F47" s="263">
        <v>12</v>
      </c>
      <c r="G47" s="260" t="s">
        <v>32</v>
      </c>
      <c r="H47" s="260" t="s">
        <v>6861</v>
      </c>
      <c r="I47" s="260">
        <v>137.4</v>
      </c>
      <c r="J47" s="534">
        <v>12</v>
      </c>
    </row>
    <row r="48" spans="1:10" ht="15.75" customHeight="1">
      <c r="A48" s="259" t="s">
        <v>4255</v>
      </c>
      <c r="B48" s="262" t="s">
        <v>6273</v>
      </c>
      <c r="C48" s="262" t="s">
        <v>6859</v>
      </c>
      <c r="D48" s="260" t="s">
        <v>6274</v>
      </c>
      <c r="E48" s="262">
        <v>2021</v>
      </c>
      <c r="F48" s="263">
        <v>12</v>
      </c>
      <c r="G48" s="260" t="s">
        <v>32</v>
      </c>
      <c r="H48" s="260" t="s">
        <v>6862</v>
      </c>
      <c r="I48" s="260">
        <v>84</v>
      </c>
      <c r="J48" s="534">
        <v>12.5</v>
      </c>
    </row>
    <row r="49" spans="1:10" ht="15.75" customHeight="1">
      <c r="A49" s="259" t="s">
        <v>4255</v>
      </c>
      <c r="B49" s="260" t="s">
        <v>6863</v>
      </c>
      <c r="C49" s="262" t="s">
        <v>6859</v>
      </c>
      <c r="D49" s="260" t="s">
        <v>6276</v>
      </c>
      <c r="E49" s="262">
        <v>2023</v>
      </c>
      <c r="F49" s="263">
        <v>12</v>
      </c>
      <c r="G49" s="262" t="s">
        <v>32</v>
      </c>
      <c r="H49" s="260" t="s">
        <v>6864</v>
      </c>
      <c r="I49" s="260">
        <v>133.80000000000001</v>
      </c>
      <c r="J49" s="534">
        <v>12</v>
      </c>
    </row>
    <row r="50" spans="1:10" ht="13">
      <c r="A50" s="259" t="s">
        <v>4255</v>
      </c>
      <c r="B50" s="534" t="s">
        <v>6732</v>
      </c>
      <c r="C50" s="262" t="s">
        <v>6865</v>
      </c>
      <c r="D50" s="260" t="s">
        <v>6866</v>
      </c>
      <c r="E50" s="262">
        <v>2022</v>
      </c>
      <c r="F50" s="263">
        <v>12</v>
      </c>
      <c r="G50" s="260" t="s">
        <v>32</v>
      </c>
      <c r="H50" s="260" t="s">
        <v>4696</v>
      </c>
      <c r="I50" s="260">
        <v>108</v>
      </c>
      <c r="J50" s="534">
        <v>12.5</v>
      </c>
    </row>
    <row r="51" spans="1:10" ht="13">
      <c r="A51" s="259" t="s">
        <v>4255</v>
      </c>
      <c r="B51" s="260" t="s">
        <v>6867</v>
      </c>
      <c r="C51" s="260" t="s">
        <v>6865</v>
      </c>
      <c r="D51" s="261" t="s">
        <v>6868</v>
      </c>
      <c r="E51" s="262">
        <v>2019</v>
      </c>
      <c r="F51" s="263">
        <v>12</v>
      </c>
      <c r="G51" s="260" t="s">
        <v>32</v>
      </c>
      <c r="H51" s="260" t="s">
        <v>4504</v>
      </c>
      <c r="I51" s="260">
        <v>80.52</v>
      </c>
      <c r="J51" s="534">
        <v>12.5</v>
      </c>
    </row>
    <row r="52" spans="1:10" ht="13">
      <c r="A52" s="259" t="s">
        <v>4255</v>
      </c>
      <c r="B52" s="262" t="s">
        <v>6729</v>
      </c>
      <c r="C52" s="262" t="s">
        <v>6865</v>
      </c>
      <c r="D52" s="260" t="s">
        <v>6868</v>
      </c>
      <c r="E52" s="262">
        <v>2022</v>
      </c>
      <c r="F52" s="263">
        <v>12</v>
      </c>
      <c r="G52" s="262" t="s">
        <v>32</v>
      </c>
      <c r="H52" s="260" t="s">
        <v>4304</v>
      </c>
      <c r="I52" s="260">
        <v>80.52</v>
      </c>
      <c r="J52" s="534">
        <v>12.5</v>
      </c>
    </row>
    <row r="53" spans="1:10" ht="13">
      <c r="A53" s="277"/>
      <c r="B53" s="277"/>
      <c r="C53" s="277"/>
      <c r="D53" s="278"/>
      <c r="E53" s="279"/>
      <c r="F53" s="280"/>
      <c r="G53" s="277"/>
      <c r="H53" s="277"/>
      <c r="I53" s="277"/>
      <c r="J53" s="535"/>
    </row>
    <row r="54" spans="1:10" ht="13">
      <c r="A54" s="268" t="s">
        <v>4940</v>
      </c>
      <c r="B54" s="534" t="s">
        <v>6869</v>
      </c>
      <c r="C54" s="262" t="s">
        <v>6870</v>
      </c>
      <c r="D54" s="260" t="s">
        <v>6871</v>
      </c>
      <c r="E54" s="262">
        <v>2018</v>
      </c>
      <c r="F54" s="263">
        <v>12</v>
      </c>
      <c r="G54" s="262" t="s">
        <v>32</v>
      </c>
      <c r="H54" s="260" t="s">
        <v>4315</v>
      </c>
      <c r="I54" s="260">
        <v>98.16</v>
      </c>
      <c r="J54" s="534">
        <v>13</v>
      </c>
    </row>
    <row r="55" spans="1:10" ht="13">
      <c r="A55" s="268" t="s">
        <v>4940</v>
      </c>
      <c r="B55" s="260" t="s">
        <v>6872</v>
      </c>
      <c r="C55" s="260" t="s">
        <v>6873</v>
      </c>
      <c r="D55" s="261" t="s">
        <v>6874</v>
      </c>
      <c r="E55" s="262">
        <v>2023</v>
      </c>
      <c r="F55" s="263">
        <v>12</v>
      </c>
      <c r="G55" s="260" t="s">
        <v>32</v>
      </c>
      <c r="H55" s="260" t="s">
        <v>6875</v>
      </c>
      <c r="I55" s="260">
        <v>77.400000000000006</v>
      </c>
      <c r="J55" s="534">
        <v>14</v>
      </c>
    </row>
    <row r="56" spans="1:10" ht="13">
      <c r="A56" s="268" t="s">
        <v>4940</v>
      </c>
      <c r="B56" s="260" t="s">
        <v>6876</v>
      </c>
      <c r="C56" s="260" t="s">
        <v>6877</v>
      </c>
      <c r="D56" s="261" t="s">
        <v>6878</v>
      </c>
      <c r="E56" s="262">
        <v>2024</v>
      </c>
      <c r="F56" s="263">
        <v>12</v>
      </c>
      <c r="G56" s="260" t="s">
        <v>32</v>
      </c>
      <c r="H56" s="260" t="s">
        <v>4138</v>
      </c>
      <c r="I56" s="260">
        <v>81.599999999999994</v>
      </c>
      <c r="J56" s="534">
        <v>12.5</v>
      </c>
    </row>
    <row r="57" spans="1:10" ht="13">
      <c r="A57" s="268" t="s">
        <v>4940</v>
      </c>
      <c r="B57" s="260" t="s">
        <v>6879</v>
      </c>
      <c r="C57" s="260" t="s">
        <v>6880</v>
      </c>
      <c r="D57" s="261" t="s">
        <v>6881</v>
      </c>
      <c r="E57" s="262">
        <v>2019</v>
      </c>
      <c r="F57" s="263">
        <v>12</v>
      </c>
      <c r="G57" s="260" t="s">
        <v>32</v>
      </c>
      <c r="H57" s="260" t="s">
        <v>4262</v>
      </c>
      <c r="I57" s="260">
        <v>87</v>
      </c>
      <c r="J57" s="534">
        <v>14</v>
      </c>
    </row>
    <row r="58" spans="1:10" ht="13">
      <c r="A58" s="268" t="s">
        <v>4940</v>
      </c>
      <c r="B58" s="260" t="s">
        <v>6882</v>
      </c>
      <c r="C58" s="262" t="s">
        <v>6880</v>
      </c>
      <c r="D58" s="260" t="s">
        <v>6881</v>
      </c>
      <c r="E58" s="262">
        <v>2020</v>
      </c>
      <c r="F58" s="263">
        <v>12</v>
      </c>
      <c r="G58" s="262" t="s">
        <v>32</v>
      </c>
      <c r="H58" s="260" t="s">
        <v>4262</v>
      </c>
      <c r="I58" s="260">
        <v>87</v>
      </c>
      <c r="J58" s="534">
        <v>14</v>
      </c>
    </row>
    <row r="59" spans="1:10" ht="13">
      <c r="A59" s="277"/>
      <c r="B59" s="277"/>
      <c r="C59" s="277"/>
      <c r="D59" s="278"/>
      <c r="E59" s="279"/>
      <c r="F59" s="280"/>
      <c r="G59" s="277"/>
      <c r="H59" s="277"/>
      <c r="I59" s="277"/>
      <c r="J59" s="535"/>
    </row>
    <row r="60" spans="1:10" ht="13">
      <c r="A60" s="269" t="s">
        <v>6883</v>
      </c>
      <c r="B60" s="534" t="s">
        <v>6884</v>
      </c>
      <c r="C60" s="262" t="s">
        <v>6885</v>
      </c>
      <c r="D60" s="260" t="s">
        <v>6886</v>
      </c>
      <c r="E60" s="262">
        <v>2025</v>
      </c>
      <c r="F60" s="263">
        <v>12</v>
      </c>
      <c r="G60" s="260" t="s">
        <v>32</v>
      </c>
      <c r="H60" s="260" t="s">
        <v>6887</v>
      </c>
      <c r="I60" s="260">
        <v>74.25</v>
      </c>
      <c r="J60" s="534">
        <v>12</v>
      </c>
    </row>
    <row r="61" spans="1:10" ht="13">
      <c r="A61" s="269" t="s">
        <v>6883</v>
      </c>
      <c r="B61" s="260" t="s">
        <v>6888</v>
      </c>
      <c r="C61" s="260" t="s">
        <v>6885</v>
      </c>
      <c r="D61" s="261" t="s">
        <v>6889</v>
      </c>
      <c r="E61" s="262">
        <v>2024</v>
      </c>
      <c r="F61" s="263">
        <v>12</v>
      </c>
      <c r="G61" s="260" t="s">
        <v>32</v>
      </c>
      <c r="H61" s="260" t="s">
        <v>6890</v>
      </c>
      <c r="I61" s="260">
        <v>92.4</v>
      </c>
      <c r="J61" s="534">
        <v>14</v>
      </c>
    </row>
    <row r="62" spans="1:10" ht="13">
      <c r="A62" s="269" t="s">
        <v>6883</v>
      </c>
      <c r="B62" s="260" t="s">
        <v>6772</v>
      </c>
      <c r="C62" s="260" t="s">
        <v>6885</v>
      </c>
      <c r="D62" s="261" t="s">
        <v>6891</v>
      </c>
      <c r="E62" s="262">
        <v>2024</v>
      </c>
      <c r="F62" s="263">
        <v>12</v>
      </c>
      <c r="G62" s="260" t="s">
        <v>32</v>
      </c>
      <c r="H62" s="260" t="s">
        <v>6892</v>
      </c>
      <c r="I62" s="260">
        <v>85.8</v>
      </c>
      <c r="J62" s="534">
        <v>14</v>
      </c>
    </row>
    <row r="63" spans="1:10" ht="13">
      <c r="A63" s="269" t="s">
        <v>6883</v>
      </c>
      <c r="B63" s="534" t="s">
        <v>6893</v>
      </c>
      <c r="C63" s="260" t="s">
        <v>6885</v>
      </c>
      <c r="D63" s="260" t="s">
        <v>6894</v>
      </c>
      <c r="E63" s="262">
        <v>2023</v>
      </c>
      <c r="F63" s="263">
        <v>12</v>
      </c>
      <c r="G63" s="260" t="s">
        <v>32</v>
      </c>
      <c r="H63" s="260" t="s">
        <v>6895</v>
      </c>
      <c r="I63" s="260">
        <v>92.4</v>
      </c>
      <c r="J63" s="534">
        <v>14</v>
      </c>
    </row>
    <row r="64" spans="1:10" ht="13">
      <c r="A64" s="269" t="s">
        <v>6883</v>
      </c>
      <c r="B64" s="534" t="s">
        <v>6896</v>
      </c>
      <c r="C64" s="260" t="s">
        <v>6885</v>
      </c>
      <c r="D64" s="260" t="s">
        <v>6897</v>
      </c>
      <c r="E64" s="262">
        <v>2024</v>
      </c>
      <c r="F64" s="263">
        <v>12</v>
      </c>
      <c r="G64" s="260" t="s">
        <v>32</v>
      </c>
      <c r="H64" s="260" t="s">
        <v>6898</v>
      </c>
      <c r="I64" s="260">
        <v>92.4</v>
      </c>
      <c r="J64" s="534">
        <v>13.5</v>
      </c>
    </row>
    <row r="65" spans="1:10" ht="13">
      <c r="A65" s="269" t="s">
        <v>6883</v>
      </c>
      <c r="B65" s="534" t="s">
        <v>6899</v>
      </c>
      <c r="C65" s="262" t="s">
        <v>6885</v>
      </c>
      <c r="D65" s="260" t="s">
        <v>6900</v>
      </c>
      <c r="E65" s="262">
        <v>2024</v>
      </c>
      <c r="F65" s="263">
        <v>12</v>
      </c>
      <c r="G65" s="260" t="s">
        <v>32</v>
      </c>
      <c r="H65" s="260" t="s">
        <v>6901</v>
      </c>
      <c r="I65" s="260">
        <v>92.4</v>
      </c>
      <c r="J65" s="534">
        <v>14</v>
      </c>
    </row>
    <row r="66" spans="1:10" ht="13">
      <c r="A66" s="269" t="s">
        <v>6883</v>
      </c>
      <c r="B66" s="260" t="s">
        <v>6769</v>
      </c>
      <c r="C66" s="260" t="s">
        <v>6885</v>
      </c>
      <c r="D66" s="261" t="s">
        <v>6902</v>
      </c>
      <c r="E66" s="262">
        <v>2024</v>
      </c>
      <c r="F66" s="263">
        <v>12</v>
      </c>
      <c r="G66" s="260" t="s">
        <v>32</v>
      </c>
      <c r="H66" s="260" t="s">
        <v>5412</v>
      </c>
      <c r="I66" s="260">
        <v>85.8</v>
      </c>
      <c r="J66" s="534">
        <v>14</v>
      </c>
    </row>
    <row r="67" spans="1:10" ht="13">
      <c r="A67" s="269" t="s">
        <v>6883</v>
      </c>
      <c r="B67" s="534" t="s">
        <v>6903</v>
      </c>
      <c r="C67" s="262" t="s">
        <v>6885</v>
      </c>
      <c r="D67" s="260" t="s">
        <v>6904</v>
      </c>
      <c r="E67" s="262">
        <v>2024</v>
      </c>
      <c r="F67" s="263">
        <v>12</v>
      </c>
      <c r="G67" s="260" t="s">
        <v>32</v>
      </c>
      <c r="H67" s="260" t="s">
        <v>6905</v>
      </c>
      <c r="I67" s="260">
        <v>69.599999999999994</v>
      </c>
      <c r="J67" s="534">
        <v>14</v>
      </c>
    </row>
    <row r="68" spans="1:10" ht="13">
      <c r="A68" s="269" t="s">
        <v>6883</v>
      </c>
      <c r="B68" s="260" t="s">
        <v>6906</v>
      </c>
      <c r="C68" s="260" t="s">
        <v>6885</v>
      </c>
      <c r="D68" s="261" t="s">
        <v>6907</v>
      </c>
      <c r="E68" s="262">
        <v>2024</v>
      </c>
      <c r="F68" s="263">
        <v>12</v>
      </c>
      <c r="G68" s="260" t="s">
        <v>32</v>
      </c>
      <c r="H68" s="260" t="s">
        <v>6908</v>
      </c>
      <c r="I68" s="260">
        <v>74.25</v>
      </c>
      <c r="J68" s="534">
        <v>13.5</v>
      </c>
    </row>
  </sheetData>
  <mergeCells count="1">
    <mergeCell ref="A1:J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I70"/>
  <sheetViews>
    <sheetView workbookViewId="0"/>
  </sheetViews>
  <sheetFormatPr baseColWidth="10" defaultColWidth="12.6640625" defaultRowHeight="15.75" customHeight="1"/>
  <cols>
    <col min="1" max="1" width="24.5" customWidth="1"/>
    <col min="2" max="2" width="32.83203125" customWidth="1"/>
    <col min="3" max="3" width="59" customWidth="1"/>
    <col min="4" max="4" width="9.83203125" customWidth="1"/>
    <col min="5" max="5" width="8.5" customWidth="1"/>
    <col min="6" max="6" width="8.6640625" customWidth="1"/>
    <col min="7" max="7" width="10.1640625" customWidth="1"/>
    <col min="8" max="8" width="10.6640625" customWidth="1"/>
    <col min="9" max="9" width="11.83203125" customWidth="1"/>
  </cols>
  <sheetData>
    <row r="1" spans="1:9" ht="19">
      <c r="A1" s="821" t="s">
        <v>6909</v>
      </c>
      <c r="B1" s="689"/>
      <c r="C1" s="689"/>
      <c r="D1" s="689"/>
      <c r="E1" s="689"/>
      <c r="F1" s="689"/>
      <c r="G1" s="689"/>
      <c r="H1" s="689"/>
      <c r="I1" s="690"/>
    </row>
    <row r="2" spans="1:9" ht="150.75" customHeight="1">
      <c r="A2" s="822"/>
      <c r="B2" s="725"/>
      <c r="C2" s="725"/>
      <c r="D2" s="725"/>
      <c r="E2" s="725"/>
      <c r="F2" s="725"/>
      <c r="G2" s="725"/>
      <c r="H2" s="725"/>
      <c r="I2" s="725"/>
    </row>
    <row r="3" spans="1:9" ht="33">
      <c r="A3" s="823" t="s">
        <v>6910</v>
      </c>
      <c r="B3" s="725"/>
      <c r="C3" s="725"/>
      <c r="D3" s="725"/>
      <c r="E3" s="725"/>
      <c r="F3" s="725"/>
      <c r="G3" s="725"/>
      <c r="H3" s="725"/>
      <c r="I3" s="725"/>
    </row>
    <row r="4" spans="1:9" ht="16">
      <c r="A4" s="536" t="s">
        <v>5844</v>
      </c>
      <c r="B4" s="536" t="s">
        <v>6424</v>
      </c>
      <c r="C4" s="536" t="s">
        <v>6560</v>
      </c>
      <c r="D4" s="536" t="s">
        <v>6426</v>
      </c>
      <c r="E4" s="536" t="s">
        <v>6427</v>
      </c>
      <c r="F4" s="536" t="s">
        <v>6428</v>
      </c>
      <c r="G4" s="536" t="s">
        <v>6429</v>
      </c>
      <c r="H4" s="536" t="s">
        <v>6561</v>
      </c>
      <c r="I4" s="536" t="s">
        <v>6430</v>
      </c>
    </row>
    <row r="5" spans="1:9" ht="31">
      <c r="A5" s="537" t="s">
        <v>6752</v>
      </c>
      <c r="B5" s="538"/>
      <c r="C5" s="538"/>
      <c r="D5" s="538"/>
      <c r="E5" s="538"/>
      <c r="F5" s="538"/>
      <c r="G5" s="538"/>
      <c r="H5" s="538"/>
      <c r="I5" s="538"/>
    </row>
    <row r="6" spans="1:9" ht="24">
      <c r="A6" s="539" t="s">
        <v>6911</v>
      </c>
    </row>
    <row r="7" spans="1:9" ht="16">
      <c r="A7" s="540" t="s">
        <v>6912</v>
      </c>
      <c r="B7" s="536"/>
      <c r="C7" s="536"/>
      <c r="D7" s="536"/>
      <c r="E7" s="536"/>
      <c r="F7" s="536"/>
      <c r="G7" s="536"/>
      <c r="H7" s="536"/>
      <c r="I7" s="536"/>
    </row>
    <row r="8" spans="1:9" ht="14">
      <c r="A8" s="541" t="s">
        <v>6913</v>
      </c>
      <c r="B8" s="541" t="s">
        <v>6914</v>
      </c>
      <c r="C8" s="542" t="s">
        <v>6782</v>
      </c>
      <c r="D8" s="541">
        <v>2022</v>
      </c>
      <c r="E8" s="541">
        <v>12</v>
      </c>
      <c r="F8" s="541" t="s">
        <v>2327</v>
      </c>
      <c r="G8" s="543">
        <v>108</v>
      </c>
      <c r="H8" s="544"/>
      <c r="I8" s="545"/>
    </row>
    <row r="9" spans="1:9" ht="14">
      <c r="A9" s="541" t="s">
        <v>6915</v>
      </c>
      <c r="B9" s="541" t="s">
        <v>6916</v>
      </c>
      <c r="C9" s="542" t="s">
        <v>6917</v>
      </c>
      <c r="D9" s="541">
        <v>2024</v>
      </c>
      <c r="E9" s="541">
        <v>12</v>
      </c>
      <c r="F9" s="546" t="s">
        <v>32</v>
      </c>
      <c r="G9" s="543">
        <v>120</v>
      </c>
      <c r="H9" s="544" t="s">
        <v>6918</v>
      </c>
      <c r="I9" s="545"/>
    </row>
    <row r="10" spans="1:9" ht="14">
      <c r="A10" s="541" t="s">
        <v>6919</v>
      </c>
      <c r="B10" s="541" t="s">
        <v>3140</v>
      </c>
      <c r="C10" s="542" t="s">
        <v>346</v>
      </c>
      <c r="D10" s="541">
        <v>2022</v>
      </c>
      <c r="E10" s="541">
        <v>12</v>
      </c>
      <c r="F10" s="541" t="s">
        <v>32</v>
      </c>
      <c r="G10" s="543">
        <v>120</v>
      </c>
      <c r="H10" s="544" t="s">
        <v>6918</v>
      </c>
      <c r="I10" s="545"/>
    </row>
    <row r="11" spans="1:9" ht="14">
      <c r="A11" s="541" t="s">
        <v>6920</v>
      </c>
      <c r="B11" s="541" t="s">
        <v>6921</v>
      </c>
      <c r="C11" s="542" t="s">
        <v>6922</v>
      </c>
      <c r="D11" s="541">
        <v>2022</v>
      </c>
      <c r="E11" s="541">
        <v>12</v>
      </c>
      <c r="F11" s="546" t="s">
        <v>32</v>
      </c>
      <c r="G11" s="543">
        <v>132</v>
      </c>
      <c r="H11" s="544"/>
      <c r="I11" s="545"/>
    </row>
    <row r="12" spans="1:9" ht="14">
      <c r="A12" s="541" t="s">
        <v>6923</v>
      </c>
      <c r="B12" s="541" t="s">
        <v>6924</v>
      </c>
      <c r="C12" s="542" t="s">
        <v>6925</v>
      </c>
      <c r="D12" s="541">
        <v>2022</v>
      </c>
      <c r="E12" s="546">
        <v>12</v>
      </c>
      <c r="F12" s="546" t="s">
        <v>32</v>
      </c>
      <c r="G12" s="543">
        <v>132</v>
      </c>
      <c r="H12" s="544"/>
      <c r="I12" s="545"/>
    </row>
    <row r="13" spans="1:9" ht="31">
      <c r="A13" s="547" t="s">
        <v>6926</v>
      </c>
      <c r="B13" s="538"/>
      <c r="C13" s="538"/>
      <c r="D13" s="538"/>
      <c r="E13" s="538"/>
      <c r="F13" s="538"/>
      <c r="G13" s="538"/>
      <c r="H13" s="538"/>
      <c r="I13" s="538"/>
    </row>
    <row r="14" spans="1:9" ht="24">
      <c r="A14" s="548" t="s">
        <v>6927</v>
      </c>
    </row>
    <row r="15" spans="1:9" ht="16">
      <c r="A15" s="549" t="s">
        <v>6928</v>
      </c>
      <c r="B15" s="536"/>
      <c r="C15" s="536"/>
      <c r="D15" s="536"/>
      <c r="E15" s="536"/>
      <c r="F15" s="536"/>
      <c r="G15" s="536"/>
      <c r="H15" s="536"/>
      <c r="I15" s="536"/>
    </row>
    <row r="16" spans="1:9" ht="14">
      <c r="A16" s="546" t="s">
        <v>6929</v>
      </c>
      <c r="B16" s="546" t="s">
        <v>6930</v>
      </c>
      <c r="C16" s="550" t="s">
        <v>6931</v>
      </c>
      <c r="D16" s="546">
        <v>2020</v>
      </c>
      <c r="E16" s="546">
        <v>12</v>
      </c>
      <c r="F16" s="546" t="s">
        <v>32</v>
      </c>
      <c r="G16" s="551">
        <v>156</v>
      </c>
      <c r="H16" s="546"/>
      <c r="I16" s="552"/>
    </row>
    <row r="17" spans="1:9" ht="14">
      <c r="A17" s="546" t="s">
        <v>6932</v>
      </c>
      <c r="B17" s="546" t="s">
        <v>6933</v>
      </c>
      <c r="C17" s="550" t="s">
        <v>6934</v>
      </c>
      <c r="D17" s="541">
        <v>2022</v>
      </c>
      <c r="E17" s="546">
        <v>12</v>
      </c>
      <c r="F17" s="546" t="s">
        <v>32</v>
      </c>
      <c r="G17" s="543">
        <v>162</v>
      </c>
      <c r="H17" s="544"/>
      <c r="I17" s="545"/>
    </row>
    <row r="18" spans="1:9" ht="14">
      <c r="A18" s="541" t="s">
        <v>6935</v>
      </c>
      <c r="B18" s="546" t="s">
        <v>6936</v>
      </c>
      <c r="C18" s="550" t="s">
        <v>6937</v>
      </c>
      <c r="D18" s="541">
        <v>2022</v>
      </c>
      <c r="E18" s="546">
        <v>12</v>
      </c>
      <c r="F18" s="546" t="s">
        <v>32</v>
      </c>
      <c r="G18" s="551">
        <v>156</v>
      </c>
      <c r="H18" s="553"/>
      <c r="I18" s="552"/>
    </row>
    <row r="19" spans="1:9" ht="14">
      <c r="A19" s="541" t="s">
        <v>6938</v>
      </c>
      <c r="B19" s="554" t="s">
        <v>6939</v>
      </c>
      <c r="C19" s="550" t="s">
        <v>6940</v>
      </c>
      <c r="D19" s="546">
        <v>2022</v>
      </c>
      <c r="E19" s="546">
        <v>12</v>
      </c>
      <c r="F19" s="546" t="s">
        <v>32</v>
      </c>
      <c r="G19" s="551">
        <v>156</v>
      </c>
      <c r="H19" s="544"/>
      <c r="I19" s="552"/>
    </row>
    <row r="20" spans="1:9" ht="14">
      <c r="A20" s="541" t="s">
        <v>6941</v>
      </c>
      <c r="B20" s="546" t="s">
        <v>6942</v>
      </c>
      <c r="C20" s="550" t="s">
        <v>6943</v>
      </c>
      <c r="D20" s="546">
        <v>2021</v>
      </c>
      <c r="E20" s="546">
        <v>12</v>
      </c>
      <c r="F20" s="546" t="s">
        <v>32</v>
      </c>
      <c r="G20" s="551">
        <v>156</v>
      </c>
      <c r="H20" s="544"/>
      <c r="I20" s="552"/>
    </row>
    <row r="21" spans="1:9" ht="14">
      <c r="A21" s="541" t="s">
        <v>6944</v>
      </c>
      <c r="B21" s="546" t="s">
        <v>6945</v>
      </c>
      <c r="C21" s="550" t="s">
        <v>6946</v>
      </c>
      <c r="D21" s="541">
        <v>2022</v>
      </c>
      <c r="E21" s="546">
        <v>12</v>
      </c>
      <c r="F21" s="546" t="s">
        <v>32</v>
      </c>
      <c r="G21" s="551">
        <v>126</v>
      </c>
      <c r="H21" s="544"/>
      <c r="I21" s="545"/>
    </row>
    <row r="22" spans="1:9" ht="14">
      <c r="A22" s="546" t="s">
        <v>6947</v>
      </c>
      <c r="B22" s="546" t="s">
        <v>6948</v>
      </c>
      <c r="C22" s="550" t="s">
        <v>6949</v>
      </c>
      <c r="D22" s="541">
        <v>2022</v>
      </c>
      <c r="E22" s="546">
        <v>12</v>
      </c>
      <c r="F22" s="546" t="s">
        <v>32</v>
      </c>
      <c r="G22" s="551">
        <v>132</v>
      </c>
      <c r="H22" s="544"/>
      <c r="I22" s="545"/>
    </row>
    <row r="23" spans="1:9" ht="14">
      <c r="A23" s="541" t="s">
        <v>6950</v>
      </c>
      <c r="B23" s="541" t="s">
        <v>6951</v>
      </c>
      <c r="C23" s="542" t="s">
        <v>6952</v>
      </c>
      <c r="D23" s="541">
        <v>2023</v>
      </c>
      <c r="E23" s="546">
        <v>12</v>
      </c>
      <c r="F23" s="546" t="s">
        <v>32</v>
      </c>
      <c r="G23" s="543">
        <v>150</v>
      </c>
      <c r="H23" s="544" t="s">
        <v>6918</v>
      </c>
      <c r="I23" s="545"/>
    </row>
    <row r="24" spans="1:9" ht="14">
      <c r="A24" s="546" t="s">
        <v>6953</v>
      </c>
      <c r="B24" s="546" t="s">
        <v>6954</v>
      </c>
      <c r="C24" s="550" t="s">
        <v>6955</v>
      </c>
      <c r="D24" s="546">
        <v>2020</v>
      </c>
      <c r="E24" s="546">
        <v>12</v>
      </c>
      <c r="F24" s="546" t="s">
        <v>32</v>
      </c>
      <c r="G24" s="551">
        <v>144</v>
      </c>
      <c r="H24" s="544"/>
      <c r="I24" s="545"/>
    </row>
    <row r="25" spans="1:9" ht="14">
      <c r="A25" s="546" t="s">
        <v>6956</v>
      </c>
      <c r="B25" s="546" t="s">
        <v>6957</v>
      </c>
      <c r="C25" s="550" t="s">
        <v>6958</v>
      </c>
      <c r="D25" s="541">
        <v>2022</v>
      </c>
      <c r="E25" s="546">
        <v>12</v>
      </c>
      <c r="F25" s="546" t="s">
        <v>32</v>
      </c>
      <c r="G25" s="543">
        <v>162</v>
      </c>
      <c r="H25" s="544" t="s">
        <v>6918</v>
      </c>
      <c r="I25" s="545"/>
    </row>
    <row r="26" spans="1:9" ht="14">
      <c r="A26" s="541" t="s">
        <v>6959</v>
      </c>
      <c r="B26" s="541" t="s">
        <v>6960</v>
      </c>
      <c r="C26" s="542" t="s">
        <v>6961</v>
      </c>
      <c r="D26" s="541">
        <v>2022</v>
      </c>
      <c r="E26" s="541">
        <v>12</v>
      </c>
      <c r="F26" s="541" t="s">
        <v>32</v>
      </c>
      <c r="G26" s="543">
        <v>156</v>
      </c>
      <c r="H26" s="544"/>
      <c r="I26" s="552"/>
    </row>
    <row r="27" spans="1:9" ht="14">
      <c r="A27" s="546" t="s">
        <v>6962</v>
      </c>
      <c r="B27" s="546" t="s">
        <v>6963</v>
      </c>
      <c r="C27" s="550" t="s">
        <v>6964</v>
      </c>
      <c r="D27" s="546">
        <v>2021</v>
      </c>
      <c r="E27" s="546">
        <v>12</v>
      </c>
      <c r="F27" s="546" t="s">
        <v>32</v>
      </c>
      <c r="G27" s="551">
        <v>156</v>
      </c>
      <c r="H27" s="544"/>
      <c r="I27" s="545"/>
    </row>
    <row r="28" spans="1:9" ht="14">
      <c r="A28" s="541" t="s">
        <v>6965</v>
      </c>
      <c r="B28" s="546" t="s">
        <v>6966</v>
      </c>
      <c r="C28" s="550" t="s">
        <v>6967</v>
      </c>
      <c r="D28" s="541">
        <v>2022</v>
      </c>
      <c r="E28" s="546">
        <v>12</v>
      </c>
      <c r="F28" s="546" t="s">
        <v>32</v>
      </c>
      <c r="G28" s="543">
        <v>162</v>
      </c>
      <c r="H28" s="544" t="s">
        <v>6918</v>
      </c>
      <c r="I28" s="545"/>
    </row>
    <row r="29" spans="1:9" ht="14">
      <c r="A29" s="541" t="s">
        <v>6968</v>
      </c>
      <c r="B29" s="546" t="s">
        <v>6969</v>
      </c>
      <c r="C29" s="550" t="s">
        <v>6970</v>
      </c>
      <c r="D29" s="546">
        <v>2021</v>
      </c>
      <c r="E29" s="546">
        <v>12</v>
      </c>
      <c r="F29" s="546" t="s">
        <v>32</v>
      </c>
      <c r="G29" s="551">
        <v>168</v>
      </c>
      <c r="H29" s="544"/>
      <c r="I29" s="552"/>
    </row>
    <row r="30" spans="1:9" ht="14">
      <c r="A30" s="546" t="s">
        <v>6971</v>
      </c>
      <c r="B30" s="546" t="s">
        <v>6972</v>
      </c>
      <c r="C30" s="542" t="s">
        <v>6973</v>
      </c>
      <c r="D30" s="546">
        <v>2019</v>
      </c>
      <c r="E30" s="546">
        <v>12</v>
      </c>
      <c r="F30" s="546" t="s">
        <v>32</v>
      </c>
      <c r="G30" s="551">
        <v>168</v>
      </c>
      <c r="H30" s="544"/>
      <c r="I30" s="545"/>
    </row>
    <row r="31" spans="1:9" ht="14">
      <c r="A31" s="541" t="s">
        <v>6974</v>
      </c>
      <c r="B31" s="546" t="s">
        <v>6972</v>
      </c>
      <c r="C31" s="542" t="s">
        <v>6973</v>
      </c>
      <c r="D31" s="541">
        <v>2021</v>
      </c>
      <c r="E31" s="546">
        <v>12</v>
      </c>
      <c r="F31" s="546" t="s">
        <v>32</v>
      </c>
      <c r="G31" s="551">
        <v>168</v>
      </c>
      <c r="H31" s="544"/>
      <c r="I31" s="545"/>
    </row>
    <row r="32" spans="1:9" ht="14">
      <c r="A32" s="546" t="s">
        <v>6975</v>
      </c>
      <c r="B32" s="546" t="s">
        <v>6976</v>
      </c>
      <c r="C32" s="550" t="s">
        <v>6977</v>
      </c>
      <c r="D32" s="546">
        <v>2021</v>
      </c>
      <c r="E32" s="546">
        <v>12</v>
      </c>
      <c r="F32" s="546" t="s">
        <v>32</v>
      </c>
      <c r="G32" s="551">
        <v>168</v>
      </c>
      <c r="H32" s="544"/>
      <c r="I32" s="552"/>
    </row>
    <row r="33" spans="1:9" ht="14">
      <c r="A33" s="541" t="s">
        <v>6978</v>
      </c>
      <c r="B33" s="546" t="s">
        <v>6979</v>
      </c>
      <c r="C33" s="550" t="s">
        <v>6980</v>
      </c>
      <c r="D33" s="541">
        <v>2022</v>
      </c>
      <c r="E33" s="546">
        <v>12</v>
      </c>
      <c r="F33" s="546" t="s">
        <v>32</v>
      </c>
      <c r="G33" s="551">
        <v>168</v>
      </c>
      <c r="H33" s="544"/>
      <c r="I33" s="545"/>
    </row>
    <row r="34" spans="1:9" ht="14">
      <c r="A34" s="546" t="s">
        <v>6981</v>
      </c>
      <c r="B34" s="546" t="s">
        <v>6982</v>
      </c>
      <c r="C34" s="550" t="s">
        <v>6983</v>
      </c>
      <c r="D34" s="546">
        <v>2020</v>
      </c>
      <c r="E34" s="546">
        <v>12</v>
      </c>
      <c r="F34" s="546" t="s">
        <v>32</v>
      </c>
      <c r="G34" s="551">
        <v>168</v>
      </c>
      <c r="H34" s="555"/>
      <c r="I34" s="545"/>
    </row>
    <row r="35" spans="1:9" ht="14">
      <c r="A35" s="541" t="s">
        <v>6984</v>
      </c>
      <c r="B35" s="546" t="s">
        <v>6985</v>
      </c>
      <c r="C35" s="550" t="s">
        <v>6986</v>
      </c>
      <c r="D35" s="541">
        <v>2020</v>
      </c>
      <c r="E35" s="546">
        <v>12</v>
      </c>
      <c r="F35" s="546" t="s">
        <v>32</v>
      </c>
      <c r="G35" s="551">
        <v>240</v>
      </c>
      <c r="H35" s="550"/>
      <c r="I35" s="545"/>
    </row>
    <row r="36" spans="1:9" ht="14">
      <c r="A36" s="541" t="s">
        <v>6987</v>
      </c>
      <c r="B36" s="546" t="s">
        <v>6985</v>
      </c>
      <c r="C36" s="550" t="s">
        <v>6986</v>
      </c>
      <c r="D36" s="541">
        <v>2021</v>
      </c>
      <c r="E36" s="546">
        <v>12</v>
      </c>
      <c r="F36" s="546" t="s">
        <v>32</v>
      </c>
      <c r="G36" s="551">
        <v>240</v>
      </c>
      <c r="H36" s="544"/>
      <c r="I36" s="545"/>
    </row>
    <row r="37" spans="1:9" ht="14">
      <c r="A37" s="541" t="s">
        <v>6988</v>
      </c>
      <c r="B37" s="546" t="s">
        <v>6985</v>
      </c>
      <c r="C37" s="550" t="s">
        <v>6986</v>
      </c>
      <c r="D37" s="541">
        <v>2022</v>
      </c>
      <c r="E37" s="546">
        <v>12</v>
      </c>
      <c r="F37" s="546" t="s">
        <v>32</v>
      </c>
      <c r="G37" s="551">
        <v>240</v>
      </c>
      <c r="H37" s="544"/>
      <c r="I37" s="545"/>
    </row>
    <row r="38" spans="1:9" ht="16">
      <c r="A38" s="549" t="s">
        <v>6989</v>
      </c>
      <c r="B38" s="536"/>
      <c r="C38" s="536"/>
      <c r="D38" s="536"/>
      <c r="E38" s="536"/>
      <c r="F38" s="536"/>
      <c r="G38" s="536"/>
      <c r="H38" s="536"/>
      <c r="I38" s="536"/>
    </row>
    <row r="39" spans="1:9" ht="14">
      <c r="A39" s="556">
        <v>153166</v>
      </c>
      <c r="B39" s="546" t="s">
        <v>6990</v>
      </c>
      <c r="C39" s="550" t="s">
        <v>6991</v>
      </c>
      <c r="D39" s="541">
        <v>2023</v>
      </c>
      <c r="E39" s="546">
        <v>12</v>
      </c>
      <c r="F39" s="546" t="s">
        <v>32</v>
      </c>
      <c r="G39" s="543">
        <v>105</v>
      </c>
      <c r="H39" s="544"/>
      <c r="I39" s="545"/>
    </row>
    <row r="40" spans="1:9" ht="14">
      <c r="A40" s="556">
        <v>153167</v>
      </c>
      <c r="B40" s="546" t="s">
        <v>6992</v>
      </c>
      <c r="C40" s="550" t="s">
        <v>6993</v>
      </c>
      <c r="D40" s="541">
        <v>2022</v>
      </c>
      <c r="E40" s="546">
        <v>12</v>
      </c>
      <c r="F40" s="546" t="s">
        <v>32</v>
      </c>
      <c r="G40" s="543">
        <v>126</v>
      </c>
      <c r="H40" s="550"/>
      <c r="I40" s="545"/>
    </row>
    <row r="41" spans="1:9" ht="31">
      <c r="A41" s="547" t="s">
        <v>0</v>
      </c>
      <c r="B41" s="538"/>
      <c r="C41" s="538"/>
      <c r="D41" s="538"/>
      <c r="E41" s="538"/>
      <c r="F41" s="538"/>
      <c r="G41" s="538"/>
      <c r="H41" s="538"/>
      <c r="I41" s="538"/>
    </row>
    <row r="42" spans="1:9" ht="24">
      <c r="A42" s="548" t="s">
        <v>6994</v>
      </c>
    </row>
    <row r="43" spans="1:9" ht="16">
      <c r="A43" s="549" t="s">
        <v>6995</v>
      </c>
      <c r="B43" s="536"/>
      <c r="C43" s="536"/>
      <c r="D43" s="536"/>
      <c r="E43" s="536"/>
      <c r="F43" s="536"/>
      <c r="G43" s="536"/>
      <c r="H43" s="536"/>
      <c r="I43" s="536"/>
    </row>
    <row r="44" spans="1:9" ht="14">
      <c r="A44" s="546" t="s">
        <v>6996</v>
      </c>
      <c r="B44" s="546" t="s">
        <v>6997</v>
      </c>
      <c r="C44" s="550" t="s">
        <v>6998</v>
      </c>
      <c r="D44" s="546">
        <v>2019</v>
      </c>
      <c r="E44" s="546">
        <v>12</v>
      </c>
      <c r="F44" s="546" t="s">
        <v>32</v>
      </c>
      <c r="G44" s="551">
        <v>156</v>
      </c>
      <c r="H44" s="555"/>
      <c r="I44" s="545"/>
    </row>
    <row r="45" spans="1:9" ht="14">
      <c r="A45" s="546" t="s">
        <v>6999</v>
      </c>
      <c r="B45" s="546" t="s">
        <v>6997</v>
      </c>
      <c r="C45" s="550" t="s">
        <v>6998</v>
      </c>
      <c r="D45" s="546">
        <v>2022</v>
      </c>
      <c r="E45" s="546">
        <v>12</v>
      </c>
      <c r="F45" s="546" t="s">
        <v>32</v>
      </c>
      <c r="G45" s="551">
        <v>168</v>
      </c>
      <c r="H45" s="550"/>
      <c r="I45" s="545"/>
    </row>
    <row r="46" spans="1:9" ht="14">
      <c r="A46" s="556" t="s">
        <v>7000</v>
      </c>
      <c r="B46" s="541" t="s">
        <v>7001</v>
      </c>
      <c r="C46" s="550" t="s">
        <v>7002</v>
      </c>
      <c r="D46" s="546">
        <v>2022</v>
      </c>
      <c r="E46" s="546">
        <v>12</v>
      </c>
      <c r="F46" s="546" t="s">
        <v>32</v>
      </c>
      <c r="G46" s="551">
        <v>168</v>
      </c>
      <c r="H46" s="550"/>
      <c r="I46" s="545"/>
    </row>
    <row r="47" spans="1:9" ht="14">
      <c r="A47" s="556" t="s">
        <v>7003</v>
      </c>
      <c r="B47" s="546" t="s">
        <v>7004</v>
      </c>
      <c r="C47" s="550" t="s">
        <v>7005</v>
      </c>
      <c r="D47" s="546">
        <v>2022</v>
      </c>
      <c r="E47" s="546">
        <v>12</v>
      </c>
      <c r="F47" s="546" t="s">
        <v>32</v>
      </c>
      <c r="G47" s="551">
        <v>168</v>
      </c>
      <c r="H47" s="550"/>
      <c r="I47" s="552"/>
    </row>
    <row r="48" spans="1:9" ht="16">
      <c r="A48" s="549" t="s">
        <v>7006</v>
      </c>
      <c r="B48" s="536"/>
      <c r="C48" s="536"/>
      <c r="D48" s="536"/>
      <c r="E48" s="536"/>
      <c r="F48" s="536"/>
      <c r="G48" s="536"/>
      <c r="H48" s="536"/>
      <c r="I48" s="536"/>
    </row>
    <row r="49" spans="1:9" ht="14">
      <c r="A49" s="546" t="s">
        <v>7007</v>
      </c>
      <c r="B49" s="546" t="s">
        <v>7008</v>
      </c>
      <c r="C49" s="550" t="s">
        <v>7009</v>
      </c>
      <c r="D49" s="541">
        <v>2023</v>
      </c>
      <c r="E49" s="546">
        <v>12</v>
      </c>
      <c r="F49" s="546" t="s">
        <v>32</v>
      </c>
      <c r="G49" s="551">
        <v>180</v>
      </c>
      <c r="H49" s="544"/>
      <c r="I49" s="552"/>
    </row>
    <row r="50" spans="1:9" ht="14">
      <c r="A50" s="546" t="s">
        <v>7010</v>
      </c>
      <c r="B50" s="546" t="s">
        <v>7011</v>
      </c>
      <c r="C50" s="550" t="s">
        <v>7005</v>
      </c>
      <c r="D50" s="541">
        <v>2023</v>
      </c>
      <c r="E50" s="546">
        <v>12</v>
      </c>
      <c r="F50" s="546" t="s">
        <v>32</v>
      </c>
      <c r="G50" s="551">
        <v>180</v>
      </c>
      <c r="H50" s="544"/>
      <c r="I50" s="545"/>
    </row>
    <row r="51" spans="1:9" ht="14">
      <c r="A51" s="546" t="s">
        <v>7012</v>
      </c>
      <c r="B51" s="541" t="s">
        <v>7013</v>
      </c>
      <c r="C51" s="542" t="s">
        <v>7014</v>
      </c>
      <c r="D51" s="541">
        <v>2023</v>
      </c>
      <c r="E51" s="546">
        <v>12</v>
      </c>
      <c r="F51" s="546" t="s">
        <v>32</v>
      </c>
      <c r="G51" s="551">
        <v>168</v>
      </c>
      <c r="H51" s="544"/>
      <c r="I51" s="545"/>
    </row>
    <row r="52" spans="1:9" ht="24">
      <c r="A52" s="548" t="s">
        <v>7015</v>
      </c>
    </row>
    <row r="53" spans="1:9" ht="16">
      <c r="A53" s="557" t="s">
        <v>7016</v>
      </c>
      <c r="B53" s="536"/>
      <c r="C53" s="536"/>
      <c r="D53" s="536"/>
      <c r="E53" s="536"/>
      <c r="F53" s="536"/>
      <c r="G53" s="536"/>
      <c r="H53" s="536"/>
      <c r="I53" s="536"/>
    </row>
    <row r="54" spans="1:9" ht="14">
      <c r="A54" s="556" t="s">
        <v>7017</v>
      </c>
      <c r="B54" s="546" t="s">
        <v>3146</v>
      </c>
      <c r="C54" s="550" t="s">
        <v>7018</v>
      </c>
      <c r="D54" s="558">
        <v>2023</v>
      </c>
      <c r="E54" s="546">
        <v>12</v>
      </c>
      <c r="F54" s="546" t="s">
        <v>32</v>
      </c>
      <c r="G54" s="543">
        <v>138</v>
      </c>
      <c r="H54" s="544"/>
      <c r="I54" s="545"/>
    </row>
    <row r="55" spans="1:9" ht="14">
      <c r="A55" s="556" t="s">
        <v>7019</v>
      </c>
      <c r="B55" s="546" t="s">
        <v>7020</v>
      </c>
      <c r="C55" s="550" t="s">
        <v>6658</v>
      </c>
      <c r="D55" s="541">
        <v>2024</v>
      </c>
      <c r="E55" s="546">
        <v>12</v>
      </c>
      <c r="F55" s="546" t="s">
        <v>32</v>
      </c>
      <c r="G55" s="551"/>
      <c r="H55" s="544" t="s">
        <v>7021</v>
      </c>
      <c r="I55" s="552"/>
    </row>
    <row r="56" spans="1:9" ht="14">
      <c r="A56" s="556" t="s">
        <v>7022</v>
      </c>
      <c r="B56" s="546" t="s">
        <v>7023</v>
      </c>
      <c r="C56" s="550" t="s">
        <v>133</v>
      </c>
      <c r="D56" s="541">
        <v>2023</v>
      </c>
      <c r="E56" s="546">
        <v>12</v>
      </c>
      <c r="F56" s="546" t="s">
        <v>32</v>
      </c>
      <c r="G56" s="543">
        <v>104</v>
      </c>
      <c r="H56" s="544"/>
      <c r="I56" s="545"/>
    </row>
    <row r="57" spans="1:9" ht="14">
      <c r="A57" s="554" t="s">
        <v>7024</v>
      </c>
      <c r="B57" s="541" t="s">
        <v>3133</v>
      </c>
      <c r="C57" s="542" t="s">
        <v>4</v>
      </c>
      <c r="D57" s="541">
        <v>2023</v>
      </c>
      <c r="E57" s="546">
        <v>12</v>
      </c>
      <c r="F57" s="546" t="s">
        <v>32</v>
      </c>
      <c r="G57" s="543">
        <v>104</v>
      </c>
      <c r="H57" s="544"/>
      <c r="I57" s="545"/>
    </row>
    <row r="58" spans="1:9" ht="14">
      <c r="A58" s="556" t="s">
        <v>7025</v>
      </c>
      <c r="B58" s="546" t="s">
        <v>7026</v>
      </c>
      <c r="C58" s="550" t="s">
        <v>321</v>
      </c>
      <c r="D58" s="541">
        <v>2023</v>
      </c>
      <c r="E58" s="546">
        <v>12</v>
      </c>
      <c r="F58" s="546" t="s">
        <v>32</v>
      </c>
      <c r="G58" s="543">
        <v>94</v>
      </c>
      <c r="H58" s="544" t="s">
        <v>7021</v>
      </c>
      <c r="I58" s="552"/>
    </row>
    <row r="59" spans="1:9" ht="14">
      <c r="A59" s="554" t="s">
        <v>7027</v>
      </c>
      <c r="B59" s="541" t="s">
        <v>7028</v>
      </c>
      <c r="C59" s="550" t="s">
        <v>321</v>
      </c>
      <c r="D59" s="541">
        <v>2023</v>
      </c>
      <c r="E59" s="546">
        <v>12</v>
      </c>
      <c r="F59" s="546" t="s">
        <v>32</v>
      </c>
      <c r="G59" s="543">
        <v>108</v>
      </c>
      <c r="H59" s="544"/>
      <c r="I59" s="545"/>
    </row>
    <row r="60" spans="1:9" ht="14">
      <c r="A60" s="556" t="s">
        <v>7029</v>
      </c>
      <c r="B60" s="546" t="s">
        <v>7030</v>
      </c>
      <c r="C60" s="550" t="s">
        <v>321</v>
      </c>
      <c r="D60" s="541">
        <v>2020</v>
      </c>
      <c r="E60" s="546">
        <v>12</v>
      </c>
      <c r="F60" s="546" t="s">
        <v>32</v>
      </c>
      <c r="G60" s="551">
        <v>144</v>
      </c>
      <c r="H60" s="544"/>
      <c r="I60" s="545"/>
    </row>
    <row r="61" spans="1:9" ht="14">
      <c r="A61" s="556" t="s">
        <v>7031</v>
      </c>
      <c r="B61" s="546" t="s">
        <v>3160</v>
      </c>
      <c r="C61" s="550" t="s">
        <v>463</v>
      </c>
      <c r="D61" s="541">
        <v>2023</v>
      </c>
      <c r="E61" s="546">
        <v>12</v>
      </c>
      <c r="F61" s="546" t="s">
        <v>32</v>
      </c>
      <c r="G61" s="543">
        <v>114</v>
      </c>
      <c r="H61" s="544" t="s">
        <v>7021</v>
      </c>
      <c r="I61" s="552"/>
    </row>
    <row r="62" spans="1:9" ht="14">
      <c r="A62" s="556" t="s">
        <v>7032</v>
      </c>
      <c r="B62" s="546" t="s">
        <v>7033</v>
      </c>
      <c r="C62" s="550" t="s">
        <v>7034</v>
      </c>
      <c r="D62" s="541">
        <v>2023</v>
      </c>
      <c r="E62" s="546">
        <v>12</v>
      </c>
      <c r="F62" s="546" t="s">
        <v>32</v>
      </c>
      <c r="G62" s="551">
        <v>94</v>
      </c>
      <c r="H62" s="544"/>
      <c r="I62" s="545"/>
    </row>
    <row r="63" spans="1:9" ht="14">
      <c r="A63" s="556" t="s">
        <v>7035</v>
      </c>
      <c r="B63" s="546" t="s">
        <v>7036</v>
      </c>
      <c r="C63" s="550" t="s">
        <v>155</v>
      </c>
      <c r="D63" s="541">
        <v>2023</v>
      </c>
      <c r="E63" s="546">
        <v>12</v>
      </c>
      <c r="F63" s="546" t="s">
        <v>32</v>
      </c>
      <c r="G63" s="543">
        <v>104</v>
      </c>
      <c r="H63" s="544" t="s">
        <v>7021</v>
      </c>
      <c r="I63" s="552"/>
    </row>
    <row r="64" spans="1:9" ht="24">
      <c r="A64" s="548" t="s">
        <v>6663</v>
      </c>
      <c r="D64" s="546"/>
    </row>
    <row r="65" spans="1:9" ht="16">
      <c r="A65" s="557" t="s">
        <v>7037</v>
      </c>
      <c r="B65" s="536"/>
      <c r="C65" s="536"/>
      <c r="D65" s="559"/>
      <c r="E65" s="536"/>
      <c r="F65" s="536"/>
      <c r="G65" s="536"/>
      <c r="H65" s="536"/>
      <c r="I65" s="536"/>
    </row>
    <row r="66" spans="1:9" ht="14">
      <c r="A66" s="560" t="s">
        <v>7038</v>
      </c>
      <c r="B66" s="546" t="s">
        <v>7039</v>
      </c>
      <c r="C66" s="550" t="s">
        <v>7040</v>
      </c>
      <c r="D66" s="561" t="s">
        <v>7041</v>
      </c>
      <c r="E66" s="546">
        <v>12</v>
      </c>
      <c r="F66" s="546" t="s">
        <v>32</v>
      </c>
      <c r="G66" s="551">
        <v>204</v>
      </c>
      <c r="H66" s="550"/>
      <c r="I66" s="545"/>
    </row>
    <row r="67" spans="1:9" ht="14">
      <c r="A67" s="556" t="s">
        <v>7042</v>
      </c>
      <c r="B67" s="546" t="s">
        <v>7043</v>
      </c>
      <c r="C67" s="550" t="s">
        <v>7044</v>
      </c>
      <c r="D67" s="546">
        <v>2019</v>
      </c>
      <c r="E67" s="546">
        <v>12</v>
      </c>
      <c r="F67" s="546" t="s">
        <v>32</v>
      </c>
      <c r="G67" s="551">
        <v>240</v>
      </c>
      <c r="H67" s="550"/>
      <c r="I67" s="545"/>
    </row>
    <row r="68" spans="1:9" ht="14">
      <c r="A68" s="556" t="s">
        <v>7045</v>
      </c>
      <c r="B68" s="546" t="s">
        <v>7046</v>
      </c>
      <c r="C68" s="550" t="s">
        <v>1322</v>
      </c>
      <c r="D68" s="546">
        <v>2020</v>
      </c>
      <c r="E68" s="546">
        <v>12</v>
      </c>
      <c r="F68" s="546" t="s">
        <v>32</v>
      </c>
      <c r="G68" s="551">
        <v>132</v>
      </c>
      <c r="H68" s="550"/>
      <c r="I68" s="545"/>
    </row>
    <row r="69" spans="1:9" ht="14">
      <c r="A69" s="556" t="s">
        <v>7047</v>
      </c>
      <c r="B69" s="546" t="s">
        <v>7048</v>
      </c>
      <c r="C69" s="550" t="s">
        <v>7049</v>
      </c>
      <c r="D69" s="546">
        <v>2021</v>
      </c>
      <c r="E69" s="546">
        <v>12</v>
      </c>
      <c r="F69" s="546" t="s">
        <v>32</v>
      </c>
      <c r="G69" s="551">
        <v>132</v>
      </c>
      <c r="H69" s="544" t="s">
        <v>7050</v>
      </c>
      <c r="I69" s="552"/>
    </row>
    <row r="70" spans="1:9" ht="14">
      <c r="A70" s="556" t="s">
        <v>7051</v>
      </c>
      <c r="B70" s="546" t="s">
        <v>7052</v>
      </c>
      <c r="C70" s="550" t="s">
        <v>7053</v>
      </c>
      <c r="D70" s="546">
        <v>2021</v>
      </c>
      <c r="E70" s="546">
        <v>12</v>
      </c>
      <c r="F70" s="546" t="s">
        <v>32</v>
      </c>
      <c r="G70" s="551">
        <v>144</v>
      </c>
      <c r="H70" s="544" t="s">
        <v>7050</v>
      </c>
      <c r="I70" s="552"/>
    </row>
  </sheetData>
  <mergeCells count="3">
    <mergeCell ref="A1:I1"/>
    <mergeCell ref="A2:I2"/>
    <mergeCell ref="A3:I3"/>
  </mergeCells>
  <pageMargins left="0.7" right="0.7" top="0.75" bottom="0.75" header="0" footer="0"/>
  <pageSetup fitToHeight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20"/>
  <sheetViews>
    <sheetView showGridLines="0" workbookViewId="0"/>
  </sheetViews>
  <sheetFormatPr baseColWidth="10" defaultColWidth="12.6640625" defaultRowHeight="15.75" customHeight="1"/>
  <cols>
    <col min="1" max="1" width="40.5" customWidth="1"/>
    <col min="2" max="3" width="8" customWidth="1"/>
    <col min="4" max="4" width="8.33203125" customWidth="1"/>
    <col min="5" max="5" width="4.1640625" customWidth="1"/>
    <col min="6" max="6" width="4.6640625" customWidth="1"/>
    <col min="7" max="7" width="10.33203125" customWidth="1"/>
    <col min="8" max="8" width="8.6640625" customWidth="1"/>
  </cols>
  <sheetData>
    <row r="1" spans="1:8" ht="18.75" customHeight="1">
      <c r="A1" s="562"/>
      <c r="B1" s="563"/>
      <c r="C1" s="563"/>
      <c r="D1" s="563"/>
      <c r="E1" s="563"/>
      <c r="F1" s="563"/>
      <c r="G1" s="563"/>
      <c r="H1" s="563"/>
    </row>
    <row r="2" spans="1:8" ht="30" customHeight="1">
      <c r="A2" s="564"/>
      <c r="B2" s="563"/>
      <c r="C2" s="563"/>
      <c r="D2" s="563"/>
      <c r="E2" s="563"/>
      <c r="F2" s="563"/>
      <c r="G2" s="563"/>
      <c r="H2" s="563"/>
    </row>
    <row r="3" spans="1:8" ht="12.75" customHeight="1">
      <c r="A3" s="564"/>
      <c r="B3" s="563"/>
      <c r="C3" s="563"/>
      <c r="D3" s="563"/>
      <c r="E3" s="563"/>
      <c r="F3" s="563"/>
      <c r="G3" s="563"/>
      <c r="H3" s="563"/>
    </row>
    <row r="4" spans="1:8" ht="12.75" customHeight="1">
      <c r="A4" s="564"/>
      <c r="B4" s="563"/>
      <c r="C4" s="563"/>
      <c r="D4" s="563"/>
      <c r="E4" s="563"/>
      <c r="F4" s="563"/>
      <c r="G4" s="563"/>
      <c r="H4" s="563"/>
    </row>
    <row r="5" spans="1:8" ht="12.75" customHeight="1">
      <c r="A5" s="564"/>
      <c r="B5" s="563"/>
      <c r="C5" s="563"/>
      <c r="D5" s="563"/>
      <c r="E5" s="563"/>
      <c r="F5" s="563"/>
      <c r="G5" s="563"/>
      <c r="H5" s="563"/>
    </row>
    <row r="6" spans="1:8" ht="12.75" customHeight="1">
      <c r="A6" s="824" t="s">
        <v>7054</v>
      </c>
      <c r="B6" s="725"/>
      <c r="C6" s="725"/>
      <c r="D6" s="725"/>
      <c r="E6" s="725"/>
      <c r="F6" s="725"/>
      <c r="G6" s="725"/>
      <c r="H6" s="725"/>
    </row>
    <row r="7" spans="1:8" ht="12.75" customHeight="1">
      <c r="A7" s="825" t="s">
        <v>7055</v>
      </c>
      <c r="B7" s="826"/>
      <c r="C7" s="826"/>
      <c r="D7" s="826"/>
      <c r="E7" s="826"/>
      <c r="F7" s="826"/>
      <c r="G7" s="826"/>
      <c r="H7" s="827"/>
    </row>
    <row r="8" spans="1:8" ht="12.75" customHeight="1">
      <c r="A8" s="825" t="s">
        <v>7056</v>
      </c>
      <c r="B8" s="826"/>
      <c r="C8" s="826"/>
      <c r="D8" s="826"/>
      <c r="E8" s="826"/>
      <c r="F8" s="826"/>
      <c r="G8" s="826"/>
      <c r="H8" s="827"/>
    </row>
    <row r="9" spans="1:8" ht="12.75" customHeight="1">
      <c r="A9" s="828" t="s">
        <v>7057</v>
      </c>
      <c r="B9" s="826"/>
      <c r="C9" s="826"/>
      <c r="D9" s="826"/>
      <c r="E9" s="826"/>
      <c r="F9" s="826"/>
      <c r="G9" s="826"/>
      <c r="H9" s="827"/>
    </row>
    <row r="10" spans="1:8" ht="12.75" customHeight="1">
      <c r="A10" s="829" t="s">
        <v>7058</v>
      </c>
      <c r="B10" s="826"/>
      <c r="C10" s="826"/>
      <c r="D10" s="826"/>
      <c r="E10" s="826"/>
      <c r="F10" s="826"/>
      <c r="G10" s="826"/>
      <c r="H10" s="827"/>
    </row>
    <row r="11" spans="1:8" ht="54.75" customHeight="1">
      <c r="A11" s="565" t="s">
        <v>7059</v>
      </c>
      <c r="B11" s="566" t="s">
        <v>7060</v>
      </c>
      <c r="C11" s="566" t="s">
        <v>7061</v>
      </c>
      <c r="D11" s="567" t="s">
        <v>7062</v>
      </c>
      <c r="E11" s="568"/>
      <c r="F11" s="568" t="s">
        <v>7063</v>
      </c>
      <c r="G11" s="568" t="s">
        <v>7064</v>
      </c>
      <c r="H11" s="569"/>
    </row>
    <row r="12" spans="1:8" ht="12.75" customHeight="1">
      <c r="A12" s="830" t="s">
        <v>3105</v>
      </c>
      <c r="B12" s="725"/>
      <c r="C12" s="725"/>
      <c r="D12" s="725"/>
      <c r="E12" s="725"/>
      <c r="F12" s="725"/>
      <c r="G12" s="725"/>
      <c r="H12" s="725"/>
    </row>
    <row r="13" spans="1:8" ht="12.75" customHeight="1">
      <c r="A13" s="831" t="s">
        <v>7065</v>
      </c>
      <c r="B13" s="725"/>
      <c r="C13" s="725"/>
      <c r="D13" s="725"/>
      <c r="E13" s="725"/>
      <c r="F13" s="725"/>
      <c r="G13" s="725"/>
      <c r="H13" s="725"/>
    </row>
    <row r="14" spans="1:8" ht="12.75" customHeight="1">
      <c r="A14" s="570" t="s">
        <v>7066</v>
      </c>
      <c r="B14" s="571"/>
      <c r="C14" s="572"/>
      <c r="D14" s="572"/>
      <c r="E14" s="572"/>
      <c r="F14" s="571"/>
      <c r="G14" s="572"/>
      <c r="H14" s="572"/>
    </row>
    <row r="15" spans="1:8" ht="12.75" customHeight="1">
      <c r="A15" s="573" t="s">
        <v>7067</v>
      </c>
      <c r="B15" s="574">
        <v>2020</v>
      </c>
      <c r="C15" s="574" t="s">
        <v>7068</v>
      </c>
      <c r="D15" s="575"/>
      <c r="E15" s="576"/>
      <c r="F15" s="576"/>
      <c r="G15" s="577" t="s">
        <v>7069</v>
      </c>
      <c r="H15" s="577" t="s">
        <v>7070</v>
      </c>
    </row>
    <row r="16" spans="1:8" ht="12.75" customHeight="1">
      <c r="A16" s="578" t="s">
        <v>7071</v>
      </c>
      <c r="B16" s="576"/>
      <c r="C16" s="576"/>
      <c r="D16" s="575"/>
      <c r="E16" s="576"/>
      <c r="F16" s="576"/>
      <c r="G16" s="575"/>
      <c r="H16" s="579" t="s">
        <v>7072</v>
      </c>
    </row>
    <row r="17" spans="1:8" ht="12.75" customHeight="1">
      <c r="A17" s="571"/>
      <c r="B17" s="576"/>
      <c r="C17" s="576"/>
      <c r="D17" s="575"/>
      <c r="E17" s="576"/>
      <c r="F17" s="576"/>
      <c r="G17" s="575"/>
      <c r="H17" s="572"/>
    </row>
    <row r="18" spans="1:8" ht="12.75" customHeight="1">
      <c r="A18" s="830" t="s">
        <v>2852</v>
      </c>
      <c r="B18" s="725"/>
      <c r="C18" s="725"/>
      <c r="D18" s="725"/>
      <c r="E18" s="725"/>
      <c r="F18" s="725"/>
      <c r="G18" s="725"/>
      <c r="H18" s="725"/>
    </row>
    <row r="19" spans="1:8" ht="12.75" customHeight="1">
      <c r="A19" s="831" t="s">
        <v>7073</v>
      </c>
      <c r="B19" s="725"/>
      <c r="C19" s="725"/>
      <c r="D19" s="725"/>
      <c r="E19" s="725"/>
      <c r="F19" s="725"/>
      <c r="G19" s="725"/>
      <c r="H19" s="725"/>
    </row>
    <row r="20" spans="1:8" ht="12.75" customHeight="1">
      <c r="A20" s="580" t="s">
        <v>7074</v>
      </c>
      <c r="B20" s="572"/>
      <c r="C20" s="572"/>
      <c r="D20" s="572"/>
      <c r="E20" s="572"/>
      <c r="F20" s="571"/>
      <c r="G20" s="572"/>
      <c r="H20" s="572"/>
    </row>
    <row r="21" spans="1:8" ht="12.75" customHeight="1">
      <c r="A21" s="581" t="s">
        <v>7075</v>
      </c>
      <c r="B21" s="577">
        <v>2017</v>
      </c>
      <c r="C21" s="577" t="s">
        <v>7076</v>
      </c>
      <c r="D21" s="577">
        <f>D22*12</f>
        <v>312</v>
      </c>
      <c r="E21" s="575"/>
      <c r="F21" s="582">
        <v>4</v>
      </c>
      <c r="G21" s="577" t="s">
        <v>7077</v>
      </c>
      <c r="H21" s="579" t="s">
        <v>7070</v>
      </c>
    </row>
    <row r="22" spans="1:8" ht="12.75" customHeight="1">
      <c r="A22" s="583" t="s">
        <v>7078</v>
      </c>
      <c r="B22" s="584"/>
      <c r="C22" s="584"/>
      <c r="D22" s="585">
        <v>26</v>
      </c>
      <c r="E22" s="584"/>
      <c r="F22" s="584"/>
      <c r="G22" s="586"/>
      <c r="H22" s="587" t="s">
        <v>7072</v>
      </c>
    </row>
    <row r="23" spans="1:8" ht="12.75" customHeight="1">
      <c r="A23" s="588" t="s">
        <v>7079</v>
      </c>
      <c r="B23" s="574">
        <v>2020</v>
      </c>
      <c r="C23" s="574" t="s">
        <v>7076</v>
      </c>
      <c r="D23" s="577">
        <f>D24*12</f>
        <v>202.20000000000002</v>
      </c>
      <c r="E23" s="576"/>
      <c r="F23" s="582" t="s">
        <v>7080</v>
      </c>
      <c r="G23" s="577" t="s">
        <v>7081</v>
      </c>
      <c r="H23" s="579" t="s">
        <v>7070</v>
      </c>
    </row>
    <row r="24" spans="1:8" ht="12.75" customHeight="1">
      <c r="A24" s="578" t="s">
        <v>7082</v>
      </c>
      <c r="B24" s="576"/>
      <c r="C24" s="576"/>
      <c r="D24" s="577">
        <v>16.850000000000001</v>
      </c>
      <c r="E24" s="576"/>
      <c r="F24" s="576"/>
      <c r="G24" s="576"/>
      <c r="H24" s="579" t="s">
        <v>7072</v>
      </c>
    </row>
    <row r="25" spans="1:8" ht="12.75" customHeight="1">
      <c r="A25" s="830" t="s">
        <v>3209</v>
      </c>
      <c r="B25" s="725"/>
      <c r="C25" s="725"/>
      <c r="D25" s="725"/>
      <c r="E25" s="725"/>
      <c r="F25" s="725"/>
      <c r="G25" s="725"/>
      <c r="H25" s="725"/>
    </row>
    <row r="26" spans="1:8" ht="12.75" customHeight="1">
      <c r="A26" s="832" t="s">
        <v>7083</v>
      </c>
      <c r="B26" s="833"/>
      <c r="C26" s="833"/>
      <c r="D26" s="833"/>
      <c r="E26" s="833"/>
      <c r="F26" s="833"/>
      <c r="G26" s="833"/>
      <c r="H26" s="833"/>
    </row>
    <row r="27" spans="1:8" ht="12.75" customHeight="1">
      <c r="A27" s="570" t="s">
        <v>7084</v>
      </c>
      <c r="B27" s="572"/>
      <c r="C27" s="572"/>
      <c r="D27" s="572"/>
      <c r="E27" s="572"/>
      <c r="F27" s="571"/>
      <c r="G27" s="572"/>
      <c r="H27" s="572"/>
    </row>
    <row r="28" spans="1:8" ht="12.75" customHeight="1">
      <c r="A28" s="589" t="s">
        <v>7085</v>
      </c>
      <c r="B28" s="574">
        <v>2021</v>
      </c>
      <c r="C28" s="590" t="s">
        <v>7076</v>
      </c>
      <c r="D28" s="577">
        <f>D29*12</f>
        <v>132</v>
      </c>
      <c r="E28" s="575"/>
      <c r="F28" s="571"/>
      <c r="G28" s="582" t="s">
        <v>7086</v>
      </c>
      <c r="H28" s="579" t="s">
        <v>7072</v>
      </c>
    </row>
    <row r="29" spans="1:8" ht="12.75" customHeight="1">
      <c r="A29" s="591" t="s">
        <v>7087</v>
      </c>
      <c r="B29" s="576"/>
      <c r="C29" s="592"/>
      <c r="D29" s="577">
        <v>11</v>
      </c>
      <c r="E29" s="575"/>
      <c r="F29" s="576"/>
      <c r="G29" s="575"/>
      <c r="H29" s="572"/>
    </row>
    <row r="30" spans="1:8" ht="12.75" customHeight="1">
      <c r="A30" s="572"/>
      <c r="B30" s="576"/>
      <c r="C30" s="593"/>
      <c r="D30" s="575"/>
      <c r="E30" s="575"/>
      <c r="F30" s="576"/>
      <c r="G30" s="576"/>
      <c r="H30" s="572"/>
    </row>
    <row r="31" spans="1:8" ht="12.75" customHeight="1">
      <c r="A31" s="834" t="s">
        <v>7088</v>
      </c>
      <c r="B31" s="725"/>
      <c r="C31" s="725"/>
      <c r="D31" s="725"/>
      <c r="E31" s="725"/>
      <c r="F31" s="725"/>
      <c r="G31" s="725"/>
      <c r="H31" s="725"/>
    </row>
    <row r="32" spans="1:8" ht="12.75" customHeight="1">
      <c r="A32" s="570" t="s">
        <v>7089</v>
      </c>
      <c r="B32" s="572"/>
      <c r="C32" s="572"/>
      <c r="D32" s="572"/>
      <c r="E32" s="572"/>
      <c r="F32" s="571"/>
      <c r="G32" s="572"/>
      <c r="H32" s="572"/>
    </row>
    <row r="33" spans="1:8" ht="12.75" customHeight="1">
      <c r="A33" s="594" t="s">
        <v>7090</v>
      </c>
      <c r="B33" s="574">
        <v>2021</v>
      </c>
      <c r="C33" s="595" t="s">
        <v>7076</v>
      </c>
      <c r="D33" s="577">
        <f>D34*12</f>
        <v>151.92000000000002</v>
      </c>
      <c r="E33" s="575"/>
      <c r="F33" s="574" t="s">
        <v>7091</v>
      </c>
      <c r="G33" s="577" t="s">
        <v>7092</v>
      </c>
      <c r="H33" s="577" t="s">
        <v>5790</v>
      </c>
    </row>
    <row r="34" spans="1:8" ht="12.75" customHeight="1">
      <c r="A34" s="596" t="s">
        <v>7093</v>
      </c>
      <c r="B34" s="586"/>
      <c r="C34" s="597"/>
      <c r="D34" s="585">
        <v>12.66</v>
      </c>
      <c r="E34" s="586"/>
      <c r="F34" s="584"/>
      <c r="G34" s="586"/>
      <c r="H34" s="586"/>
    </row>
    <row r="35" spans="1:8" ht="12.75" customHeight="1">
      <c r="A35" s="581" t="s">
        <v>7094</v>
      </c>
      <c r="B35" s="574">
        <v>2022</v>
      </c>
      <c r="C35" s="595" t="s">
        <v>7076</v>
      </c>
      <c r="D35" s="577">
        <f>D36*12</f>
        <v>160.56</v>
      </c>
      <c r="E35" s="575"/>
      <c r="F35" s="574" t="s">
        <v>7095</v>
      </c>
      <c r="G35" s="577" t="s">
        <v>7096</v>
      </c>
      <c r="H35" s="577" t="s">
        <v>5790</v>
      </c>
    </row>
    <row r="36" spans="1:8" ht="12.75" customHeight="1">
      <c r="A36" s="598" t="s">
        <v>7097</v>
      </c>
      <c r="B36" s="586"/>
      <c r="C36" s="597"/>
      <c r="D36" s="585">
        <v>13.38</v>
      </c>
      <c r="E36" s="586"/>
      <c r="F36" s="584"/>
      <c r="G36" s="586"/>
      <c r="H36" s="586"/>
    </row>
    <row r="37" spans="1:8" ht="12.75" customHeight="1">
      <c r="A37" s="581" t="s">
        <v>7098</v>
      </c>
      <c r="B37" s="574">
        <v>2021</v>
      </c>
      <c r="C37" s="595" t="s">
        <v>7076</v>
      </c>
      <c r="D37" s="577">
        <f>D38*12</f>
        <v>176.39999999999998</v>
      </c>
      <c r="E37" s="575"/>
      <c r="F37" s="574" t="s">
        <v>7099</v>
      </c>
      <c r="G37" s="577" t="s">
        <v>7100</v>
      </c>
      <c r="H37" s="577" t="s">
        <v>5790</v>
      </c>
    </row>
    <row r="38" spans="1:8" ht="12.75" customHeight="1">
      <c r="A38" s="596" t="s">
        <v>7097</v>
      </c>
      <c r="B38" s="586"/>
      <c r="C38" s="597"/>
      <c r="D38" s="585">
        <v>14.7</v>
      </c>
      <c r="E38" s="586"/>
      <c r="F38" s="584"/>
      <c r="G38" s="586"/>
      <c r="H38" s="586"/>
    </row>
    <row r="39" spans="1:8" ht="12.75" customHeight="1">
      <c r="A39" s="581" t="s">
        <v>7101</v>
      </c>
      <c r="B39" s="574">
        <v>2021</v>
      </c>
      <c r="C39" s="595" t="s">
        <v>7076</v>
      </c>
      <c r="D39" s="577">
        <f>D40*12</f>
        <v>162</v>
      </c>
      <c r="E39" s="575"/>
      <c r="F39" s="574">
        <v>5</v>
      </c>
      <c r="G39" s="577" t="s">
        <v>7102</v>
      </c>
      <c r="H39" s="577" t="s">
        <v>5790</v>
      </c>
    </row>
    <row r="40" spans="1:8" ht="12.75" customHeight="1">
      <c r="A40" s="596" t="s">
        <v>7103</v>
      </c>
      <c r="B40" s="586"/>
      <c r="C40" s="597"/>
      <c r="D40" s="585">
        <v>13.5</v>
      </c>
      <c r="E40" s="586"/>
      <c r="F40" s="584"/>
      <c r="G40" s="586"/>
      <c r="H40" s="586"/>
    </row>
    <row r="41" spans="1:8" ht="12.75" customHeight="1">
      <c r="A41" s="581" t="s">
        <v>7104</v>
      </c>
      <c r="B41" s="574">
        <v>2019</v>
      </c>
      <c r="C41" s="595" t="s">
        <v>7105</v>
      </c>
      <c r="D41" s="577">
        <f>D42*12</f>
        <v>558.59999999999991</v>
      </c>
      <c r="E41" s="575"/>
      <c r="F41" s="574">
        <v>2</v>
      </c>
      <c r="G41" s="577" t="s">
        <v>7106</v>
      </c>
      <c r="H41" s="577" t="s">
        <v>5790</v>
      </c>
    </row>
    <row r="42" spans="1:8" ht="12.75" customHeight="1">
      <c r="A42" s="599" t="s">
        <v>7103</v>
      </c>
      <c r="B42" s="575"/>
      <c r="C42" s="600"/>
      <c r="D42" s="577">
        <v>46.55</v>
      </c>
      <c r="E42" s="575"/>
      <c r="F42" s="576"/>
      <c r="G42" s="575"/>
      <c r="H42" s="575"/>
    </row>
    <row r="43" spans="1:8" ht="12.75" customHeight="1">
      <c r="A43" s="572"/>
      <c r="B43" s="575"/>
      <c r="C43" s="600"/>
      <c r="D43" s="575"/>
      <c r="E43" s="575"/>
      <c r="F43" s="576"/>
      <c r="G43" s="575"/>
      <c r="H43" s="575"/>
    </row>
    <row r="44" spans="1:8" ht="12.75" customHeight="1">
      <c r="A44" s="601" t="s">
        <v>7107</v>
      </c>
      <c r="B44" s="572"/>
      <c r="C44" s="572"/>
      <c r="D44" s="572"/>
      <c r="E44" s="572"/>
      <c r="F44" s="571"/>
      <c r="G44" s="572"/>
      <c r="H44" s="602"/>
    </row>
    <row r="45" spans="1:8" ht="12.75" customHeight="1">
      <c r="A45" s="603" t="s">
        <v>7108</v>
      </c>
      <c r="B45" s="574">
        <v>2021</v>
      </c>
      <c r="C45" s="595" t="s">
        <v>7076</v>
      </c>
      <c r="D45" s="577">
        <f>D46*12</f>
        <v>150</v>
      </c>
      <c r="E45" s="575"/>
      <c r="F45" s="574" t="s">
        <v>7109</v>
      </c>
      <c r="G45" s="577" t="s">
        <v>7110</v>
      </c>
      <c r="H45" s="577" t="s">
        <v>5790</v>
      </c>
    </row>
    <row r="46" spans="1:8" ht="12.75" customHeight="1">
      <c r="A46" s="596" t="s">
        <v>7111</v>
      </c>
      <c r="B46" s="586"/>
      <c r="C46" s="604">
        <v>6.5000000000000002E-2</v>
      </c>
      <c r="D46" s="585">
        <v>12.5</v>
      </c>
      <c r="E46" s="586"/>
      <c r="F46" s="584"/>
      <c r="G46" s="586"/>
      <c r="H46" s="585" t="s">
        <v>7112</v>
      </c>
    </row>
    <row r="47" spans="1:8" ht="12.75" customHeight="1">
      <c r="A47" s="605" t="s">
        <v>7113</v>
      </c>
      <c r="B47" s="574">
        <v>2021</v>
      </c>
      <c r="C47" s="606" t="s">
        <v>7076</v>
      </c>
      <c r="D47" s="577">
        <f>D48*12</f>
        <v>150</v>
      </c>
      <c r="E47" s="575"/>
      <c r="F47" s="574" t="s">
        <v>7114</v>
      </c>
      <c r="G47" s="577" t="s">
        <v>7115</v>
      </c>
      <c r="H47" s="577" t="s">
        <v>5790</v>
      </c>
    </row>
    <row r="48" spans="1:8" ht="12.75" customHeight="1">
      <c r="A48" s="596" t="s">
        <v>7116</v>
      </c>
      <c r="B48" s="586"/>
      <c r="C48" s="607">
        <v>7.0000000000000007E-2</v>
      </c>
      <c r="D48" s="585">
        <v>12.5</v>
      </c>
      <c r="E48" s="586"/>
      <c r="F48" s="584"/>
      <c r="G48" s="586"/>
      <c r="H48" s="585" t="s">
        <v>7112</v>
      </c>
    </row>
    <row r="49" spans="1:8" ht="12.75" customHeight="1">
      <c r="A49" s="608" t="s">
        <v>7117</v>
      </c>
      <c r="B49" s="574">
        <v>2021</v>
      </c>
      <c r="C49" s="595" t="s">
        <v>7076</v>
      </c>
      <c r="D49" s="577">
        <f>D50*12</f>
        <v>156</v>
      </c>
      <c r="E49" s="575"/>
      <c r="F49" s="574" t="s">
        <v>7118</v>
      </c>
      <c r="G49" s="577" t="s">
        <v>7119</v>
      </c>
      <c r="H49" s="577" t="s">
        <v>5790</v>
      </c>
    </row>
    <row r="50" spans="1:8" ht="12.75" customHeight="1">
      <c r="A50" s="596" t="s">
        <v>7120</v>
      </c>
      <c r="B50" s="586"/>
      <c r="C50" s="607">
        <v>0.1</v>
      </c>
      <c r="D50" s="585">
        <v>13</v>
      </c>
      <c r="E50" s="586"/>
      <c r="F50" s="584"/>
      <c r="G50" s="586"/>
      <c r="H50" s="585" t="s">
        <v>7112</v>
      </c>
    </row>
    <row r="51" spans="1:8" ht="12.75" customHeight="1">
      <c r="A51" s="581" t="s">
        <v>7121</v>
      </c>
      <c r="B51" s="574">
        <v>2021</v>
      </c>
      <c r="C51" s="595" t="s">
        <v>7076</v>
      </c>
      <c r="D51" s="577">
        <f>D52*12</f>
        <v>162</v>
      </c>
      <c r="E51" s="575"/>
      <c r="F51" s="574">
        <v>18</v>
      </c>
      <c r="G51" s="577" t="s">
        <v>7122</v>
      </c>
      <c r="H51" s="577" t="s">
        <v>5790</v>
      </c>
    </row>
    <row r="52" spans="1:8" ht="12.75" customHeight="1">
      <c r="A52" s="599" t="s">
        <v>7123</v>
      </c>
      <c r="B52" s="575"/>
      <c r="C52" s="609">
        <v>0.13</v>
      </c>
      <c r="D52" s="577">
        <v>13.5</v>
      </c>
      <c r="E52" s="575"/>
      <c r="F52" s="576"/>
      <c r="G52" s="575"/>
      <c r="H52" s="577" t="s">
        <v>7112</v>
      </c>
    </row>
    <row r="53" spans="1:8" ht="12.75" customHeight="1">
      <c r="A53" s="572"/>
      <c r="B53" s="575"/>
      <c r="C53" s="600"/>
      <c r="D53" s="575"/>
      <c r="E53" s="575"/>
      <c r="F53" s="576"/>
      <c r="G53" s="575"/>
      <c r="H53" s="575"/>
    </row>
    <row r="54" spans="1:8" ht="12.75" customHeight="1">
      <c r="A54" s="834" t="s">
        <v>7124</v>
      </c>
      <c r="B54" s="725"/>
      <c r="C54" s="725"/>
      <c r="D54" s="725"/>
      <c r="E54" s="725"/>
      <c r="F54" s="725"/>
      <c r="G54" s="725"/>
      <c r="H54" s="725"/>
    </row>
    <row r="55" spans="1:8" ht="12.75" customHeight="1">
      <c r="A55" s="570" t="s">
        <v>7125</v>
      </c>
      <c r="B55" s="572"/>
      <c r="C55" s="572"/>
      <c r="D55" s="572"/>
      <c r="E55" s="572"/>
      <c r="F55" s="571"/>
      <c r="G55" s="572"/>
      <c r="H55" s="602"/>
    </row>
    <row r="56" spans="1:8" ht="12.75" customHeight="1">
      <c r="A56" s="594" t="s">
        <v>7126</v>
      </c>
      <c r="B56" s="574">
        <v>2020</v>
      </c>
      <c r="C56" s="577" t="s">
        <v>7076</v>
      </c>
      <c r="D56" s="575"/>
      <c r="E56" s="575"/>
      <c r="F56" s="576"/>
      <c r="G56" s="577" t="s">
        <v>7127</v>
      </c>
      <c r="H56" s="577" t="s">
        <v>5790</v>
      </c>
    </row>
    <row r="57" spans="1:8" ht="12.75" customHeight="1">
      <c r="A57" s="610" t="s">
        <v>7128</v>
      </c>
      <c r="B57" s="575"/>
      <c r="C57" s="575"/>
      <c r="D57" s="575"/>
      <c r="E57" s="575"/>
      <c r="F57" s="576"/>
      <c r="G57" s="575"/>
      <c r="H57" s="577" t="s">
        <v>5790</v>
      </c>
    </row>
    <row r="58" spans="1:8" ht="12.75" customHeight="1">
      <c r="A58" s="572"/>
      <c r="B58" s="575"/>
      <c r="C58" s="575"/>
      <c r="D58" s="575"/>
      <c r="E58" s="575"/>
      <c r="F58" s="576"/>
      <c r="G58" s="575"/>
      <c r="H58" s="575"/>
    </row>
    <row r="59" spans="1:8" ht="12.75" customHeight="1">
      <c r="A59" s="832" t="s">
        <v>7129</v>
      </c>
      <c r="B59" s="833"/>
      <c r="C59" s="833"/>
      <c r="D59" s="833"/>
      <c r="E59" s="833"/>
      <c r="F59" s="833"/>
      <c r="G59" s="833"/>
      <c r="H59" s="833"/>
    </row>
    <row r="60" spans="1:8" ht="12.75" customHeight="1">
      <c r="A60" s="611" t="s">
        <v>7130</v>
      </c>
      <c r="B60" s="575"/>
      <c r="C60" s="575"/>
      <c r="D60" s="575"/>
      <c r="E60" s="575"/>
      <c r="F60" s="576"/>
      <c r="G60" s="575"/>
      <c r="H60" s="572"/>
    </row>
    <row r="61" spans="1:8" ht="12.75" customHeight="1">
      <c r="A61" s="594" t="s">
        <v>7131</v>
      </c>
      <c r="B61" s="574">
        <v>2020</v>
      </c>
      <c r="C61" s="577" t="s">
        <v>7076</v>
      </c>
      <c r="D61" s="577">
        <f>D62*12</f>
        <v>132</v>
      </c>
      <c r="E61" s="575"/>
      <c r="F61" s="574">
        <v>36</v>
      </c>
      <c r="G61" s="577" t="s">
        <v>7132</v>
      </c>
      <c r="H61" s="577" t="s">
        <v>5790</v>
      </c>
    </row>
    <row r="62" spans="1:8" ht="12.75" customHeight="1">
      <c r="A62" s="610" t="s">
        <v>7133</v>
      </c>
      <c r="B62" s="575"/>
      <c r="C62" s="575"/>
      <c r="D62" s="577">
        <v>11</v>
      </c>
      <c r="E62" s="575"/>
      <c r="F62" s="576"/>
      <c r="G62" s="575"/>
      <c r="H62" s="577" t="s">
        <v>5790</v>
      </c>
    </row>
    <row r="63" spans="1:8" ht="12.75" customHeight="1">
      <c r="A63" s="572"/>
      <c r="B63" s="575"/>
      <c r="C63" s="575"/>
      <c r="D63" s="575"/>
      <c r="E63" s="575"/>
      <c r="F63" s="576"/>
      <c r="G63" s="575"/>
      <c r="H63" s="575"/>
    </row>
    <row r="64" spans="1:8" ht="12.75" customHeight="1">
      <c r="A64" s="612" t="s">
        <v>7134</v>
      </c>
      <c r="B64" s="575"/>
      <c r="C64" s="575"/>
      <c r="D64" s="575"/>
      <c r="E64" s="575"/>
      <c r="F64" s="576"/>
      <c r="G64" s="575"/>
      <c r="H64" s="572"/>
    </row>
    <row r="65" spans="1:8" ht="12.75" customHeight="1">
      <c r="A65" s="613" t="s">
        <v>7135</v>
      </c>
      <c r="B65" s="574">
        <v>2021</v>
      </c>
      <c r="C65" s="577" t="s">
        <v>7076</v>
      </c>
      <c r="D65" s="577">
        <f>D66*12</f>
        <v>171</v>
      </c>
      <c r="E65" s="575"/>
      <c r="F65" s="574" t="s">
        <v>7136</v>
      </c>
      <c r="G65" s="577" t="s">
        <v>7137</v>
      </c>
      <c r="H65" s="577" t="s">
        <v>5790</v>
      </c>
    </row>
    <row r="66" spans="1:8" ht="12.75" customHeight="1">
      <c r="A66" s="598" t="s">
        <v>7138</v>
      </c>
      <c r="B66" s="586"/>
      <c r="C66" s="586"/>
      <c r="D66" s="585">
        <v>14.25</v>
      </c>
      <c r="E66" s="586"/>
      <c r="F66" s="584"/>
      <c r="G66" s="586"/>
      <c r="H66" s="585" t="s">
        <v>5790</v>
      </c>
    </row>
    <row r="67" spans="1:8" ht="12.75" customHeight="1">
      <c r="A67" s="594" t="s">
        <v>7139</v>
      </c>
      <c r="B67" s="574">
        <v>2021</v>
      </c>
      <c r="C67" s="577" t="s">
        <v>7076</v>
      </c>
      <c r="D67" s="577">
        <f>D68*12</f>
        <v>204</v>
      </c>
      <c r="E67" s="575"/>
      <c r="F67" s="574" t="s">
        <v>7140</v>
      </c>
      <c r="G67" s="577" t="s">
        <v>7141</v>
      </c>
      <c r="H67" s="577" t="s">
        <v>5790</v>
      </c>
    </row>
    <row r="68" spans="1:8" ht="12.75" customHeight="1">
      <c r="A68" s="596" t="s">
        <v>7142</v>
      </c>
      <c r="B68" s="586"/>
      <c r="C68" s="586"/>
      <c r="D68" s="585">
        <v>17</v>
      </c>
      <c r="E68" s="586"/>
      <c r="F68" s="584"/>
      <c r="G68" s="586"/>
      <c r="H68" s="585" t="s">
        <v>5790</v>
      </c>
    </row>
    <row r="69" spans="1:8" ht="12.75" customHeight="1">
      <c r="A69" s="614" t="s">
        <v>7143</v>
      </c>
      <c r="B69" s="574">
        <v>2021</v>
      </c>
      <c r="C69" s="577" t="s">
        <v>7076</v>
      </c>
      <c r="D69" s="577">
        <f>D70*12</f>
        <v>198</v>
      </c>
      <c r="E69" s="575"/>
      <c r="F69" s="574" t="s">
        <v>7144</v>
      </c>
      <c r="G69" s="577" t="s">
        <v>7145</v>
      </c>
      <c r="H69" s="577" t="s">
        <v>5790</v>
      </c>
    </row>
    <row r="70" spans="1:8" ht="12.75" customHeight="1">
      <c r="A70" s="599" t="s">
        <v>7146</v>
      </c>
      <c r="B70" s="575"/>
      <c r="C70" s="575"/>
      <c r="D70" s="577">
        <v>16.5</v>
      </c>
      <c r="E70" s="575"/>
      <c r="F70" s="576"/>
      <c r="G70" s="575"/>
      <c r="H70" s="577" t="s">
        <v>5790</v>
      </c>
    </row>
    <row r="71" spans="1:8" ht="12.75" customHeight="1">
      <c r="A71" s="572"/>
      <c r="B71" s="575"/>
      <c r="C71" s="575"/>
      <c r="D71" s="575"/>
      <c r="E71" s="575"/>
      <c r="F71" s="576"/>
      <c r="G71" s="575"/>
      <c r="H71" s="575"/>
    </row>
    <row r="72" spans="1:8" ht="12.75" customHeight="1">
      <c r="A72" s="570" t="s">
        <v>7147</v>
      </c>
      <c r="B72" s="571"/>
      <c r="C72" s="602"/>
      <c r="D72" s="572"/>
      <c r="E72" s="572"/>
      <c r="F72" s="571"/>
      <c r="G72" s="572"/>
      <c r="H72" s="575"/>
    </row>
    <row r="73" spans="1:8" ht="12.75" customHeight="1">
      <c r="A73" s="615" t="s">
        <v>7148</v>
      </c>
      <c r="B73" s="572"/>
      <c r="C73" s="572"/>
      <c r="D73" s="572"/>
      <c r="E73" s="572"/>
      <c r="F73" s="571"/>
      <c r="G73" s="572"/>
      <c r="H73" s="572"/>
    </row>
    <row r="74" spans="1:8" ht="12.75" customHeight="1">
      <c r="A74" s="616" t="s">
        <v>7149</v>
      </c>
      <c r="B74" s="617">
        <v>2020</v>
      </c>
      <c r="C74" s="595" t="s">
        <v>7076</v>
      </c>
      <c r="D74" s="577">
        <f>D75*12</f>
        <v>138</v>
      </c>
      <c r="E74" s="575"/>
      <c r="F74" s="574">
        <v>4</v>
      </c>
      <c r="G74" s="577" t="s">
        <v>7150</v>
      </c>
      <c r="H74" s="577" t="s">
        <v>5790</v>
      </c>
    </row>
    <row r="75" spans="1:8" ht="12.75" customHeight="1">
      <c r="A75" s="596" t="s">
        <v>7151</v>
      </c>
      <c r="B75" s="584"/>
      <c r="C75" s="597"/>
      <c r="D75" s="585">
        <v>11.5</v>
      </c>
      <c r="E75" s="586"/>
      <c r="F75" s="584"/>
      <c r="G75" s="618"/>
      <c r="H75" s="585" t="s">
        <v>7072</v>
      </c>
    </row>
    <row r="76" spans="1:8" ht="12.75" customHeight="1">
      <c r="A76" s="589" t="s">
        <v>7152</v>
      </c>
      <c r="B76" s="574">
        <v>2020</v>
      </c>
      <c r="C76" s="577" t="s">
        <v>7076</v>
      </c>
      <c r="D76" s="577">
        <f>D77*12</f>
        <v>138</v>
      </c>
      <c r="E76" s="575"/>
      <c r="F76" s="574">
        <v>99</v>
      </c>
      <c r="G76" s="577" t="s">
        <v>7153</v>
      </c>
      <c r="H76" s="577" t="s">
        <v>5790</v>
      </c>
    </row>
    <row r="77" spans="1:8" ht="12.75" customHeight="1">
      <c r="A77" s="619" t="s">
        <v>7154</v>
      </c>
      <c r="B77" s="584"/>
      <c r="C77" s="597"/>
      <c r="D77" s="585">
        <v>11.5</v>
      </c>
      <c r="E77" s="586"/>
      <c r="F77" s="584"/>
      <c r="G77" s="618"/>
      <c r="H77" s="585" t="s">
        <v>7072</v>
      </c>
    </row>
    <row r="78" spans="1:8" ht="12.75" customHeight="1">
      <c r="A78" s="581" t="s">
        <v>7155</v>
      </c>
      <c r="B78" s="574">
        <v>2019</v>
      </c>
      <c r="C78" s="595" t="s">
        <v>7076</v>
      </c>
      <c r="D78" s="577">
        <f>D79*12</f>
        <v>138</v>
      </c>
      <c r="E78" s="575"/>
      <c r="F78" s="574" t="s">
        <v>7156</v>
      </c>
      <c r="G78" s="577" t="s">
        <v>7157</v>
      </c>
      <c r="H78" s="577" t="s">
        <v>5790</v>
      </c>
    </row>
    <row r="79" spans="1:8" ht="12.75" customHeight="1">
      <c r="A79" s="596" t="s">
        <v>7158</v>
      </c>
      <c r="B79" s="584"/>
      <c r="C79" s="597"/>
      <c r="D79" s="585">
        <v>11.5</v>
      </c>
      <c r="E79" s="586"/>
      <c r="F79" s="584"/>
      <c r="G79" s="618"/>
      <c r="H79" s="585" t="s">
        <v>7072</v>
      </c>
    </row>
    <row r="80" spans="1:8" ht="12.75" customHeight="1">
      <c r="A80" s="572"/>
      <c r="B80" s="572"/>
      <c r="C80" s="572"/>
      <c r="D80" s="572"/>
      <c r="E80" s="572"/>
      <c r="F80" s="571"/>
      <c r="G80" s="572"/>
      <c r="H80" s="572"/>
    </row>
    <row r="81" spans="1:8" ht="12.75" customHeight="1">
      <c r="A81" s="615" t="s">
        <v>7159</v>
      </c>
      <c r="B81" s="572"/>
      <c r="C81" s="572"/>
      <c r="D81" s="572"/>
      <c r="E81" s="572"/>
      <c r="F81" s="571"/>
      <c r="G81" s="572"/>
      <c r="H81" s="572"/>
    </row>
    <row r="82" spans="1:8" ht="12.75" customHeight="1">
      <c r="A82" s="620" t="s">
        <v>7160</v>
      </c>
      <c r="B82" s="574" t="s">
        <v>5</v>
      </c>
      <c r="C82" s="609" t="s">
        <v>7076</v>
      </c>
      <c r="D82" s="577">
        <f>D83*12</f>
        <v>216</v>
      </c>
      <c r="E82" s="575"/>
      <c r="F82" s="574" t="s">
        <v>7161</v>
      </c>
      <c r="G82" s="577" t="s">
        <v>7162</v>
      </c>
      <c r="H82" s="577" t="s">
        <v>5790</v>
      </c>
    </row>
    <row r="83" spans="1:8" ht="12.75" customHeight="1">
      <c r="A83" s="596" t="s">
        <v>7163</v>
      </c>
      <c r="B83" s="586"/>
      <c r="C83" s="586"/>
      <c r="D83" s="585">
        <v>18</v>
      </c>
      <c r="E83" s="586"/>
      <c r="F83" s="584"/>
      <c r="G83" s="618"/>
      <c r="H83" s="585" t="s">
        <v>7072</v>
      </c>
    </row>
    <row r="84" spans="1:8" ht="12.75" customHeight="1">
      <c r="A84" s="589" t="s">
        <v>7164</v>
      </c>
      <c r="B84" s="574" t="s">
        <v>5</v>
      </c>
      <c r="C84" s="577" t="s">
        <v>7076</v>
      </c>
      <c r="D84" s="577">
        <f>D85*12</f>
        <v>192</v>
      </c>
      <c r="E84" s="575"/>
      <c r="F84" s="574">
        <v>25</v>
      </c>
      <c r="G84" s="577" t="s">
        <v>7162</v>
      </c>
      <c r="H84" s="577" t="s">
        <v>5790</v>
      </c>
    </row>
    <row r="85" spans="1:8" ht="12.75" customHeight="1">
      <c r="A85" s="596" t="s">
        <v>7163</v>
      </c>
      <c r="B85" s="584"/>
      <c r="C85" s="586"/>
      <c r="D85" s="585">
        <v>16</v>
      </c>
      <c r="E85" s="586"/>
      <c r="F85" s="584"/>
      <c r="G85" s="618"/>
      <c r="H85" s="585" t="s">
        <v>7072</v>
      </c>
    </row>
    <row r="86" spans="1:8" ht="12.75" customHeight="1">
      <c r="A86" s="572"/>
      <c r="B86" s="576"/>
      <c r="C86" s="575"/>
      <c r="D86" s="575"/>
      <c r="E86" s="575"/>
      <c r="F86" s="576"/>
      <c r="G86" s="593"/>
      <c r="H86" s="575"/>
    </row>
    <row r="87" spans="1:8" ht="15" customHeight="1">
      <c r="A87" s="615" t="s">
        <v>7165</v>
      </c>
      <c r="B87" s="572"/>
      <c r="C87" s="572"/>
      <c r="D87" s="572"/>
      <c r="E87" s="572"/>
      <c r="F87" s="571"/>
      <c r="G87" s="572"/>
      <c r="H87" s="572"/>
    </row>
    <row r="88" spans="1:8" ht="13.5" customHeight="1">
      <c r="A88" s="594" t="s">
        <v>7166</v>
      </c>
      <c r="B88" s="577" t="s">
        <v>5</v>
      </c>
      <c r="C88" s="577" t="s">
        <v>7076</v>
      </c>
      <c r="D88" s="577">
        <f>D89*12</f>
        <v>240</v>
      </c>
      <c r="E88" s="575"/>
      <c r="F88" s="574" t="s">
        <v>7167</v>
      </c>
      <c r="G88" s="577" t="s">
        <v>7162</v>
      </c>
      <c r="H88" s="577" t="s">
        <v>5790</v>
      </c>
    </row>
    <row r="89" spans="1:8" ht="12.75" customHeight="1">
      <c r="A89" s="610" t="s">
        <v>7168</v>
      </c>
      <c r="B89" s="576"/>
      <c r="C89" s="575"/>
      <c r="D89" s="577">
        <v>20</v>
      </c>
      <c r="E89" s="575"/>
      <c r="F89" s="576"/>
      <c r="G89" s="593"/>
      <c r="H89" s="577" t="s">
        <v>7072</v>
      </c>
    </row>
    <row r="90" spans="1:8" ht="16.5" customHeight="1">
      <c r="A90" s="572"/>
      <c r="B90" s="576"/>
      <c r="C90" s="575"/>
      <c r="D90" s="575"/>
      <c r="E90" s="575"/>
      <c r="F90" s="576"/>
      <c r="G90" s="593"/>
      <c r="H90" s="575"/>
    </row>
    <row r="91" spans="1:8" ht="12.75" customHeight="1">
      <c r="A91" s="572"/>
      <c r="B91" s="572"/>
      <c r="C91" s="572"/>
      <c r="D91" s="575"/>
      <c r="E91" s="572"/>
      <c r="F91" s="571"/>
      <c r="G91" s="572"/>
      <c r="H91" s="572"/>
    </row>
    <row r="92" spans="1:8" ht="15" customHeight="1">
      <c r="A92" s="572"/>
      <c r="B92" s="575"/>
      <c r="C92" s="575"/>
      <c r="D92" s="577">
        <f>D93*12</f>
        <v>0</v>
      </c>
      <c r="E92" s="575"/>
      <c r="F92" s="576"/>
      <c r="G92" s="575"/>
      <c r="H92" s="575"/>
    </row>
    <row r="93" spans="1:8" ht="12.75" customHeight="1">
      <c r="A93" s="570" t="s">
        <v>7169</v>
      </c>
      <c r="B93" s="571"/>
      <c r="C93" s="572"/>
      <c r="D93" s="575"/>
      <c r="E93" s="572"/>
      <c r="F93" s="571"/>
      <c r="G93" s="572"/>
      <c r="H93" s="577" t="s">
        <v>3226</v>
      </c>
    </row>
    <row r="94" spans="1:8" ht="18" customHeight="1">
      <c r="A94" s="581" t="s">
        <v>7170</v>
      </c>
      <c r="B94" s="574">
        <v>2021</v>
      </c>
      <c r="C94" s="577" t="s">
        <v>7171</v>
      </c>
      <c r="D94" s="577">
        <v>170</v>
      </c>
      <c r="E94" s="575"/>
      <c r="F94" s="574">
        <v>72</v>
      </c>
      <c r="G94" s="577" t="s">
        <v>7162</v>
      </c>
      <c r="H94" s="575"/>
    </row>
    <row r="95" spans="1:8" ht="12.75" customHeight="1">
      <c r="A95" s="596" t="s">
        <v>7172</v>
      </c>
      <c r="B95" s="584"/>
      <c r="C95" s="586"/>
      <c r="D95" s="586"/>
      <c r="E95" s="586"/>
      <c r="F95" s="584"/>
      <c r="G95" s="586"/>
      <c r="H95" s="586"/>
    </row>
    <row r="96" spans="1:8" ht="14.25" customHeight="1">
      <c r="A96" s="621" t="s">
        <v>7173</v>
      </c>
      <c r="B96" s="574">
        <v>2021</v>
      </c>
      <c r="C96" s="577" t="s">
        <v>7171</v>
      </c>
      <c r="D96" s="577">
        <f>D97*12</f>
        <v>126</v>
      </c>
      <c r="E96" s="575"/>
      <c r="F96" s="574" t="s">
        <v>7174</v>
      </c>
      <c r="G96" s="577" t="s">
        <v>7175</v>
      </c>
      <c r="H96" s="572"/>
    </row>
    <row r="97" spans="1:8" ht="12.75" customHeight="1">
      <c r="A97" s="619" t="s">
        <v>7176</v>
      </c>
      <c r="B97" s="584"/>
      <c r="C97" s="586"/>
      <c r="D97" s="585">
        <v>10.5</v>
      </c>
      <c r="E97" s="586"/>
      <c r="F97" s="584"/>
      <c r="G97" s="586"/>
      <c r="H97" s="622"/>
    </row>
    <row r="98" spans="1:8" ht="15.75" customHeight="1">
      <c r="A98" s="623" t="s">
        <v>7177</v>
      </c>
      <c r="B98" s="574">
        <v>2021</v>
      </c>
      <c r="C98" s="577" t="s">
        <v>7171</v>
      </c>
      <c r="D98" s="577">
        <v>170</v>
      </c>
      <c r="E98" s="575"/>
      <c r="F98" s="574">
        <v>50</v>
      </c>
      <c r="G98" s="577" t="s">
        <v>7178</v>
      </c>
      <c r="H98" s="572"/>
    </row>
    <row r="99" spans="1:8" ht="12.75" customHeight="1">
      <c r="A99" s="619" t="s">
        <v>7179</v>
      </c>
      <c r="B99" s="584"/>
      <c r="C99" s="586"/>
      <c r="D99" s="586"/>
      <c r="E99" s="586"/>
      <c r="F99" s="584"/>
      <c r="G99" s="586"/>
      <c r="H99" s="622"/>
    </row>
    <row r="100" spans="1:8" ht="12.75" customHeight="1">
      <c r="A100" s="623" t="s">
        <v>7180</v>
      </c>
      <c r="B100" s="574">
        <v>2021</v>
      </c>
      <c r="C100" s="577" t="s">
        <v>7171</v>
      </c>
      <c r="D100" s="577">
        <f>D101*12</f>
        <v>126</v>
      </c>
      <c r="E100" s="575"/>
      <c r="F100" s="574">
        <v>176</v>
      </c>
      <c r="G100" s="577" t="s">
        <v>7175</v>
      </c>
      <c r="H100" s="572"/>
    </row>
    <row r="101" spans="1:8" ht="12.75" customHeight="1">
      <c r="A101" s="596" t="s">
        <v>7181</v>
      </c>
      <c r="B101" s="584"/>
      <c r="C101" s="586"/>
      <c r="D101" s="585">
        <v>10.5</v>
      </c>
      <c r="E101" s="586"/>
      <c r="F101" s="584"/>
      <c r="G101" s="586"/>
      <c r="H101" s="622"/>
    </row>
    <row r="102" spans="1:8" ht="12.75" customHeight="1">
      <c r="A102" s="623" t="s">
        <v>7182</v>
      </c>
      <c r="B102" s="574">
        <v>2021</v>
      </c>
      <c r="C102" s="577" t="s">
        <v>7183</v>
      </c>
      <c r="D102" s="577">
        <f>D103*12</f>
        <v>117.60000000000001</v>
      </c>
      <c r="E102" s="575"/>
      <c r="F102" s="574" t="s">
        <v>7184</v>
      </c>
      <c r="G102" s="577" t="s">
        <v>7185</v>
      </c>
      <c r="H102" s="575"/>
    </row>
    <row r="103" spans="1:8" ht="12.75" customHeight="1">
      <c r="A103" s="624" t="s">
        <v>7186</v>
      </c>
      <c r="B103" s="576"/>
      <c r="C103" s="576"/>
      <c r="D103" s="577">
        <v>9.8000000000000007</v>
      </c>
      <c r="E103" s="575"/>
      <c r="F103" s="576"/>
      <c r="G103" s="593"/>
      <c r="H103" s="572"/>
    </row>
    <row r="104" spans="1:8" ht="12.75" customHeight="1">
      <c r="A104" s="571"/>
      <c r="B104" s="576"/>
      <c r="C104" s="576"/>
      <c r="D104" s="575"/>
      <c r="E104" s="575"/>
      <c r="F104" s="576"/>
      <c r="G104" s="593"/>
      <c r="H104" s="572"/>
    </row>
    <row r="105" spans="1:8" ht="12.75" customHeight="1">
      <c r="A105" s="572"/>
      <c r="B105" s="575"/>
      <c r="C105" s="575"/>
      <c r="D105" s="575"/>
      <c r="E105" s="575"/>
      <c r="F105" s="576"/>
      <c r="G105" s="575"/>
      <c r="H105" s="572"/>
    </row>
    <row r="106" spans="1:8" ht="12.75" customHeight="1">
      <c r="A106" s="831" t="s">
        <v>7187</v>
      </c>
      <c r="B106" s="725"/>
      <c r="C106" s="725"/>
      <c r="D106" s="725"/>
      <c r="E106" s="725"/>
      <c r="F106" s="725"/>
      <c r="G106" s="725"/>
      <c r="H106" s="725"/>
    </row>
    <row r="107" spans="1:8" ht="12.75" customHeight="1">
      <c r="A107" s="580" t="s">
        <v>7188</v>
      </c>
      <c r="B107" s="572"/>
      <c r="C107" s="572"/>
      <c r="D107" s="572"/>
      <c r="E107" s="572"/>
      <c r="F107" s="571"/>
      <c r="G107" s="572"/>
      <c r="H107" s="575"/>
    </row>
    <row r="108" spans="1:8" ht="12.75" customHeight="1">
      <c r="A108" s="594" t="s">
        <v>7189</v>
      </c>
      <c r="B108" s="574">
        <v>2021</v>
      </c>
      <c r="C108" s="577" t="s">
        <v>7076</v>
      </c>
      <c r="D108" s="577">
        <f>D109*12</f>
        <v>180</v>
      </c>
      <c r="E108" s="575"/>
      <c r="F108" s="574" t="s">
        <v>7190</v>
      </c>
      <c r="G108" s="577" t="s">
        <v>7191</v>
      </c>
      <c r="H108" s="577" t="s">
        <v>5790</v>
      </c>
    </row>
    <row r="109" spans="1:8" ht="12.75" customHeight="1">
      <c r="A109" s="610" t="s">
        <v>7192</v>
      </c>
      <c r="B109" s="575"/>
      <c r="C109" s="575"/>
      <c r="D109" s="577">
        <v>15</v>
      </c>
      <c r="E109" s="575"/>
      <c r="F109" s="576"/>
      <c r="G109" s="575"/>
      <c r="H109" s="579" t="s">
        <v>7070</v>
      </c>
    </row>
    <row r="110" spans="1:8" ht="12.75" customHeight="1">
      <c r="A110" s="572"/>
      <c r="B110" s="575"/>
      <c r="C110" s="575"/>
      <c r="D110" s="575"/>
      <c r="E110" s="575"/>
      <c r="F110" s="576"/>
      <c r="G110" s="575"/>
      <c r="H110" s="572"/>
    </row>
    <row r="111" spans="1:8" ht="12.75" customHeight="1">
      <c r="A111" s="572"/>
      <c r="B111" s="575"/>
      <c r="C111" s="575"/>
      <c r="D111" s="575"/>
      <c r="E111" s="575"/>
      <c r="F111" s="576"/>
      <c r="G111" s="575"/>
      <c r="H111" s="572"/>
    </row>
    <row r="112" spans="1:8" ht="12.75" customHeight="1">
      <c r="A112" s="834" t="s">
        <v>7193</v>
      </c>
      <c r="B112" s="725"/>
      <c r="C112" s="725"/>
      <c r="D112" s="725"/>
      <c r="E112" s="725"/>
      <c r="F112" s="725"/>
      <c r="G112" s="725"/>
      <c r="H112" s="725"/>
    </row>
    <row r="113" spans="1:8" ht="12.75" customHeight="1">
      <c r="A113" s="570" t="s">
        <v>7194</v>
      </c>
      <c r="B113" s="571"/>
      <c r="C113" s="572"/>
      <c r="D113" s="572"/>
      <c r="E113" s="572"/>
      <c r="F113" s="571"/>
      <c r="G113" s="602"/>
      <c r="H113" s="572"/>
    </row>
    <row r="114" spans="1:8" ht="12.75" customHeight="1">
      <c r="A114" s="620" t="s">
        <v>7195</v>
      </c>
      <c r="B114" s="574">
        <v>2021</v>
      </c>
      <c r="C114" s="577" t="s">
        <v>7076</v>
      </c>
      <c r="D114" s="577">
        <f>D115*12</f>
        <v>162</v>
      </c>
      <c r="E114" s="575"/>
      <c r="F114" s="574">
        <v>3</v>
      </c>
      <c r="G114" s="577" t="s">
        <v>7196</v>
      </c>
      <c r="H114" s="572"/>
    </row>
    <row r="115" spans="1:8" ht="12.75" customHeight="1">
      <c r="A115" s="596" t="s">
        <v>7197</v>
      </c>
      <c r="B115" s="584" t="s">
        <v>7198</v>
      </c>
      <c r="C115" s="586"/>
      <c r="D115" s="585">
        <v>13.5</v>
      </c>
      <c r="E115" s="586"/>
      <c r="F115" s="584"/>
      <c r="G115" s="618"/>
      <c r="H115" s="622"/>
    </row>
    <row r="116" spans="1:8" ht="12.75" customHeight="1">
      <c r="A116" s="589" t="s">
        <v>7199</v>
      </c>
      <c r="B116" s="574">
        <v>2021</v>
      </c>
      <c r="C116" s="577" t="s">
        <v>7076</v>
      </c>
      <c r="D116" s="577">
        <f>D117*12</f>
        <v>168</v>
      </c>
      <c r="E116" s="575"/>
      <c r="F116" s="574">
        <v>5</v>
      </c>
      <c r="G116" s="577" t="s">
        <v>7200</v>
      </c>
      <c r="H116" s="572"/>
    </row>
    <row r="117" spans="1:8" ht="12.75" customHeight="1">
      <c r="A117" s="578" t="s">
        <v>7201</v>
      </c>
      <c r="B117" s="576"/>
      <c r="C117" s="576"/>
      <c r="D117" s="577">
        <v>14</v>
      </c>
      <c r="E117" s="575"/>
      <c r="F117" s="576"/>
      <c r="G117" s="593"/>
      <c r="H117" s="572"/>
    </row>
    <row r="118" spans="1:8" ht="12.75" customHeight="1">
      <c r="A118" s="571"/>
      <c r="B118" s="576"/>
      <c r="C118" s="576"/>
      <c r="D118" s="575"/>
      <c r="E118" s="575"/>
      <c r="F118" s="576"/>
      <c r="G118" s="575"/>
      <c r="H118" s="572"/>
    </row>
    <row r="119" spans="1:8" ht="12.75" customHeight="1">
      <c r="A119" s="572"/>
      <c r="B119" s="576"/>
      <c r="C119" s="575"/>
      <c r="D119" s="575"/>
      <c r="E119" s="575"/>
      <c r="F119" s="576"/>
      <c r="G119" s="593"/>
      <c r="H119" s="572"/>
    </row>
    <row r="120" spans="1:8" ht="12.75" customHeight="1">
      <c r="A120" s="836" t="s">
        <v>0</v>
      </c>
      <c r="B120" s="725"/>
      <c r="C120" s="725"/>
      <c r="D120" s="725"/>
      <c r="E120" s="725"/>
      <c r="F120" s="725"/>
      <c r="G120" s="725"/>
      <c r="H120" s="725"/>
    </row>
    <row r="121" spans="1:8" ht="12.75" customHeight="1">
      <c r="A121" s="837" t="s">
        <v>7202</v>
      </c>
      <c r="B121" s="725"/>
      <c r="C121" s="725"/>
      <c r="D121" s="725"/>
      <c r="E121" s="725"/>
      <c r="F121" s="725"/>
      <c r="G121" s="725"/>
      <c r="H121" s="725"/>
    </row>
    <row r="122" spans="1:8" ht="12.75" customHeight="1">
      <c r="A122" s="570" t="s">
        <v>7203</v>
      </c>
      <c r="B122" s="571"/>
      <c r="C122" s="572"/>
      <c r="D122" s="572"/>
      <c r="E122" s="572"/>
      <c r="F122" s="571"/>
      <c r="G122" s="572"/>
      <c r="H122" s="572"/>
    </row>
    <row r="123" spans="1:8" ht="12.75" customHeight="1">
      <c r="A123" s="581" t="s">
        <v>7204</v>
      </c>
      <c r="B123" s="574">
        <v>2020</v>
      </c>
      <c r="C123" s="577" t="s">
        <v>7076</v>
      </c>
      <c r="D123" s="577">
        <f>D124*12</f>
        <v>150</v>
      </c>
      <c r="E123" s="575"/>
      <c r="F123" s="574">
        <v>11</v>
      </c>
      <c r="G123" s="577" t="s">
        <v>7205</v>
      </c>
      <c r="H123" s="579" t="s">
        <v>7070</v>
      </c>
    </row>
    <row r="124" spans="1:8" ht="12.75" customHeight="1">
      <c r="A124" s="599" t="s">
        <v>7206</v>
      </c>
      <c r="B124" s="576"/>
      <c r="C124" s="575"/>
      <c r="D124" s="577">
        <v>12.5</v>
      </c>
      <c r="E124" s="575"/>
      <c r="F124" s="576"/>
      <c r="G124" s="575"/>
      <c r="H124" s="579" t="s">
        <v>7072</v>
      </c>
    </row>
    <row r="125" spans="1:8" ht="12.75" customHeight="1">
      <c r="A125" s="572"/>
      <c r="B125" s="576"/>
      <c r="C125" s="575"/>
      <c r="D125" s="575"/>
      <c r="E125" s="575"/>
      <c r="F125" s="576"/>
      <c r="G125" s="575"/>
      <c r="H125" s="572"/>
    </row>
    <row r="126" spans="1:8" ht="12.75" customHeight="1">
      <c r="A126" s="838" t="s">
        <v>7207</v>
      </c>
      <c r="B126" s="725"/>
      <c r="C126" s="725"/>
      <c r="D126" s="725"/>
      <c r="E126" s="725"/>
      <c r="F126" s="725"/>
      <c r="G126" s="725"/>
      <c r="H126" s="725"/>
    </row>
    <row r="127" spans="1:8" ht="12.75" customHeight="1">
      <c r="A127" s="580" t="s">
        <v>7208</v>
      </c>
      <c r="B127" s="571"/>
      <c r="C127" s="572"/>
      <c r="D127" s="572"/>
      <c r="E127" s="572"/>
      <c r="F127" s="571"/>
      <c r="G127" s="572"/>
      <c r="H127" s="572"/>
    </row>
    <row r="128" spans="1:8" ht="12.75" customHeight="1">
      <c r="A128" s="625" t="s">
        <v>7209</v>
      </c>
      <c r="B128" s="571"/>
      <c r="C128" s="572"/>
      <c r="D128" s="572"/>
      <c r="E128" s="572"/>
      <c r="F128" s="571"/>
      <c r="G128" s="572"/>
      <c r="H128" s="572"/>
    </row>
    <row r="129" spans="1:8" ht="12.75" customHeight="1">
      <c r="A129" s="626" t="s">
        <v>7210</v>
      </c>
      <c r="B129" s="574">
        <v>2022</v>
      </c>
      <c r="C129" s="577" t="s">
        <v>7076</v>
      </c>
      <c r="D129" s="577">
        <f>D130*12</f>
        <v>168</v>
      </c>
      <c r="E129" s="575"/>
      <c r="F129" s="574" t="s">
        <v>7211</v>
      </c>
      <c r="G129" s="577" t="s">
        <v>7212</v>
      </c>
      <c r="H129" s="579" t="s">
        <v>7070</v>
      </c>
    </row>
    <row r="130" spans="1:8" ht="12.75" customHeight="1">
      <c r="A130" s="596" t="s">
        <v>7213</v>
      </c>
      <c r="B130" s="584"/>
      <c r="C130" s="586"/>
      <c r="D130" s="585">
        <v>14</v>
      </c>
      <c r="E130" s="586"/>
      <c r="F130" s="584"/>
      <c r="G130" s="586"/>
      <c r="H130" s="627" t="s">
        <v>7214</v>
      </c>
    </row>
    <row r="131" spans="1:8" ht="12.75" customHeight="1">
      <c r="A131" s="628" t="s">
        <v>7215</v>
      </c>
      <c r="B131" s="574">
        <v>2021</v>
      </c>
      <c r="C131" s="577" t="s">
        <v>7076</v>
      </c>
      <c r="D131" s="577">
        <f>D132*12</f>
        <v>183</v>
      </c>
      <c r="E131" s="575"/>
      <c r="F131" s="574">
        <v>28</v>
      </c>
      <c r="G131" s="577" t="s">
        <v>7216</v>
      </c>
      <c r="H131" s="579" t="s">
        <v>7070</v>
      </c>
    </row>
    <row r="132" spans="1:8" ht="12.75" customHeight="1">
      <c r="A132" s="596" t="s">
        <v>7217</v>
      </c>
      <c r="B132" s="584"/>
      <c r="C132" s="586"/>
      <c r="D132" s="585">
        <v>15.25</v>
      </c>
      <c r="E132" s="586"/>
      <c r="F132" s="584"/>
      <c r="G132" s="586"/>
      <c r="H132" s="627" t="s">
        <v>7214</v>
      </c>
    </row>
    <row r="133" spans="1:8" ht="12.75" customHeight="1">
      <c r="A133" s="620" t="s">
        <v>7218</v>
      </c>
      <c r="B133" s="577">
        <v>2022</v>
      </c>
      <c r="C133" s="577" t="s">
        <v>7076</v>
      </c>
      <c r="D133" s="577">
        <f>D134*12</f>
        <v>183</v>
      </c>
      <c r="E133" s="575"/>
      <c r="F133" s="574">
        <v>17</v>
      </c>
      <c r="G133" s="577" t="s">
        <v>7219</v>
      </c>
      <c r="H133" s="579" t="s">
        <v>7070</v>
      </c>
    </row>
    <row r="134" spans="1:8" ht="12.75" customHeight="1">
      <c r="A134" s="598" t="s">
        <v>7220</v>
      </c>
      <c r="B134" s="584"/>
      <c r="C134" s="586"/>
      <c r="D134" s="585">
        <v>15.25</v>
      </c>
      <c r="E134" s="586"/>
      <c r="F134" s="584"/>
      <c r="G134" s="586"/>
      <c r="H134" s="627" t="s">
        <v>7214</v>
      </c>
    </row>
    <row r="135" spans="1:8" ht="12.75" customHeight="1">
      <c r="A135" s="621" t="s">
        <v>7221</v>
      </c>
      <c r="B135" s="574">
        <v>2021</v>
      </c>
      <c r="C135" s="577" t="s">
        <v>7076</v>
      </c>
      <c r="D135" s="577">
        <f>D136*12</f>
        <v>183</v>
      </c>
      <c r="E135" s="575"/>
      <c r="F135" s="574">
        <v>45</v>
      </c>
      <c r="G135" s="577" t="s">
        <v>7222</v>
      </c>
      <c r="H135" s="579" t="s">
        <v>7070</v>
      </c>
    </row>
    <row r="136" spans="1:8" ht="12.75" customHeight="1">
      <c r="A136" s="596" t="s">
        <v>7082</v>
      </c>
      <c r="B136" s="584"/>
      <c r="C136" s="586"/>
      <c r="D136" s="585">
        <v>15.25</v>
      </c>
      <c r="E136" s="586"/>
      <c r="F136" s="584"/>
      <c r="G136" s="586"/>
      <c r="H136" s="627" t="s">
        <v>7214</v>
      </c>
    </row>
    <row r="137" spans="1:8" ht="12.75" customHeight="1">
      <c r="A137" s="629" t="s">
        <v>7223</v>
      </c>
      <c r="B137" s="574">
        <v>2019</v>
      </c>
      <c r="C137" s="577" t="s">
        <v>7076</v>
      </c>
      <c r="D137" s="577">
        <f>D138*12</f>
        <v>162</v>
      </c>
      <c r="E137" s="575"/>
      <c r="F137" s="574" t="s">
        <v>7224</v>
      </c>
      <c r="G137" s="577" t="s">
        <v>7222</v>
      </c>
      <c r="H137" s="579" t="s">
        <v>7070</v>
      </c>
    </row>
    <row r="138" spans="1:8" ht="12.75" customHeight="1">
      <c r="A138" s="596" t="s">
        <v>7225</v>
      </c>
      <c r="B138" s="584"/>
      <c r="C138" s="586"/>
      <c r="D138" s="585">
        <v>13.5</v>
      </c>
      <c r="E138" s="586"/>
      <c r="F138" s="584"/>
      <c r="G138" s="586"/>
      <c r="H138" s="627" t="s">
        <v>7214</v>
      </c>
    </row>
    <row r="139" spans="1:8" ht="12.75" customHeight="1">
      <c r="A139" s="630" t="s">
        <v>7226</v>
      </c>
      <c r="B139" s="574">
        <v>2021</v>
      </c>
      <c r="C139" s="577" t="s">
        <v>7076</v>
      </c>
      <c r="D139" s="577">
        <f>D140*12</f>
        <v>294</v>
      </c>
      <c r="E139" s="575"/>
      <c r="F139" s="574" t="s">
        <v>7227</v>
      </c>
      <c r="G139" s="577" t="s">
        <v>7219</v>
      </c>
      <c r="H139" s="579" t="s">
        <v>7070</v>
      </c>
    </row>
    <row r="140" spans="1:8" ht="12.75" customHeight="1">
      <c r="A140" s="599" t="s">
        <v>7228</v>
      </c>
      <c r="B140" s="572"/>
      <c r="C140" s="572"/>
      <c r="D140" s="579">
        <v>24.5</v>
      </c>
      <c r="E140" s="572"/>
      <c r="F140" s="571"/>
      <c r="G140" s="572"/>
      <c r="H140" s="631" t="s">
        <v>7214</v>
      </c>
    </row>
    <row r="141" spans="1:8" ht="12.75" customHeight="1">
      <c r="A141" s="572"/>
      <c r="B141" s="576"/>
      <c r="C141" s="575"/>
      <c r="D141" s="575"/>
      <c r="E141" s="575"/>
      <c r="F141" s="576"/>
      <c r="G141" s="575"/>
      <c r="H141" s="572"/>
    </row>
    <row r="142" spans="1:8" ht="12.75" customHeight="1">
      <c r="A142" s="632" t="s">
        <v>7229</v>
      </c>
      <c r="B142" s="576"/>
      <c r="C142" s="575"/>
      <c r="D142" s="575"/>
      <c r="E142" s="575"/>
      <c r="F142" s="576"/>
      <c r="G142" s="575"/>
      <c r="H142" s="572"/>
    </row>
    <row r="143" spans="1:8" ht="12.75" customHeight="1">
      <c r="A143" s="633" t="s">
        <v>7230</v>
      </c>
      <c r="B143" s="574">
        <v>2018</v>
      </c>
      <c r="C143" s="577" t="s">
        <v>7076</v>
      </c>
      <c r="D143" s="577">
        <f>D144*12</f>
        <v>192</v>
      </c>
      <c r="E143" s="575"/>
      <c r="F143" s="574" t="s">
        <v>7231</v>
      </c>
      <c r="G143" s="577" t="s">
        <v>7232</v>
      </c>
      <c r="H143" s="579" t="s">
        <v>7070</v>
      </c>
    </row>
    <row r="144" spans="1:8" ht="12.75" customHeight="1">
      <c r="A144" s="596" t="s">
        <v>7082</v>
      </c>
      <c r="B144" s="584"/>
      <c r="C144" s="586"/>
      <c r="D144" s="585">
        <v>16</v>
      </c>
      <c r="E144" s="586"/>
      <c r="F144" s="584"/>
      <c r="G144" s="586"/>
      <c r="H144" s="627" t="s">
        <v>7214</v>
      </c>
    </row>
    <row r="145" spans="1:8" ht="12.75" customHeight="1">
      <c r="A145" s="626" t="s">
        <v>7233</v>
      </c>
      <c r="B145" s="574">
        <v>2020</v>
      </c>
      <c r="C145" s="577" t="s">
        <v>7076</v>
      </c>
      <c r="D145" s="577">
        <f>D146*12</f>
        <v>192</v>
      </c>
      <c r="E145" s="575"/>
      <c r="F145" s="574">
        <v>17</v>
      </c>
      <c r="G145" s="577" t="s">
        <v>7232</v>
      </c>
      <c r="H145" s="579" t="s">
        <v>7070</v>
      </c>
    </row>
    <row r="146" spans="1:8" ht="12.75" customHeight="1">
      <c r="A146" s="596" t="s">
        <v>7082</v>
      </c>
      <c r="B146" s="584"/>
      <c r="C146" s="586"/>
      <c r="D146" s="585">
        <v>16</v>
      </c>
      <c r="E146" s="586"/>
      <c r="F146" s="584"/>
      <c r="G146" s="586"/>
      <c r="H146" s="627" t="s">
        <v>7214</v>
      </c>
    </row>
    <row r="147" spans="1:8" ht="12.75" customHeight="1">
      <c r="A147" s="620" t="s">
        <v>7234</v>
      </c>
      <c r="B147" s="574">
        <v>2014</v>
      </c>
      <c r="C147" s="577" t="s">
        <v>7076</v>
      </c>
      <c r="D147" s="577">
        <f>D148*12</f>
        <v>300</v>
      </c>
      <c r="E147" s="575"/>
      <c r="F147" s="574" t="s">
        <v>7235</v>
      </c>
      <c r="G147" s="577" t="s">
        <v>7232</v>
      </c>
      <c r="H147" s="579" t="s">
        <v>7070</v>
      </c>
    </row>
    <row r="148" spans="1:8" ht="12.75" customHeight="1">
      <c r="A148" s="596" t="s">
        <v>7236</v>
      </c>
      <c r="B148" s="584"/>
      <c r="C148" s="586"/>
      <c r="D148" s="585">
        <v>25</v>
      </c>
      <c r="E148" s="586"/>
      <c r="F148" s="584"/>
      <c r="G148" s="586"/>
      <c r="H148" s="622"/>
    </row>
    <row r="149" spans="1:8" ht="12.75" customHeight="1">
      <c r="A149" s="626" t="s">
        <v>7237</v>
      </c>
      <c r="B149" s="577" t="s">
        <v>5</v>
      </c>
      <c r="C149" s="577" t="s">
        <v>7076</v>
      </c>
      <c r="D149" s="577">
        <f>D150*12</f>
        <v>168</v>
      </c>
      <c r="E149" s="575"/>
      <c r="F149" s="574">
        <v>20</v>
      </c>
      <c r="G149" s="577" t="s">
        <v>7238</v>
      </c>
      <c r="H149" s="579" t="s">
        <v>7070</v>
      </c>
    </row>
    <row r="150" spans="1:8" ht="12.75" customHeight="1">
      <c r="A150" s="583" t="s">
        <v>7239</v>
      </c>
      <c r="B150" s="584"/>
      <c r="C150" s="584"/>
      <c r="D150" s="585">
        <v>14</v>
      </c>
      <c r="E150" s="586"/>
      <c r="F150" s="584"/>
      <c r="G150" s="586"/>
      <c r="H150" s="627" t="s">
        <v>7214</v>
      </c>
    </row>
    <row r="151" spans="1:8" ht="12.75" customHeight="1">
      <c r="A151" s="634" t="s">
        <v>7240</v>
      </c>
      <c r="B151" s="574">
        <v>2021</v>
      </c>
      <c r="C151" s="574" t="s">
        <v>7076</v>
      </c>
      <c r="D151" s="577">
        <f>D152*12</f>
        <v>192</v>
      </c>
      <c r="E151" s="575"/>
      <c r="F151" s="574" t="s">
        <v>7080</v>
      </c>
      <c r="G151" s="577" t="s">
        <v>7238</v>
      </c>
      <c r="H151" s="579" t="s">
        <v>7070</v>
      </c>
    </row>
    <row r="152" spans="1:8" ht="12.75" customHeight="1">
      <c r="A152" s="578" t="s">
        <v>7241</v>
      </c>
      <c r="B152" s="576"/>
      <c r="C152" s="576"/>
      <c r="D152" s="577">
        <v>16</v>
      </c>
      <c r="E152" s="575"/>
      <c r="F152" s="576"/>
      <c r="G152" s="575"/>
      <c r="H152" s="631" t="s">
        <v>7214</v>
      </c>
    </row>
    <row r="153" spans="1:8" ht="12.75" customHeight="1">
      <c r="A153" s="571"/>
      <c r="B153" s="576"/>
      <c r="C153" s="576"/>
      <c r="D153" s="575"/>
      <c r="E153" s="575"/>
      <c r="F153" s="576"/>
      <c r="G153" s="575"/>
      <c r="H153" s="572"/>
    </row>
    <row r="154" spans="1:8" ht="12.75" customHeight="1">
      <c r="A154" s="635" t="s">
        <v>7242</v>
      </c>
      <c r="B154" s="571"/>
      <c r="C154" s="571"/>
      <c r="D154" s="572"/>
      <c r="E154" s="572"/>
      <c r="F154" s="571"/>
      <c r="G154" s="572"/>
      <c r="H154" s="572"/>
    </row>
    <row r="155" spans="1:8" ht="12.75" customHeight="1">
      <c r="A155" s="629" t="s">
        <v>7243</v>
      </c>
      <c r="B155" s="574">
        <v>2017</v>
      </c>
      <c r="C155" s="577" t="s">
        <v>7076</v>
      </c>
      <c r="D155" s="577">
        <f>D156*12</f>
        <v>198</v>
      </c>
      <c r="E155" s="575"/>
      <c r="F155" s="574">
        <v>10</v>
      </c>
      <c r="G155" s="577" t="s">
        <v>7222</v>
      </c>
      <c r="H155" s="579" t="s">
        <v>7070</v>
      </c>
    </row>
    <row r="156" spans="1:8" ht="12.75" customHeight="1">
      <c r="A156" s="596" t="s">
        <v>7244</v>
      </c>
      <c r="B156" s="584"/>
      <c r="C156" s="586"/>
      <c r="D156" s="585">
        <v>16.5</v>
      </c>
      <c r="E156" s="586"/>
      <c r="F156" s="584"/>
      <c r="G156" s="586"/>
      <c r="H156" s="627" t="s">
        <v>7214</v>
      </c>
    </row>
    <row r="157" spans="1:8" ht="12.75" customHeight="1">
      <c r="A157" s="636" t="s">
        <v>7245</v>
      </c>
      <c r="B157" s="574">
        <v>2017</v>
      </c>
      <c r="C157" s="577" t="s">
        <v>7076</v>
      </c>
      <c r="D157" s="577">
        <f>D158*12</f>
        <v>198</v>
      </c>
      <c r="E157" s="575"/>
      <c r="F157" s="574">
        <v>21</v>
      </c>
      <c r="G157" s="577" t="s">
        <v>7219</v>
      </c>
      <c r="H157" s="579" t="s">
        <v>7070</v>
      </c>
    </row>
    <row r="158" spans="1:8" ht="12.75" customHeight="1">
      <c r="A158" s="610" t="s">
        <v>7246</v>
      </c>
      <c r="B158" s="576"/>
      <c r="C158" s="575"/>
      <c r="D158" s="577">
        <v>16.5</v>
      </c>
      <c r="E158" s="575"/>
      <c r="F158" s="576"/>
      <c r="G158" s="575"/>
      <c r="H158" s="631" t="s">
        <v>7214</v>
      </c>
    </row>
    <row r="159" spans="1:8" ht="12.75" customHeight="1">
      <c r="A159" s="571"/>
      <c r="B159" s="571"/>
      <c r="C159" s="571"/>
      <c r="D159" s="572"/>
      <c r="E159" s="572"/>
      <c r="F159" s="571"/>
      <c r="G159" s="572"/>
      <c r="H159" s="572"/>
    </row>
    <row r="160" spans="1:8" ht="12.75" customHeight="1">
      <c r="A160" s="635" t="s">
        <v>7247</v>
      </c>
      <c r="B160" s="571"/>
      <c r="C160" s="571"/>
      <c r="D160" s="572"/>
      <c r="E160" s="572"/>
      <c r="F160" s="571"/>
      <c r="G160" s="572"/>
      <c r="H160" s="572"/>
    </row>
    <row r="161" spans="1:8" ht="12.75" customHeight="1">
      <c r="A161" s="588" t="s">
        <v>7248</v>
      </c>
      <c r="B161" s="574">
        <v>2022</v>
      </c>
      <c r="C161" s="574" t="s">
        <v>7105</v>
      </c>
      <c r="D161" s="577">
        <v>37</v>
      </c>
      <c r="E161" s="575"/>
      <c r="F161" s="574">
        <v>2</v>
      </c>
      <c r="G161" s="577" t="s">
        <v>7249</v>
      </c>
      <c r="H161" s="579" t="s">
        <v>7070</v>
      </c>
    </row>
    <row r="162" spans="1:8" ht="12.75" customHeight="1">
      <c r="A162" s="599" t="s">
        <v>7082</v>
      </c>
      <c r="B162" s="576"/>
      <c r="C162" s="575"/>
      <c r="D162" s="575"/>
      <c r="E162" s="575"/>
      <c r="F162" s="576"/>
      <c r="G162" s="575"/>
      <c r="H162" s="631" t="s">
        <v>7214</v>
      </c>
    </row>
    <row r="163" spans="1:8" ht="12.75" customHeight="1">
      <c r="A163" s="571"/>
      <c r="B163" s="576"/>
      <c r="C163" s="576"/>
      <c r="D163" s="575"/>
      <c r="E163" s="575"/>
      <c r="F163" s="576"/>
      <c r="G163" s="575"/>
      <c r="H163" s="572"/>
    </row>
    <row r="164" spans="1:8" ht="12.75" customHeight="1">
      <c r="A164" s="839" t="s">
        <v>7250</v>
      </c>
      <c r="B164" s="725"/>
      <c r="C164" s="725"/>
      <c r="D164" s="725"/>
      <c r="E164" s="725"/>
      <c r="F164" s="725"/>
      <c r="G164" s="725"/>
      <c r="H164" s="725"/>
    </row>
    <row r="165" spans="1:8" ht="12.75" customHeight="1">
      <c r="A165" s="571"/>
      <c r="B165" s="571"/>
      <c r="C165" s="571"/>
      <c r="D165" s="637" t="s">
        <v>7251</v>
      </c>
      <c r="E165" s="572"/>
      <c r="F165" s="571"/>
      <c r="G165" s="572"/>
      <c r="H165" s="572"/>
    </row>
    <row r="166" spans="1:8" ht="12.75" customHeight="1">
      <c r="A166" s="830" t="s">
        <v>3209</v>
      </c>
      <c r="B166" s="725"/>
      <c r="C166" s="725"/>
      <c r="D166" s="725"/>
      <c r="E166" s="725"/>
      <c r="F166" s="725"/>
      <c r="G166" s="725"/>
      <c r="H166" s="725"/>
    </row>
    <row r="167" spans="1:8" ht="12.75" customHeight="1">
      <c r="A167" s="835" t="s">
        <v>7252</v>
      </c>
      <c r="B167" s="725"/>
      <c r="C167" s="725"/>
      <c r="D167" s="725"/>
      <c r="E167" s="725"/>
      <c r="F167" s="725"/>
      <c r="G167" s="725"/>
      <c r="H167" s="725"/>
    </row>
    <row r="168" spans="1:8" ht="12.75" customHeight="1">
      <c r="A168" s="638" t="s">
        <v>7253</v>
      </c>
      <c r="B168" s="571"/>
      <c r="C168" s="571"/>
      <c r="D168" s="572"/>
      <c r="E168" s="572"/>
      <c r="F168" s="571"/>
      <c r="G168" s="572"/>
      <c r="H168" s="572"/>
    </row>
    <row r="169" spans="1:8" ht="12.75" customHeight="1">
      <c r="A169" s="639" t="s">
        <v>7254</v>
      </c>
      <c r="B169" s="577">
        <v>2022</v>
      </c>
      <c r="C169" s="577" t="s">
        <v>7076</v>
      </c>
      <c r="D169" s="577">
        <f>D170*12</f>
        <v>228</v>
      </c>
      <c r="E169" s="575"/>
      <c r="F169" s="574">
        <v>10</v>
      </c>
      <c r="G169" s="577" t="s">
        <v>7255</v>
      </c>
      <c r="H169" s="579" t="s">
        <v>7070</v>
      </c>
    </row>
    <row r="170" spans="1:8" ht="12.75" customHeight="1">
      <c r="A170" s="640" t="s">
        <v>7256</v>
      </c>
      <c r="B170" s="584"/>
      <c r="C170" s="584"/>
      <c r="D170" s="585">
        <v>19</v>
      </c>
      <c r="E170" s="586"/>
      <c r="F170" s="584"/>
      <c r="G170" s="586"/>
      <c r="H170" s="586"/>
    </row>
    <row r="171" spans="1:8" ht="12.75" customHeight="1">
      <c r="A171" s="630" t="s">
        <v>7257</v>
      </c>
      <c r="B171" s="574">
        <v>2022</v>
      </c>
      <c r="C171" s="577" t="s">
        <v>7076</v>
      </c>
      <c r="D171" s="577">
        <f>D172*12</f>
        <v>212.39999999999998</v>
      </c>
      <c r="E171" s="575"/>
      <c r="F171" s="574">
        <v>10</v>
      </c>
      <c r="G171" s="577" t="s">
        <v>7258</v>
      </c>
      <c r="H171" s="579" t="s">
        <v>7070</v>
      </c>
    </row>
    <row r="172" spans="1:8" ht="12.75" customHeight="1">
      <c r="A172" s="596" t="s">
        <v>7259</v>
      </c>
      <c r="B172" s="584"/>
      <c r="C172" s="586"/>
      <c r="D172" s="585">
        <v>17.7</v>
      </c>
      <c r="E172" s="586"/>
      <c r="F172" s="584"/>
      <c r="G172" s="641"/>
      <c r="H172" s="622"/>
    </row>
    <row r="173" spans="1:8" ht="12.75" customHeight="1">
      <c r="A173" s="642" t="s">
        <v>7260</v>
      </c>
      <c r="B173" s="574">
        <v>2022</v>
      </c>
      <c r="C173" s="574" t="s">
        <v>7076</v>
      </c>
      <c r="D173" s="577">
        <f>D174*12</f>
        <v>212.39999999999998</v>
      </c>
      <c r="E173" s="575"/>
      <c r="F173" s="574">
        <v>6</v>
      </c>
      <c r="G173" s="577" t="s">
        <v>7261</v>
      </c>
      <c r="H173" s="579" t="s">
        <v>7070</v>
      </c>
    </row>
    <row r="174" spans="1:8" ht="12.75" customHeight="1">
      <c r="A174" s="643" t="s">
        <v>7262</v>
      </c>
      <c r="B174" s="584"/>
      <c r="C174" s="584"/>
      <c r="D174" s="585">
        <v>17.7</v>
      </c>
      <c r="E174" s="586"/>
      <c r="F174" s="584"/>
      <c r="G174" s="618"/>
      <c r="H174" s="586"/>
    </row>
    <row r="175" spans="1:8" ht="12.75" customHeight="1">
      <c r="A175" s="644" t="s">
        <v>7263</v>
      </c>
      <c r="B175" s="574">
        <v>2022</v>
      </c>
      <c r="C175" s="574" t="s">
        <v>7076</v>
      </c>
      <c r="D175" s="577">
        <f>D176*12</f>
        <v>198</v>
      </c>
      <c r="E175" s="575"/>
      <c r="F175" s="574">
        <v>4</v>
      </c>
      <c r="G175" s="595" t="s">
        <v>7264</v>
      </c>
      <c r="H175" s="579" t="s">
        <v>7070</v>
      </c>
    </row>
    <row r="176" spans="1:8" ht="12.75" customHeight="1">
      <c r="A176" s="596" t="s">
        <v>7265</v>
      </c>
      <c r="B176" s="586"/>
      <c r="C176" s="586"/>
      <c r="D176" s="585">
        <v>16.5</v>
      </c>
      <c r="E176" s="586"/>
      <c r="F176" s="584"/>
      <c r="G176" s="622"/>
      <c r="H176" s="622"/>
    </row>
    <row r="177" spans="1:8" ht="12.75" customHeight="1">
      <c r="A177" s="629" t="s">
        <v>7266</v>
      </c>
      <c r="B177" s="577">
        <v>2022</v>
      </c>
      <c r="C177" s="577" t="s">
        <v>7076</v>
      </c>
      <c r="D177" s="577">
        <f>D178*12</f>
        <v>228</v>
      </c>
      <c r="E177" s="575"/>
      <c r="F177" s="574">
        <v>4</v>
      </c>
      <c r="G177" s="577" t="s">
        <v>7267</v>
      </c>
      <c r="H177" s="579" t="s">
        <v>7070</v>
      </c>
    </row>
    <row r="178" spans="1:8" ht="12.75" customHeight="1">
      <c r="A178" s="583" t="s">
        <v>7268</v>
      </c>
      <c r="B178" s="584"/>
      <c r="C178" s="584"/>
      <c r="D178" s="585">
        <v>19</v>
      </c>
      <c r="E178" s="586"/>
      <c r="F178" s="584"/>
      <c r="G178" s="586"/>
      <c r="H178" s="622"/>
    </row>
    <row r="179" spans="1:8" ht="12.75" customHeight="1">
      <c r="A179" s="644" t="s">
        <v>7269</v>
      </c>
      <c r="B179" s="574">
        <v>2022</v>
      </c>
      <c r="C179" s="574" t="s">
        <v>7076</v>
      </c>
      <c r="D179" s="577">
        <f>D180*12</f>
        <v>212.39999999999998</v>
      </c>
      <c r="E179" s="575"/>
      <c r="F179" s="574">
        <v>4</v>
      </c>
      <c r="G179" s="577" t="s">
        <v>7270</v>
      </c>
      <c r="H179" s="579" t="s">
        <v>7070</v>
      </c>
    </row>
    <row r="180" spans="1:8" ht="12.75" customHeight="1">
      <c r="A180" s="643" t="s">
        <v>7271</v>
      </c>
      <c r="B180" s="584"/>
      <c r="C180" s="584"/>
      <c r="D180" s="585">
        <v>17.7</v>
      </c>
      <c r="E180" s="586"/>
      <c r="F180" s="584"/>
      <c r="G180" s="645"/>
      <c r="H180" s="586"/>
    </row>
    <row r="181" spans="1:8" ht="12.75" customHeight="1">
      <c r="A181" s="646" t="s">
        <v>7272</v>
      </c>
      <c r="B181" s="574">
        <v>2022</v>
      </c>
      <c r="C181" s="574" t="s">
        <v>7076</v>
      </c>
      <c r="D181" s="577">
        <f>D182*12</f>
        <v>198</v>
      </c>
      <c r="E181" s="575"/>
      <c r="F181" s="574">
        <v>4</v>
      </c>
      <c r="G181" s="574" t="s">
        <v>7273</v>
      </c>
      <c r="H181" s="579" t="s">
        <v>7070</v>
      </c>
    </row>
    <row r="182" spans="1:8" ht="12.75" customHeight="1">
      <c r="A182" s="596" t="s">
        <v>7274</v>
      </c>
      <c r="B182" s="586"/>
      <c r="C182" s="586"/>
      <c r="D182" s="585">
        <v>16.5</v>
      </c>
      <c r="E182" s="586"/>
      <c r="F182" s="584"/>
      <c r="G182" s="586"/>
      <c r="H182" s="586"/>
    </row>
    <row r="183" spans="1:8" ht="12.75" customHeight="1">
      <c r="A183" s="647" t="s">
        <v>7275</v>
      </c>
      <c r="B183" s="574">
        <v>2022</v>
      </c>
      <c r="C183" s="574" t="s">
        <v>7076</v>
      </c>
      <c r="D183" s="577">
        <f>D184*12</f>
        <v>198</v>
      </c>
      <c r="E183" s="575"/>
      <c r="F183" s="574">
        <v>11</v>
      </c>
      <c r="G183" s="577" t="s">
        <v>7276</v>
      </c>
      <c r="H183" s="579" t="s">
        <v>7070</v>
      </c>
    </row>
    <row r="184" spans="1:8" ht="12.75" customHeight="1">
      <c r="A184" s="578" t="s">
        <v>7277</v>
      </c>
      <c r="B184" s="576"/>
      <c r="C184" s="576"/>
      <c r="D184" s="577">
        <v>16.5</v>
      </c>
      <c r="E184" s="575"/>
      <c r="F184" s="576"/>
      <c r="G184" s="575"/>
      <c r="H184" s="575"/>
    </row>
    <row r="185" spans="1:8" ht="12.75" customHeight="1">
      <c r="A185" s="571"/>
      <c r="B185" s="576"/>
      <c r="C185" s="576"/>
      <c r="D185" s="575"/>
      <c r="E185" s="575"/>
      <c r="F185" s="576"/>
      <c r="G185" s="571"/>
      <c r="H185" s="572"/>
    </row>
    <row r="186" spans="1:8" ht="12.75" customHeight="1">
      <c r="A186" s="835" t="s">
        <v>7278</v>
      </c>
      <c r="B186" s="725"/>
      <c r="C186" s="725"/>
      <c r="D186" s="725"/>
      <c r="E186" s="725"/>
      <c r="F186" s="725"/>
      <c r="G186" s="725"/>
      <c r="H186" s="725"/>
    </row>
    <row r="187" spans="1:8" ht="12.75" customHeight="1">
      <c r="A187" s="638" t="s">
        <v>7279</v>
      </c>
      <c r="B187" s="571"/>
      <c r="C187" s="571"/>
      <c r="D187" s="572"/>
      <c r="E187" s="572"/>
      <c r="F187" s="571"/>
      <c r="G187" s="571"/>
      <c r="H187" s="572"/>
    </row>
    <row r="188" spans="1:8" ht="12.75" customHeight="1">
      <c r="A188" s="620" t="s">
        <v>7280</v>
      </c>
      <c r="B188" s="574">
        <v>2022</v>
      </c>
      <c r="C188" s="595" t="s">
        <v>7076</v>
      </c>
      <c r="D188" s="577">
        <f>D189*12</f>
        <v>150</v>
      </c>
      <c r="E188" s="575"/>
      <c r="F188" s="574">
        <v>24</v>
      </c>
      <c r="G188" s="577" t="s">
        <v>7281</v>
      </c>
      <c r="H188" s="579" t="s">
        <v>7070</v>
      </c>
    </row>
    <row r="189" spans="1:8" ht="12.75" customHeight="1">
      <c r="A189" s="596" t="s">
        <v>7282</v>
      </c>
      <c r="B189" s="586"/>
      <c r="C189" s="604">
        <v>6.7000000000000004E-2</v>
      </c>
      <c r="D189" s="585">
        <v>12.5</v>
      </c>
      <c r="E189" s="586"/>
      <c r="F189" s="584"/>
      <c r="G189" s="584"/>
      <c r="H189" s="587" t="s">
        <v>7072</v>
      </c>
    </row>
    <row r="190" spans="1:8" ht="12.75" customHeight="1">
      <c r="A190" s="623" t="s">
        <v>7283</v>
      </c>
      <c r="B190" s="574">
        <v>2022</v>
      </c>
      <c r="C190" s="595" t="s">
        <v>7076</v>
      </c>
      <c r="D190" s="577">
        <f>D191*12</f>
        <v>153.60000000000002</v>
      </c>
      <c r="E190" s="575"/>
      <c r="F190" s="574">
        <v>17</v>
      </c>
      <c r="G190" s="577" t="s">
        <v>7284</v>
      </c>
      <c r="H190" s="579" t="s">
        <v>7070</v>
      </c>
    </row>
    <row r="191" spans="1:8" ht="12.75" customHeight="1">
      <c r="A191" s="596" t="s">
        <v>7285</v>
      </c>
      <c r="B191" s="586"/>
      <c r="C191" s="604">
        <v>6.9000000000000006E-2</v>
      </c>
      <c r="D191" s="585">
        <v>12.8</v>
      </c>
      <c r="E191" s="586"/>
      <c r="F191" s="584"/>
      <c r="G191" s="584"/>
      <c r="H191" s="587" t="s">
        <v>7072</v>
      </c>
    </row>
    <row r="192" spans="1:8" ht="12.75" customHeight="1">
      <c r="A192" s="594" t="s">
        <v>7286</v>
      </c>
      <c r="B192" s="574">
        <v>2022</v>
      </c>
      <c r="C192" s="595" t="s">
        <v>7076</v>
      </c>
      <c r="D192" s="577">
        <f>D193*12</f>
        <v>153.60000000000002</v>
      </c>
      <c r="E192" s="575"/>
      <c r="F192" s="574">
        <v>16</v>
      </c>
      <c r="G192" s="577" t="s">
        <v>7287</v>
      </c>
      <c r="H192" s="579" t="s">
        <v>7070</v>
      </c>
    </row>
    <row r="193" spans="1:8" ht="12.75" customHeight="1">
      <c r="A193" s="596" t="s">
        <v>7288</v>
      </c>
      <c r="B193" s="586"/>
      <c r="C193" s="604">
        <v>6.5000000000000002E-2</v>
      </c>
      <c r="D193" s="585">
        <v>12.8</v>
      </c>
      <c r="E193" s="586"/>
      <c r="F193" s="584"/>
      <c r="G193" s="584"/>
      <c r="H193" s="587" t="s">
        <v>7072</v>
      </c>
    </row>
    <row r="194" spans="1:8" ht="12.75" customHeight="1">
      <c r="A194" s="608" t="s">
        <v>7289</v>
      </c>
      <c r="B194" s="574">
        <v>2022</v>
      </c>
      <c r="C194" s="595" t="s">
        <v>7076</v>
      </c>
      <c r="D194" s="577">
        <f>D195*12</f>
        <v>153.60000000000002</v>
      </c>
      <c r="E194" s="575"/>
      <c r="F194" s="574">
        <v>21</v>
      </c>
      <c r="G194" s="577" t="s">
        <v>7290</v>
      </c>
      <c r="H194" s="579" t="s">
        <v>7070</v>
      </c>
    </row>
    <row r="195" spans="1:8" ht="12.75" customHeight="1">
      <c r="A195" s="596" t="s">
        <v>7291</v>
      </c>
      <c r="B195" s="586"/>
      <c r="C195" s="604">
        <v>6.0999999999999999E-2</v>
      </c>
      <c r="D195" s="585">
        <v>12.8</v>
      </c>
      <c r="E195" s="586"/>
      <c r="F195" s="584"/>
      <c r="G195" s="584"/>
      <c r="H195" s="587" t="s">
        <v>7072</v>
      </c>
    </row>
    <row r="196" spans="1:8" ht="12.75" customHeight="1">
      <c r="A196" s="620" t="s">
        <v>7292</v>
      </c>
      <c r="B196" s="574">
        <v>2022</v>
      </c>
      <c r="C196" s="595" t="s">
        <v>7076</v>
      </c>
      <c r="D196" s="577">
        <f>D197*12</f>
        <v>156</v>
      </c>
      <c r="E196" s="575"/>
      <c r="F196" s="574">
        <v>21</v>
      </c>
      <c r="G196" s="577" t="s">
        <v>7293</v>
      </c>
      <c r="H196" s="579" t="s">
        <v>7070</v>
      </c>
    </row>
    <row r="197" spans="1:8" ht="12.75" customHeight="1">
      <c r="A197" s="596" t="s">
        <v>7294</v>
      </c>
      <c r="B197" s="586"/>
      <c r="C197" s="604">
        <v>6.2E-2</v>
      </c>
      <c r="D197" s="585">
        <v>13</v>
      </c>
      <c r="E197" s="586"/>
      <c r="F197" s="584"/>
      <c r="G197" s="586"/>
      <c r="H197" s="587" t="s">
        <v>7072</v>
      </c>
    </row>
    <row r="198" spans="1:8" ht="12.75" customHeight="1">
      <c r="A198" s="608" t="s">
        <v>7295</v>
      </c>
      <c r="B198" s="574">
        <v>2022</v>
      </c>
      <c r="C198" s="606" t="s">
        <v>7076</v>
      </c>
      <c r="D198" s="577">
        <f>D199*12</f>
        <v>153.60000000000002</v>
      </c>
      <c r="E198" s="575"/>
      <c r="F198" s="574">
        <v>1</v>
      </c>
      <c r="G198" s="577" t="s">
        <v>7296</v>
      </c>
      <c r="H198" s="579" t="s">
        <v>7070</v>
      </c>
    </row>
    <row r="199" spans="1:8" ht="12.75" customHeight="1">
      <c r="A199" s="596" t="s">
        <v>7297</v>
      </c>
      <c r="B199" s="586"/>
      <c r="C199" s="604">
        <v>6.2E-2</v>
      </c>
      <c r="D199" s="585">
        <v>12.8</v>
      </c>
      <c r="E199" s="586"/>
      <c r="F199" s="584"/>
      <c r="G199" s="586"/>
      <c r="H199" s="587" t="s">
        <v>7072</v>
      </c>
    </row>
    <row r="200" spans="1:8" ht="12.75" customHeight="1">
      <c r="A200" s="581" t="s">
        <v>7298</v>
      </c>
      <c r="B200" s="574">
        <v>2022</v>
      </c>
      <c r="C200" s="595" t="s">
        <v>7076</v>
      </c>
      <c r="D200" s="577">
        <f>D201*12</f>
        <v>156</v>
      </c>
      <c r="E200" s="575"/>
      <c r="F200" s="574">
        <v>50</v>
      </c>
      <c r="G200" s="577" t="s">
        <v>7299</v>
      </c>
      <c r="H200" s="579" t="s">
        <v>7070</v>
      </c>
    </row>
    <row r="201" spans="1:8" ht="12.75" customHeight="1">
      <c r="A201" s="599" t="s">
        <v>7300</v>
      </c>
      <c r="B201" s="575"/>
      <c r="C201" s="648">
        <v>6.8000000000000005E-2</v>
      </c>
      <c r="D201" s="577">
        <v>13</v>
      </c>
      <c r="E201" s="575"/>
      <c r="F201" s="576"/>
      <c r="G201" s="575"/>
      <c r="H201" s="579" t="s">
        <v>7072</v>
      </c>
    </row>
    <row r="202" spans="1:8" ht="12.75" customHeight="1">
      <c r="A202" s="572"/>
      <c r="B202" s="575"/>
      <c r="C202" s="600"/>
      <c r="D202" s="575"/>
      <c r="E202" s="575"/>
      <c r="F202" s="576"/>
      <c r="G202" s="572"/>
      <c r="H202" s="572"/>
    </row>
    <row r="203" spans="1:8" ht="12.75" customHeight="1">
      <c r="A203" s="831" t="s">
        <v>7301</v>
      </c>
      <c r="B203" s="725"/>
      <c r="C203" s="725"/>
      <c r="D203" s="725"/>
      <c r="E203" s="725"/>
      <c r="F203" s="725"/>
      <c r="G203" s="725"/>
      <c r="H203" s="725"/>
    </row>
    <row r="204" spans="1:8" ht="12.75" customHeight="1">
      <c r="A204" s="638" t="s">
        <v>7302</v>
      </c>
      <c r="B204" s="571"/>
      <c r="C204" s="571"/>
      <c r="D204" s="572"/>
      <c r="E204" s="572"/>
      <c r="F204" s="571"/>
      <c r="G204" s="572"/>
      <c r="H204" s="572"/>
    </row>
    <row r="205" spans="1:8" ht="12.75" customHeight="1">
      <c r="A205" s="649" t="s">
        <v>7303</v>
      </c>
      <c r="B205" s="574">
        <v>2021</v>
      </c>
      <c r="C205" s="574" t="s">
        <v>7076</v>
      </c>
      <c r="D205" s="577">
        <f>D206*12</f>
        <v>228</v>
      </c>
      <c r="E205" s="575"/>
      <c r="F205" s="574">
        <v>25</v>
      </c>
      <c r="G205" s="577" t="s">
        <v>7304</v>
      </c>
      <c r="H205" s="579" t="s">
        <v>7305</v>
      </c>
    </row>
    <row r="206" spans="1:8" ht="12.75" customHeight="1">
      <c r="A206" s="643" t="s">
        <v>7306</v>
      </c>
      <c r="B206" s="584"/>
      <c r="C206" s="584"/>
      <c r="D206" s="585">
        <v>19</v>
      </c>
      <c r="E206" s="586"/>
      <c r="F206" s="584"/>
      <c r="G206" s="618"/>
      <c r="H206" s="622"/>
    </row>
    <row r="207" spans="1:8" ht="12.75" customHeight="1">
      <c r="A207" s="650" t="s">
        <v>7307</v>
      </c>
      <c r="B207" s="574">
        <v>2021</v>
      </c>
      <c r="C207" s="574" t="s">
        <v>7076</v>
      </c>
      <c r="D207" s="577">
        <f>D208*12</f>
        <v>243</v>
      </c>
      <c r="E207" s="575"/>
      <c r="F207" s="574">
        <v>10</v>
      </c>
      <c r="G207" s="577" t="s">
        <v>7308</v>
      </c>
      <c r="H207" s="579" t="s">
        <v>7305</v>
      </c>
    </row>
    <row r="208" spans="1:8" ht="12.75" customHeight="1">
      <c r="A208" s="578" t="s">
        <v>7309</v>
      </c>
      <c r="B208" s="576"/>
      <c r="C208" s="576"/>
      <c r="D208" s="577">
        <v>20.25</v>
      </c>
      <c r="E208" s="575"/>
      <c r="F208" s="576"/>
      <c r="G208" s="572"/>
      <c r="H208" s="572"/>
    </row>
    <row r="209" spans="1:8" ht="12.75" customHeight="1">
      <c r="A209" s="571"/>
      <c r="B209" s="576"/>
      <c r="C209" s="576"/>
      <c r="D209" s="575"/>
      <c r="E209" s="575"/>
      <c r="F209" s="576"/>
      <c r="G209" s="572"/>
      <c r="H209" s="572"/>
    </row>
    <row r="210" spans="1:8" ht="12.75" customHeight="1">
      <c r="A210" s="830" t="s">
        <v>6926</v>
      </c>
      <c r="B210" s="725"/>
      <c r="C210" s="725"/>
      <c r="D210" s="725"/>
      <c r="E210" s="725"/>
      <c r="F210" s="725"/>
      <c r="G210" s="725"/>
      <c r="H210" s="725"/>
    </row>
    <row r="211" spans="1:8" ht="12.75" customHeight="1">
      <c r="A211" s="831" t="s">
        <v>7310</v>
      </c>
      <c r="B211" s="725"/>
      <c r="C211" s="725"/>
      <c r="D211" s="725"/>
      <c r="E211" s="725"/>
      <c r="F211" s="725"/>
      <c r="G211" s="725"/>
      <c r="H211" s="725"/>
    </row>
    <row r="212" spans="1:8" ht="12.75" customHeight="1">
      <c r="A212" s="638" t="s">
        <v>7311</v>
      </c>
      <c r="B212" s="571"/>
      <c r="C212" s="571"/>
      <c r="D212" s="572"/>
      <c r="E212" s="572"/>
      <c r="F212" s="571"/>
      <c r="G212" s="572"/>
      <c r="H212" s="572"/>
    </row>
    <row r="213" spans="1:8" ht="12.75" customHeight="1">
      <c r="A213" s="651" t="s">
        <v>7312</v>
      </c>
      <c r="B213" s="574">
        <v>2021</v>
      </c>
      <c r="C213" s="574" t="s">
        <v>7076</v>
      </c>
      <c r="D213" s="577">
        <f>D214*12</f>
        <v>219</v>
      </c>
      <c r="E213" s="575"/>
      <c r="F213" s="574">
        <v>11</v>
      </c>
      <c r="G213" s="577" t="s">
        <v>7313</v>
      </c>
      <c r="H213" s="579" t="s">
        <v>7070</v>
      </c>
    </row>
    <row r="214" spans="1:8" ht="12.75" customHeight="1">
      <c r="A214" s="643" t="s">
        <v>7314</v>
      </c>
      <c r="B214" s="584"/>
      <c r="C214" s="584"/>
      <c r="D214" s="585">
        <v>18.25</v>
      </c>
      <c r="E214" s="586"/>
      <c r="F214" s="584"/>
      <c r="G214" s="618"/>
      <c r="H214" s="622"/>
    </row>
    <row r="215" spans="1:8" ht="12.75" customHeight="1">
      <c r="A215" s="649" t="s">
        <v>7315</v>
      </c>
      <c r="B215" s="574">
        <v>2021</v>
      </c>
      <c r="C215" s="574" t="s">
        <v>7076</v>
      </c>
      <c r="D215" s="577">
        <f>D216*12</f>
        <v>228</v>
      </c>
      <c r="E215" s="575"/>
      <c r="F215" s="574">
        <v>11</v>
      </c>
      <c r="G215" s="577" t="s">
        <v>7316</v>
      </c>
      <c r="H215" s="579" t="s">
        <v>7070</v>
      </c>
    </row>
    <row r="216" spans="1:8" ht="12.75" customHeight="1">
      <c r="A216" s="643" t="s">
        <v>7317</v>
      </c>
      <c r="B216" s="584"/>
      <c r="C216" s="584"/>
      <c r="D216" s="585">
        <v>19</v>
      </c>
      <c r="E216" s="586"/>
      <c r="F216" s="584"/>
      <c r="G216" s="618"/>
      <c r="H216" s="586"/>
    </row>
    <row r="217" spans="1:8" ht="12.75" customHeight="1">
      <c r="A217" s="588" t="s">
        <v>7318</v>
      </c>
      <c r="B217" s="574">
        <v>2021</v>
      </c>
      <c r="C217" s="574" t="s">
        <v>7076</v>
      </c>
      <c r="D217" s="577">
        <f>D218*12</f>
        <v>219</v>
      </c>
      <c r="E217" s="575"/>
      <c r="F217" s="574">
        <v>11</v>
      </c>
      <c r="G217" s="577" t="s">
        <v>7319</v>
      </c>
      <c r="H217" s="579" t="s">
        <v>7070</v>
      </c>
    </row>
    <row r="218" spans="1:8" ht="12.75" customHeight="1">
      <c r="A218" s="643" t="s">
        <v>7320</v>
      </c>
      <c r="B218" s="584"/>
      <c r="C218" s="584"/>
      <c r="D218" s="585">
        <v>18.25</v>
      </c>
      <c r="E218" s="586"/>
      <c r="F218" s="584"/>
      <c r="G218" s="618"/>
      <c r="H218" s="586"/>
    </row>
    <row r="219" spans="1:8" ht="12.75" customHeight="1">
      <c r="A219" s="650" t="s">
        <v>7321</v>
      </c>
      <c r="B219" s="574">
        <v>2021</v>
      </c>
      <c r="C219" s="574" t="s">
        <v>7076</v>
      </c>
      <c r="D219" s="577">
        <f>D220*12</f>
        <v>228</v>
      </c>
      <c r="E219" s="575"/>
      <c r="F219" s="574">
        <v>17</v>
      </c>
      <c r="G219" s="577" t="s">
        <v>7322</v>
      </c>
      <c r="H219" s="579" t="s">
        <v>7070</v>
      </c>
    </row>
    <row r="220" spans="1:8" ht="12.75" customHeight="1">
      <c r="A220" s="578" t="s">
        <v>7323</v>
      </c>
      <c r="B220" s="576"/>
      <c r="C220" s="576"/>
      <c r="D220" s="577">
        <v>19</v>
      </c>
      <c r="E220" s="575"/>
      <c r="F220" s="576"/>
      <c r="G220" s="593"/>
      <c r="H220" s="572"/>
    </row>
  </sheetData>
  <mergeCells count="26">
    <mergeCell ref="A186:H186"/>
    <mergeCell ref="A203:H203"/>
    <mergeCell ref="A210:H210"/>
    <mergeCell ref="A211:H211"/>
    <mergeCell ref="A106:H106"/>
    <mergeCell ref="A112:H112"/>
    <mergeCell ref="A120:H120"/>
    <mergeCell ref="A121:H121"/>
    <mergeCell ref="A126:H126"/>
    <mergeCell ref="A164:H164"/>
    <mergeCell ref="A166:H166"/>
    <mergeCell ref="A26:H26"/>
    <mergeCell ref="A31:H31"/>
    <mergeCell ref="A54:H54"/>
    <mergeCell ref="A59:H59"/>
    <mergeCell ref="A167:H167"/>
    <mergeCell ref="A12:H12"/>
    <mergeCell ref="A13:H13"/>
    <mergeCell ref="A18:H18"/>
    <mergeCell ref="A19:H19"/>
    <mergeCell ref="A25:H25"/>
    <mergeCell ref="A6:H6"/>
    <mergeCell ref="A7:H7"/>
    <mergeCell ref="A8:H8"/>
    <mergeCell ref="A9:H9"/>
    <mergeCell ref="A10:H10"/>
  </mergeCells>
  <hyperlinks>
    <hyperlink ref="A9" r:id="rId1" xr:uid="{00000000-0004-0000-0A00-000000000000}"/>
    <hyperlink ref="A10" r:id="rId2" xr:uid="{00000000-0004-0000-0A00-000001000000}"/>
    <hyperlink ref="A14" r:id="rId3" xr:uid="{00000000-0004-0000-0A00-000002000000}"/>
    <hyperlink ref="A20" r:id="rId4" xr:uid="{00000000-0004-0000-0A00-000003000000}"/>
    <hyperlink ref="A22" r:id="rId5" xr:uid="{00000000-0004-0000-0A00-000004000000}"/>
    <hyperlink ref="A27" r:id="rId6" xr:uid="{00000000-0004-0000-0A00-000005000000}"/>
    <hyperlink ref="A28" r:id="rId7" xr:uid="{00000000-0004-0000-0A00-000006000000}"/>
    <hyperlink ref="A32" r:id="rId8" xr:uid="{00000000-0004-0000-0A00-000007000000}"/>
    <hyperlink ref="A36" r:id="rId9" xr:uid="{00000000-0004-0000-0A00-000008000000}"/>
    <hyperlink ref="A44" r:id="rId10" xr:uid="{00000000-0004-0000-0A00-000009000000}"/>
    <hyperlink ref="A55" r:id="rId11" xr:uid="{00000000-0004-0000-0A00-00000A000000}"/>
    <hyperlink ref="A57" r:id="rId12" xr:uid="{00000000-0004-0000-0A00-00000B000000}"/>
    <hyperlink ref="A60" r:id="rId13" xr:uid="{00000000-0004-0000-0A00-00000C000000}"/>
    <hyperlink ref="A62" r:id="rId14" xr:uid="{00000000-0004-0000-0A00-00000D000000}"/>
    <hyperlink ref="A64" r:id="rId15" xr:uid="{00000000-0004-0000-0A00-00000E000000}"/>
    <hyperlink ref="A65" r:id="rId16" xr:uid="{00000000-0004-0000-0A00-00000F000000}"/>
    <hyperlink ref="A66" r:id="rId17" xr:uid="{00000000-0004-0000-0A00-000010000000}"/>
    <hyperlink ref="A69" r:id="rId18" xr:uid="{00000000-0004-0000-0A00-000011000000}"/>
    <hyperlink ref="A72" r:id="rId19" xr:uid="{00000000-0004-0000-0A00-000012000000}"/>
    <hyperlink ref="A74" r:id="rId20" xr:uid="{00000000-0004-0000-0A00-000013000000}"/>
    <hyperlink ref="A76" r:id="rId21" xr:uid="{00000000-0004-0000-0A00-000014000000}"/>
    <hyperlink ref="A77" r:id="rId22" xr:uid="{00000000-0004-0000-0A00-000015000000}"/>
    <hyperlink ref="A84" r:id="rId23" xr:uid="{00000000-0004-0000-0A00-000016000000}"/>
    <hyperlink ref="A89" r:id="rId24" xr:uid="{00000000-0004-0000-0A00-000017000000}"/>
    <hyperlink ref="A93" r:id="rId25" xr:uid="{00000000-0004-0000-0A00-000018000000}"/>
    <hyperlink ref="A96" r:id="rId26" xr:uid="{00000000-0004-0000-0A00-000019000000}"/>
    <hyperlink ref="A97" r:id="rId27" xr:uid="{00000000-0004-0000-0A00-00001A000000}"/>
    <hyperlink ref="A99" r:id="rId28" xr:uid="{00000000-0004-0000-0A00-00001B000000}"/>
    <hyperlink ref="A103" r:id="rId29" xr:uid="{00000000-0004-0000-0A00-00001C000000}"/>
    <hyperlink ref="A107" r:id="rId30" xr:uid="{00000000-0004-0000-0A00-00001D000000}"/>
    <hyperlink ref="A109" r:id="rId31" xr:uid="{00000000-0004-0000-0A00-00001E000000}"/>
    <hyperlink ref="A113" r:id="rId32" xr:uid="{00000000-0004-0000-0A00-00001F000000}"/>
    <hyperlink ref="A116" r:id="rId33" xr:uid="{00000000-0004-0000-0A00-000020000000}"/>
    <hyperlink ref="A121" r:id="rId34" xr:uid="{00000000-0004-0000-0A00-000021000000}"/>
    <hyperlink ref="A122" r:id="rId35" xr:uid="{00000000-0004-0000-0A00-000022000000}"/>
    <hyperlink ref="A126" r:id="rId36" xr:uid="{00000000-0004-0000-0A00-000023000000}"/>
    <hyperlink ref="A127" r:id="rId37" xr:uid="{00000000-0004-0000-0A00-000024000000}"/>
    <hyperlink ref="A134" r:id="rId38" xr:uid="{00000000-0004-0000-0A00-000025000000}"/>
    <hyperlink ref="A135" r:id="rId39" xr:uid="{00000000-0004-0000-0A00-000026000000}"/>
    <hyperlink ref="A143" r:id="rId40" xr:uid="{00000000-0004-0000-0A00-000027000000}"/>
    <hyperlink ref="A150" r:id="rId41" xr:uid="{00000000-0004-0000-0A00-000028000000}"/>
    <hyperlink ref="A158" r:id="rId42" xr:uid="{00000000-0004-0000-0A00-000029000000}"/>
    <hyperlink ref="A168" r:id="rId43" xr:uid="{00000000-0004-0000-0A00-00002A000000}"/>
    <hyperlink ref="A170" r:id="rId44" xr:uid="{00000000-0004-0000-0A00-00002B000000}"/>
    <hyperlink ref="A173" r:id="rId45" xr:uid="{00000000-0004-0000-0A00-00002C000000}"/>
    <hyperlink ref="A178" r:id="rId46" xr:uid="{00000000-0004-0000-0A00-00002D000000}"/>
    <hyperlink ref="A183" r:id="rId47" xr:uid="{00000000-0004-0000-0A00-00002E000000}"/>
    <hyperlink ref="A187" r:id="rId48" xr:uid="{00000000-0004-0000-0A00-00002F000000}"/>
    <hyperlink ref="A204" r:id="rId49" xr:uid="{00000000-0004-0000-0A00-000030000000}"/>
    <hyperlink ref="A212" r:id="rId50" xr:uid="{00000000-0004-0000-0A00-000031000000}"/>
  </hyperlinks>
  <printOptions horizontalCentered="1"/>
  <pageMargins left="0.09" right="0.25" top="0.56000000000000005" bottom="0.15" header="0" footer="0"/>
  <pageSetup orientation="portrait"/>
  <headerFooter>
    <oddFooter>&amp;C000000Page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  <pageSetUpPr fitToPage="1"/>
  </sheetPr>
  <dimension ref="A1:H90"/>
  <sheetViews>
    <sheetView workbookViewId="0"/>
  </sheetViews>
  <sheetFormatPr baseColWidth="10" defaultColWidth="12.6640625" defaultRowHeight="15.75" customHeight="1"/>
  <cols>
    <col min="1" max="1" width="14.33203125" customWidth="1"/>
    <col min="2" max="2" width="17.83203125" customWidth="1"/>
    <col min="3" max="3" width="29.5" customWidth="1"/>
    <col min="4" max="4" width="16.5" customWidth="1"/>
    <col min="5" max="6" width="7.5" customWidth="1"/>
    <col min="7" max="7" width="9.6640625" customWidth="1"/>
    <col min="8" max="8" width="8.1640625" customWidth="1"/>
  </cols>
  <sheetData>
    <row r="1" spans="1:8" ht="15.75" customHeight="1">
      <c r="A1" s="842"/>
      <c r="B1" s="725"/>
      <c r="C1" s="725"/>
      <c r="D1" s="725"/>
      <c r="E1" s="725"/>
      <c r="F1" s="725"/>
      <c r="G1" s="725"/>
      <c r="H1" s="725"/>
    </row>
    <row r="2" spans="1:8" ht="15.75" customHeight="1">
      <c r="A2" s="725"/>
      <c r="B2" s="725"/>
      <c r="C2" s="725"/>
      <c r="D2" s="725"/>
      <c r="E2" s="725"/>
      <c r="F2" s="725"/>
      <c r="G2" s="725"/>
      <c r="H2" s="725"/>
    </row>
    <row r="3" spans="1:8" ht="15.75" customHeight="1">
      <c r="A3" s="725"/>
      <c r="B3" s="725"/>
      <c r="C3" s="725"/>
      <c r="D3" s="725"/>
      <c r="E3" s="725"/>
      <c r="F3" s="725"/>
      <c r="G3" s="725"/>
      <c r="H3" s="725"/>
    </row>
    <row r="4" spans="1:8" ht="15.75" customHeight="1">
      <c r="A4" s="725"/>
      <c r="B4" s="725"/>
      <c r="C4" s="725"/>
      <c r="D4" s="725"/>
      <c r="E4" s="725"/>
      <c r="F4" s="725"/>
      <c r="G4" s="725"/>
      <c r="H4" s="725"/>
    </row>
    <row r="5" spans="1:8" ht="15.75" customHeight="1">
      <c r="A5" s="725"/>
      <c r="B5" s="725"/>
      <c r="C5" s="725"/>
      <c r="D5" s="725"/>
      <c r="E5" s="725"/>
      <c r="F5" s="725"/>
      <c r="G5" s="725"/>
      <c r="H5" s="725"/>
    </row>
    <row r="6" spans="1:8" ht="15.75" customHeight="1">
      <c r="A6" s="725"/>
      <c r="B6" s="725"/>
      <c r="C6" s="725"/>
      <c r="D6" s="725"/>
      <c r="E6" s="725"/>
      <c r="F6" s="725"/>
      <c r="G6" s="725"/>
      <c r="H6" s="725"/>
    </row>
    <row r="7" spans="1:8">
      <c r="A7" s="652" t="s">
        <v>5844</v>
      </c>
      <c r="B7" s="652" t="s">
        <v>3954</v>
      </c>
      <c r="C7" s="652" t="s">
        <v>7324</v>
      </c>
      <c r="D7" s="652" t="s">
        <v>7325</v>
      </c>
      <c r="E7" s="652" t="s">
        <v>3956</v>
      </c>
      <c r="F7" s="652" t="s">
        <v>7326</v>
      </c>
      <c r="G7" s="653" t="s">
        <v>7327</v>
      </c>
      <c r="H7" s="654" t="s">
        <v>7328</v>
      </c>
    </row>
    <row r="8" spans="1:8">
      <c r="A8" s="546" t="s">
        <v>7329</v>
      </c>
      <c r="B8" s="546" t="s">
        <v>7330</v>
      </c>
      <c r="C8" s="546" t="s">
        <v>7331</v>
      </c>
      <c r="D8" s="546" t="s">
        <v>7332</v>
      </c>
      <c r="E8" s="561">
        <v>2020</v>
      </c>
      <c r="F8" s="546" t="s">
        <v>32</v>
      </c>
      <c r="G8" s="655">
        <v>12</v>
      </c>
      <c r="H8" s="656">
        <v>240</v>
      </c>
    </row>
    <row r="9" spans="1:8">
      <c r="A9" s="546" t="s">
        <v>7333</v>
      </c>
      <c r="B9" s="546" t="s">
        <v>7330</v>
      </c>
      <c r="C9" s="546" t="s">
        <v>7331</v>
      </c>
      <c r="D9" s="546" t="s">
        <v>7332</v>
      </c>
      <c r="E9" s="561">
        <v>2016</v>
      </c>
      <c r="F9" s="546" t="s">
        <v>32</v>
      </c>
      <c r="G9" s="655">
        <v>12</v>
      </c>
      <c r="H9" s="656">
        <v>552</v>
      </c>
    </row>
    <row r="10" spans="1:8">
      <c r="A10" s="546" t="s">
        <v>7334</v>
      </c>
      <c r="B10" s="546" t="s">
        <v>7330</v>
      </c>
      <c r="C10" s="546" t="s">
        <v>7335</v>
      </c>
      <c r="D10" s="546" t="s">
        <v>7332</v>
      </c>
      <c r="E10" s="561">
        <v>2019</v>
      </c>
      <c r="F10" s="546" t="s">
        <v>32</v>
      </c>
      <c r="G10" s="655">
        <v>12</v>
      </c>
      <c r="H10" s="656">
        <v>276</v>
      </c>
    </row>
    <row r="11" spans="1:8">
      <c r="A11" s="546" t="s">
        <v>7336</v>
      </c>
      <c r="B11" s="546" t="s">
        <v>7330</v>
      </c>
      <c r="C11" s="546" t="s">
        <v>7337</v>
      </c>
      <c r="D11" s="546" t="s">
        <v>7332</v>
      </c>
      <c r="E11" s="561">
        <v>2020</v>
      </c>
      <c r="F11" s="546" t="s">
        <v>32</v>
      </c>
      <c r="G11" s="655">
        <v>12</v>
      </c>
      <c r="H11" s="656">
        <v>264</v>
      </c>
    </row>
    <row r="12" spans="1:8">
      <c r="A12" s="546" t="s">
        <v>7338</v>
      </c>
      <c r="B12" s="546" t="s">
        <v>7330</v>
      </c>
      <c r="C12" s="546" t="s">
        <v>7339</v>
      </c>
      <c r="D12" s="546" t="s">
        <v>7332</v>
      </c>
      <c r="E12" s="561">
        <v>2020</v>
      </c>
      <c r="F12" s="546" t="s">
        <v>32</v>
      </c>
      <c r="G12" s="655">
        <v>12</v>
      </c>
      <c r="H12" s="656">
        <v>264</v>
      </c>
    </row>
    <row r="13" spans="1:8">
      <c r="A13" s="657" t="s">
        <v>7340</v>
      </c>
      <c r="B13" s="546" t="s">
        <v>7330</v>
      </c>
      <c r="C13" s="546" t="s">
        <v>7331</v>
      </c>
      <c r="D13" s="546" t="s">
        <v>7332</v>
      </c>
      <c r="E13" s="658">
        <v>2015</v>
      </c>
      <c r="F13" s="659" t="s">
        <v>32</v>
      </c>
      <c r="G13" s="660">
        <v>12</v>
      </c>
      <c r="H13" s="656">
        <v>672</v>
      </c>
    </row>
    <row r="14" spans="1:8">
      <c r="A14" s="546" t="s">
        <v>7341</v>
      </c>
      <c r="B14" s="546" t="s">
        <v>7330</v>
      </c>
      <c r="C14" s="546" t="s">
        <v>7331</v>
      </c>
      <c r="D14" s="546" t="s">
        <v>7332</v>
      </c>
      <c r="E14" s="561">
        <v>2019</v>
      </c>
      <c r="F14" s="661" t="s">
        <v>32</v>
      </c>
      <c r="G14" s="655">
        <v>12</v>
      </c>
      <c r="H14" s="656">
        <v>264</v>
      </c>
    </row>
    <row r="15" spans="1:8">
      <c r="A15" s="840"/>
      <c r="B15" s="725"/>
      <c r="C15" s="725"/>
      <c r="D15" s="725"/>
      <c r="E15" s="725"/>
      <c r="F15" s="725"/>
      <c r="G15" s="725"/>
      <c r="H15" s="725"/>
    </row>
    <row r="16" spans="1:8">
      <c r="A16" s="546" t="s">
        <v>7342</v>
      </c>
      <c r="B16" s="546" t="s">
        <v>7343</v>
      </c>
      <c r="C16" s="546" t="s">
        <v>7344</v>
      </c>
      <c r="D16" s="546" t="s">
        <v>7345</v>
      </c>
      <c r="E16" s="561">
        <v>2021</v>
      </c>
      <c r="F16" s="661" t="s">
        <v>32</v>
      </c>
      <c r="G16" s="561">
        <v>12</v>
      </c>
      <c r="H16" s="656">
        <v>276</v>
      </c>
    </row>
    <row r="17" spans="1:8">
      <c r="A17" s="546" t="s">
        <v>7346</v>
      </c>
      <c r="B17" s="546" t="s">
        <v>7343</v>
      </c>
      <c r="C17" s="546" t="s">
        <v>7347</v>
      </c>
      <c r="D17" s="546" t="s">
        <v>7345</v>
      </c>
      <c r="E17" s="561">
        <v>2021</v>
      </c>
      <c r="F17" s="661" t="s">
        <v>32</v>
      </c>
      <c r="G17" s="561">
        <v>12</v>
      </c>
      <c r="H17" s="656">
        <v>252</v>
      </c>
    </row>
    <row r="18" spans="1:8">
      <c r="A18" s="546" t="s">
        <v>7348</v>
      </c>
      <c r="B18" s="546" t="s">
        <v>7343</v>
      </c>
      <c r="C18" s="546" t="s">
        <v>7349</v>
      </c>
      <c r="D18" s="546" t="s">
        <v>7345</v>
      </c>
      <c r="E18" s="561">
        <v>2020</v>
      </c>
      <c r="F18" s="661" t="s">
        <v>32</v>
      </c>
      <c r="G18" s="561">
        <v>12</v>
      </c>
      <c r="H18" s="656">
        <v>312</v>
      </c>
    </row>
    <row r="19" spans="1:8">
      <c r="A19" s="546" t="s">
        <v>7350</v>
      </c>
      <c r="B19" s="546" t="s">
        <v>7343</v>
      </c>
      <c r="C19" s="546" t="s">
        <v>7349</v>
      </c>
      <c r="D19" s="546" t="s">
        <v>7345</v>
      </c>
      <c r="E19" s="561">
        <v>2020</v>
      </c>
      <c r="F19" s="661" t="s">
        <v>304</v>
      </c>
      <c r="G19" s="561">
        <v>6</v>
      </c>
      <c r="H19" s="656">
        <v>162</v>
      </c>
    </row>
    <row r="20" spans="1:8">
      <c r="A20" s="546" t="s">
        <v>7351</v>
      </c>
      <c r="B20" s="546" t="s">
        <v>7343</v>
      </c>
      <c r="C20" s="546" t="s">
        <v>7352</v>
      </c>
      <c r="D20" s="546" t="s">
        <v>7345</v>
      </c>
      <c r="E20" s="561">
        <v>2019</v>
      </c>
      <c r="F20" s="661" t="s">
        <v>32</v>
      </c>
      <c r="G20" s="655">
        <v>6</v>
      </c>
      <c r="H20" s="656">
        <v>90</v>
      </c>
    </row>
    <row r="21" spans="1:8">
      <c r="A21" s="840"/>
      <c r="B21" s="725"/>
      <c r="C21" s="725"/>
      <c r="D21" s="725"/>
      <c r="E21" s="725"/>
      <c r="F21" s="725"/>
      <c r="G21" s="725"/>
      <c r="H21" s="725"/>
    </row>
    <row r="22" spans="1:8">
      <c r="A22" s="546" t="s">
        <v>7353</v>
      </c>
      <c r="B22" s="546" t="s">
        <v>7354</v>
      </c>
      <c r="C22" s="546" t="s">
        <v>7355</v>
      </c>
      <c r="D22" s="546" t="s">
        <v>7356</v>
      </c>
      <c r="E22" s="561">
        <v>2018</v>
      </c>
      <c r="F22" s="661" t="s">
        <v>32</v>
      </c>
      <c r="G22" s="655">
        <v>12</v>
      </c>
      <c r="H22" s="656">
        <v>240</v>
      </c>
    </row>
    <row r="23" spans="1:8">
      <c r="A23" s="840"/>
      <c r="B23" s="725"/>
      <c r="C23" s="725"/>
      <c r="D23" s="725"/>
      <c r="E23" s="725"/>
      <c r="F23" s="725"/>
      <c r="G23" s="725"/>
      <c r="H23" s="725"/>
    </row>
    <row r="24" spans="1:8">
      <c r="A24" s="546" t="s">
        <v>7357</v>
      </c>
      <c r="B24" s="546" t="s">
        <v>7358</v>
      </c>
      <c r="C24" s="546" t="s">
        <v>7359</v>
      </c>
      <c r="D24" s="546" t="s">
        <v>7360</v>
      </c>
      <c r="E24" s="561">
        <v>2021</v>
      </c>
      <c r="F24" s="546" t="s">
        <v>32</v>
      </c>
      <c r="G24" s="655">
        <v>12</v>
      </c>
      <c r="H24" s="656">
        <v>228</v>
      </c>
    </row>
    <row r="25" spans="1:8">
      <c r="A25" s="546" t="s">
        <v>7361</v>
      </c>
      <c r="B25" s="546" t="s">
        <v>7358</v>
      </c>
      <c r="C25" s="546" t="s">
        <v>7362</v>
      </c>
      <c r="D25" s="546" t="s">
        <v>7360</v>
      </c>
      <c r="E25" s="561">
        <v>2015</v>
      </c>
      <c r="F25" s="661" t="s">
        <v>32</v>
      </c>
      <c r="G25" s="655">
        <v>12</v>
      </c>
      <c r="H25" s="656">
        <v>252</v>
      </c>
    </row>
    <row r="26" spans="1:8">
      <c r="A26" s="546" t="s">
        <v>7363</v>
      </c>
      <c r="B26" s="546" t="s">
        <v>7358</v>
      </c>
      <c r="C26" s="546" t="s">
        <v>7362</v>
      </c>
      <c r="D26" s="546" t="s">
        <v>7360</v>
      </c>
      <c r="E26" s="561">
        <v>2018</v>
      </c>
      <c r="F26" s="546" t="s">
        <v>32</v>
      </c>
      <c r="G26" s="655">
        <v>12</v>
      </c>
      <c r="H26" s="656">
        <v>312</v>
      </c>
    </row>
    <row r="27" spans="1:8">
      <c r="A27" s="546" t="s">
        <v>7364</v>
      </c>
      <c r="B27" s="546" t="s">
        <v>7358</v>
      </c>
      <c r="C27" s="546" t="s">
        <v>7365</v>
      </c>
      <c r="D27" s="546" t="s">
        <v>7360</v>
      </c>
      <c r="E27" s="561">
        <v>2020</v>
      </c>
      <c r="F27" s="546" t="s">
        <v>32</v>
      </c>
      <c r="G27" s="655">
        <v>12</v>
      </c>
      <c r="H27" s="656">
        <v>228</v>
      </c>
    </row>
    <row r="28" spans="1:8">
      <c r="A28" s="546" t="s">
        <v>7366</v>
      </c>
      <c r="B28" s="546" t="s">
        <v>7358</v>
      </c>
      <c r="C28" s="546" t="s">
        <v>7367</v>
      </c>
      <c r="D28" s="546" t="s">
        <v>7360</v>
      </c>
      <c r="E28" s="561">
        <v>2019</v>
      </c>
      <c r="F28" s="546" t="s">
        <v>32</v>
      </c>
      <c r="G28" s="655">
        <v>12</v>
      </c>
      <c r="H28" s="656">
        <v>456</v>
      </c>
    </row>
    <row r="29" spans="1:8">
      <c r="A29" s="546" t="s">
        <v>7368</v>
      </c>
      <c r="B29" s="546" t="s">
        <v>7358</v>
      </c>
      <c r="C29" s="546" t="s">
        <v>7369</v>
      </c>
      <c r="D29" s="546" t="s">
        <v>7360</v>
      </c>
      <c r="E29" s="561">
        <v>2016</v>
      </c>
      <c r="F29" s="546" t="s">
        <v>32</v>
      </c>
      <c r="G29" s="655">
        <v>12</v>
      </c>
      <c r="H29" s="656">
        <v>216</v>
      </c>
    </row>
    <row r="30" spans="1:8">
      <c r="A30" s="840"/>
      <c r="B30" s="725"/>
      <c r="C30" s="725"/>
      <c r="D30" s="725"/>
      <c r="E30" s="725"/>
      <c r="F30" s="725"/>
      <c r="G30" s="725"/>
      <c r="H30" s="725"/>
    </row>
    <row r="31" spans="1:8">
      <c r="A31" s="546" t="s">
        <v>7370</v>
      </c>
      <c r="B31" s="546" t="s">
        <v>7371</v>
      </c>
      <c r="C31" s="546" t="s">
        <v>7372</v>
      </c>
      <c r="D31" s="546" t="s">
        <v>7373</v>
      </c>
      <c r="E31" s="561" t="s">
        <v>5</v>
      </c>
      <c r="F31" s="661" t="s">
        <v>32</v>
      </c>
      <c r="G31" s="655">
        <v>12</v>
      </c>
      <c r="H31" s="656">
        <v>252</v>
      </c>
    </row>
    <row r="32" spans="1:8">
      <c r="A32" s="546" t="s">
        <v>7374</v>
      </c>
      <c r="B32" s="546" t="s">
        <v>7371</v>
      </c>
      <c r="C32" s="546" t="s">
        <v>7375</v>
      </c>
      <c r="D32" s="546" t="s">
        <v>7373</v>
      </c>
      <c r="E32" s="561">
        <v>2019</v>
      </c>
      <c r="F32" s="661" t="s">
        <v>32</v>
      </c>
      <c r="G32" s="655">
        <v>12</v>
      </c>
      <c r="H32" s="656">
        <v>252</v>
      </c>
    </row>
    <row r="33" spans="1:8">
      <c r="A33" s="657" t="s">
        <v>7376</v>
      </c>
      <c r="B33" s="657" t="s">
        <v>7371</v>
      </c>
      <c r="C33" s="657" t="s">
        <v>7377</v>
      </c>
      <c r="D33" s="657" t="s">
        <v>7373</v>
      </c>
      <c r="E33" s="658" t="s">
        <v>5</v>
      </c>
      <c r="F33" s="659" t="s">
        <v>32</v>
      </c>
      <c r="G33" s="660">
        <v>12</v>
      </c>
      <c r="H33" s="656">
        <v>252</v>
      </c>
    </row>
    <row r="34" spans="1:8">
      <c r="A34" s="840"/>
      <c r="B34" s="725"/>
      <c r="C34" s="725"/>
      <c r="D34" s="725"/>
      <c r="E34" s="725"/>
      <c r="F34" s="725"/>
      <c r="G34" s="725"/>
      <c r="H34" s="725"/>
    </row>
    <row r="35" spans="1:8">
      <c r="A35" s="546" t="s">
        <v>7378</v>
      </c>
      <c r="B35" s="546" t="s">
        <v>7379</v>
      </c>
      <c r="C35" s="546" t="s">
        <v>7380</v>
      </c>
      <c r="D35" s="546" t="s">
        <v>7332</v>
      </c>
      <c r="E35" s="561">
        <v>2020</v>
      </c>
      <c r="F35" s="546" t="s">
        <v>32</v>
      </c>
      <c r="G35" s="655">
        <v>6</v>
      </c>
      <c r="H35" s="656">
        <v>102</v>
      </c>
    </row>
    <row r="36" spans="1:8">
      <c r="A36" s="546" t="s">
        <v>7381</v>
      </c>
      <c r="B36" s="546" t="s">
        <v>7379</v>
      </c>
      <c r="C36" s="546" t="s">
        <v>7382</v>
      </c>
      <c r="D36" s="546" t="s">
        <v>7332</v>
      </c>
      <c r="E36" s="561">
        <v>2020</v>
      </c>
      <c r="F36" s="546" t="s">
        <v>32</v>
      </c>
      <c r="G36" s="655">
        <v>6</v>
      </c>
      <c r="H36" s="656">
        <v>414</v>
      </c>
    </row>
    <row r="37" spans="1:8">
      <c r="A37" s="546" t="s">
        <v>7383</v>
      </c>
      <c r="B37" s="546" t="s">
        <v>7379</v>
      </c>
      <c r="C37" s="546" t="s">
        <v>7384</v>
      </c>
      <c r="D37" s="546" t="s">
        <v>7332</v>
      </c>
      <c r="E37" s="561">
        <v>2020</v>
      </c>
      <c r="F37" s="546" t="s">
        <v>32</v>
      </c>
      <c r="G37" s="655">
        <v>6</v>
      </c>
      <c r="H37" s="656">
        <v>102</v>
      </c>
    </row>
    <row r="38" spans="1:8">
      <c r="A38" s="546" t="s">
        <v>7385</v>
      </c>
      <c r="B38" s="546" t="s">
        <v>7379</v>
      </c>
      <c r="C38" s="546" t="s">
        <v>7335</v>
      </c>
      <c r="D38" s="546" t="s">
        <v>7332</v>
      </c>
      <c r="E38" s="561">
        <v>2020</v>
      </c>
      <c r="F38" s="546" t="s">
        <v>32</v>
      </c>
      <c r="G38" s="655">
        <v>6</v>
      </c>
      <c r="H38" s="656">
        <v>102</v>
      </c>
    </row>
    <row r="39" spans="1:8">
      <c r="A39" s="546" t="s">
        <v>7386</v>
      </c>
      <c r="B39" s="546" t="s">
        <v>7379</v>
      </c>
      <c r="C39" s="546" t="s">
        <v>7387</v>
      </c>
      <c r="D39" s="546" t="s">
        <v>7332</v>
      </c>
      <c r="E39" s="561">
        <v>2020</v>
      </c>
      <c r="F39" s="661" t="s">
        <v>32</v>
      </c>
      <c r="G39" s="655">
        <v>6</v>
      </c>
      <c r="H39" s="656">
        <v>102</v>
      </c>
    </row>
    <row r="40" spans="1:8">
      <c r="A40" s="657" t="s">
        <v>7378</v>
      </c>
      <c r="B40" s="657" t="s">
        <v>7379</v>
      </c>
      <c r="C40" s="657" t="s">
        <v>7388</v>
      </c>
      <c r="D40" s="657" t="s">
        <v>7332</v>
      </c>
      <c r="E40" s="658">
        <v>2020</v>
      </c>
      <c r="F40" s="659" t="s">
        <v>32</v>
      </c>
      <c r="G40" s="660">
        <v>6</v>
      </c>
      <c r="H40" s="656">
        <v>102</v>
      </c>
    </row>
    <row r="41" spans="1:8">
      <c r="A41" s="546" t="s">
        <v>7383</v>
      </c>
      <c r="B41" s="546" t="s">
        <v>7379</v>
      </c>
      <c r="C41" s="546" t="s">
        <v>7384</v>
      </c>
      <c r="D41" s="546" t="s">
        <v>7332</v>
      </c>
      <c r="E41" s="561">
        <v>2020</v>
      </c>
      <c r="F41" s="661" t="s">
        <v>32</v>
      </c>
      <c r="G41" s="655">
        <v>6</v>
      </c>
      <c r="H41" s="656">
        <v>102</v>
      </c>
    </row>
    <row r="42" spans="1:8">
      <c r="A42" s="546" t="s">
        <v>7389</v>
      </c>
      <c r="B42" s="546" t="s">
        <v>7379</v>
      </c>
      <c r="C42" s="546" t="s">
        <v>7390</v>
      </c>
      <c r="D42" s="546" t="s">
        <v>7332</v>
      </c>
      <c r="E42" s="561">
        <v>2020</v>
      </c>
      <c r="F42" s="661" t="s">
        <v>32</v>
      </c>
      <c r="G42" s="655">
        <v>6</v>
      </c>
      <c r="H42" s="656">
        <v>102</v>
      </c>
    </row>
    <row r="43" spans="1:8">
      <c r="A43" s="840"/>
      <c r="B43" s="725"/>
      <c r="C43" s="725"/>
      <c r="D43" s="725"/>
      <c r="E43" s="725"/>
      <c r="F43" s="725"/>
      <c r="G43" s="725"/>
      <c r="H43" s="725"/>
    </row>
    <row r="44" spans="1:8">
      <c r="A44" s="657" t="s">
        <v>7391</v>
      </c>
      <c r="B44" s="657" t="s">
        <v>7392</v>
      </c>
      <c r="C44" s="657" t="s">
        <v>7393</v>
      </c>
      <c r="D44" s="657" t="s">
        <v>7394</v>
      </c>
      <c r="E44" s="658">
        <v>2018</v>
      </c>
      <c r="F44" s="661" t="s">
        <v>32</v>
      </c>
      <c r="G44" s="655">
        <v>12</v>
      </c>
      <c r="H44" s="656">
        <v>216</v>
      </c>
    </row>
    <row r="45" spans="1:8">
      <c r="A45" s="657" t="s">
        <v>7395</v>
      </c>
      <c r="B45" s="657" t="s">
        <v>7392</v>
      </c>
      <c r="C45" s="657" t="s">
        <v>7396</v>
      </c>
      <c r="D45" s="657" t="s">
        <v>7394</v>
      </c>
      <c r="E45" s="658">
        <v>2020</v>
      </c>
      <c r="F45" s="661" t="s">
        <v>32</v>
      </c>
      <c r="G45" s="655">
        <v>12</v>
      </c>
      <c r="H45" s="656">
        <v>180</v>
      </c>
    </row>
    <row r="46" spans="1:8">
      <c r="A46" s="657" t="s">
        <v>7397</v>
      </c>
      <c r="B46" s="657" t="s">
        <v>7392</v>
      </c>
      <c r="C46" s="657" t="s">
        <v>7398</v>
      </c>
      <c r="D46" s="657" t="s">
        <v>7394</v>
      </c>
      <c r="E46" s="658">
        <v>2020</v>
      </c>
      <c r="F46" s="661" t="s">
        <v>32</v>
      </c>
      <c r="G46" s="655">
        <v>12</v>
      </c>
      <c r="H46" s="656">
        <v>204</v>
      </c>
    </row>
    <row r="47" spans="1:8">
      <c r="A47" s="657" t="s">
        <v>7399</v>
      </c>
      <c r="B47" s="657" t="s">
        <v>7392</v>
      </c>
      <c r="C47" s="657" t="s">
        <v>7400</v>
      </c>
      <c r="D47" s="657" t="s">
        <v>7394</v>
      </c>
      <c r="E47" s="658">
        <v>2019</v>
      </c>
      <c r="F47" s="661" t="s">
        <v>32</v>
      </c>
      <c r="G47" s="655">
        <v>12</v>
      </c>
      <c r="H47" s="656">
        <v>240</v>
      </c>
    </row>
    <row r="48" spans="1:8">
      <c r="A48" s="657" t="s">
        <v>7401</v>
      </c>
      <c r="B48" s="657" t="s">
        <v>7392</v>
      </c>
      <c r="C48" s="657" t="s">
        <v>7402</v>
      </c>
      <c r="D48" s="657" t="s">
        <v>7394</v>
      </c>
      <c r="E48" s="658">
        <v>2019</v>
      </c>
      <c r="F48" s="661" t="s">
        <v>32</v>
      </c>
      <c r="G48" s="655">
        <v>12</v>
      </c>
      <c r="H48" s="656">
        <v>180</v>
      </c>
    </row>
    <row r="49" spans="1:8">
      <c r="A49" s="657" t="s">
        <v>7403</v>
      </c>
      <c r="B49" s="657" t="s">
        <v>7392</v>
      </c>
      <c r="C49" s="657" t="s">
        <v>7393</v>
      </c>
      <c r="D49" s="657" t="s">
        <v>7394</v>
      </c>
      <c r="E49" s="658">
        <v>2019</v>
      </c>
      <c r="F49" s="661" t="s">
        <v>32</v>
      </c>
      <c r="G49" s="655">
        <v>12</v>
      </c>
      <c r="H49" s="656">
        <v>216</v>
      </c>
    </row>
    <row r="50" spans="1:8" ht="14">
      <c r="A50" s="657" t="s">
        <v>7404</v>
      </c>
      <c r="B50" s="662" t="s">
        <v>7392</v>
      </c>
      <c r="C50" s="662" t="s">
        <v>7405</v>
      </c>
      <c r="D50" s="662" t="s">
        <v>7394</v>
      </c>
      <c r="E50" s="663">
        <v>2019</v>
      </c>
      <c r="F50" s="661" t="s">
        <v>32</v>
      </c>
      <c r="G50" s="655">
        <v>12</v>
      </c>
      <c r="H50" s="656">
        <v>192</v>
      </c>
    </row>
    <row r="51" spans="1:8" ht="14">
      <c r="A51" s="840"/>
      <c r="B51" s="725"/>
      <c r="C51" s="725"/>
      <c r="D51" s="725"/>
      <c r="E51" s="725"/>
      <c r="F51" s="725"/>
      <c r="G51" s="725"/>
      <c r="H51" s="725"/>
    </row>
    <row r="52" spans="1:8" ht="14">
      <c r="A52" s="664" t="s">
        <v>7406</v>
      </c>
      <c r="B52" s="665" t="s">
        <v>7407</v>
      </c>
      <c r="C52" s="665" t="s">
        <v>7331</v>
      </c>
      <c r="D52" s="665" t="s">
        <v>7408</v>
      </c>
      <c r="E52" s="666">
        <v>2021</v>
      </c>
      <c r="F52" s="546" t="s">
        <v>32</v>
      </c>
      <c r="G52" s="655">
        <v>12</v>
      </c>
      <c r="H52" s="656">
        <v>252</v>
      </c>
    </row>
    <row r="53" spans="1:8" ht="14">
      <c r="A53" s="546" t="s">
        <v>7409</v>
      </c>
      <c r="B53" s="546" t="s">
        <v>7407</v>
      </c>
      <c r="C53" s="546" t="s">
        <v>7410</v>
      </c>
      <c r="D53" s="665" t="s">
        <v>7408</v>
      </c>
      <c r="E53" s="561">
        <v>2020</v>
      </c>
      <c r="F53" s="546" t="s">
        <v>32</v>
      </c>
      <c r="G53" s="655">
        <v>12</v>
      </c>
      <c r="H53" s="656">
        <v>252</v>
      </c>
    </row>
    <row r="54" spans="1:8" ht="14">
      <c r="A54" s="546" t="s">
        <v>7411</v>
      </c>
      <c r="B54" s="546" t="s">
        <v>7407</v>
      </c>
      <c r="C54" s="546" t="s">
        <v>7412</v>
      </c>
      <c r="D54" s="665" t="s">
        <v>7408</v>
      </c>
      <c r="E54" s="561">
        <v>2020</v>
      </c>
      <c r="F54" s="546" t="s">
        <v>32</v>
      </c>
      <c r="G54" s="655">
        <v>12</v>
      </c>
      <c r="H54" s="656">
        <v>252</v>
      </c>
    </row>
    <row r="55" spans="1:8" ht="14">
      <c r="A55" s="657" t="s">
        <v>7413</v>
      </c>
      <c r="B55" s="546" t="s">
        <v>7407</v>
      </c>
      <c r="C55" s="546" t="s">
        <v>7414</v>
      </c>
      <c r="D55" s="665" t="s">
        <v>7408</v>
      </c>
      <c r="E55" s="561">
        <v>2020</v>
      </c>
      <c r="F55" s="546" t="s">
        <v>32</v>
      </c>
      <c r="G55" s="655">
        <v>12</v>
      </c>
      <c r="H55" s="656">
        <v>252</v>
      </c>
    </row>
    <row r="56" spans="1:8" ht="14">
      <c r="A56" s="546" t="s">
        <v>7415</v>
      </c>
      <c r="B56" s="546" t="s">
        <v>7407</v>
      </c>
      <c r="C56" s="546" t="s">
        <v>7416</v>
      </c>
      <c r="D56" s="665" t="s">
        <v>7408</v>
      </c>
      <c r="E56" s="561">
        <v>2019</v>
      </c>
      <c r="F56" s="546" t="s">
        <v>32</v>
      </c>
      <c r="G56" s="655">
        <v>12</v>
      </c>
      <c r="H56" s="656">
        <v>252</v>
      </c>
    </row>
    <row r="57" spans="1:8" ht="14">
      <c r="A57" s="546" t="s">
        <v>7417</v>
      </c>
      <c r="B57" s="546" t="s">
        <v>7407</v>
      </c>
      <c r="C57" s="546" t="s">
        <v>7331</v>
      </c>
      <c r="D57" s="665" t="s">
        <v>7408</v>
      </c>
      <c r="E57" s="561">
        <v>2020</v>
      </c>
      <c r="F57" s="546" t="s">
        <v>32</v>
      </c>
      <c r="G57" s="655">
        <v>12</v>
      </c>
      <c r="H57" s="656">
        <v>252</v>
      </c>
    </row>
    <row r="58" spans="1:8" ht="14">
      <c r="A58" s="546" t="s">
        <v>7418</v>
      </c>
      <c r="B58" s="546" t="s">
        <v>7407</v>
      </c>
      <c r="C58" s="546" t="s">
        <v>7339</v>
      </c>
      <c r="D58" s="665" t="s">
        <v>7408</v>
      </c>
      <c r="E58" s="561">
        <v>2020</v>
      </c>
      <c r="F58" s="546" t="s">
        <v>32</v>
      </c>
      <c r="G58" s="655">
        <v>12</v>
      </c>
      <c r="H58" s="656">
        <v>252</v>
      </c>
    </row>
    <row r="59" spans="1:8" ht="14">
      <c r="A59" s="546" t="s">
        <v>7419</v>
      </c>
      <c r="B59" s="546" t="s">
        <v>7407</v>
      </c>
      <c r="C59" s="546" t="s">
        <v>7420</v>
      </c>
      <c r="D59" s="665" t="s">
        <v>7408</v>
      </c>
      <c r="E59" s="561">
        <v>2019</v>
      </c>
      <c r="F59" s="546" t="s">
        <v>32</v>
      </c>
      <c r="G59" s="655">
        <v>12</v>
      </c>
      <c r="H59" s="656">
        <v>252</v>
      </c>
    </row>
    <row r="60" spans="1:8" ht="14">
      <c r="A60" s="546" t="s">
        <v>7421</v>
      </c>
      <c r="B60" s="546" t="s">
        <v>7407</v>
      </c>
      <c r="C60" s="546" t="s">
        <v>7387</v>
      </c>
      <c r="D60" s="665" t="s">
        <v>7408</v>
      </c>
      <c r="E60" s="561">
        <v>2019</v>
      </c>
      <c r="F60" s="546" t="s">
        <v>32</v>
      </c>
      <c r="G60" s="655">
        <v>12</v>
      </c>
      <c r="H60" s="656">
        <v>252</v>
      </c>
    </row>
    <row r="61" spans="1:8" ht="14">
      <c r="A61" s="546" t="s">
        <v>7422</v>
      </c>
      <c r="B61" s="546" t="s">
        <v>7407</v>
      </c>
      <c r="C61" s="546" t="s">
        <v>7339</v>
      </c>
      <c r="D61" s="665" t="s">
        <v>7408</v>
      </c>
      <c r="E61" s="561">
        <v>2019</v>
      </c>
      <c r="F61" s="546" t="s">
        <v>32</v>
      </c>
      <c r="G61" s="655">
        <v>12</v>
      </c>
      <c r="H61" s="656">
        <v>252</v>
      </c>
    </row>
    <row r="62" spans="1:8" ht="14">
      <c r="A62" s="546" t="s">
        <v>7423</v>
      </c>
      <c r="B62" s="546" t="s">
        <v>7407</v>
      </c>
      <c r="C62" s="546" t="s">
        <v>7410</v>
      </c>
      <c r="D62" s="665" t="s">
        <v>7408</v>
      </c>
      <c r="E62" s="561">
        <v>2019</v>
      </c>
      <c r="F62" s="546" t="s">
        <v>32</v>
      </c>
      <c r="G62" s="655">
        <v>12</v>
      </c>
      <c r="H62" s="656">
        <v>252</v>
      </c>
    </row>
    <row r="63" spans="1:8" ht="14">
      <c r="A63" s="546" t="s">
        <v>7413</v>
      </c>
      <c r="B63" s="546" t="s">
        <v>7407</v>
      </c>
      <c r="C63" s="546" t="s">
        <v>7414</v>
      </c>
      <c r="D63" s="665" t="s">
        <v>7408</v>
      </c>
      <c r="E63" s="561">
        <v>2019</v>
      </c>
      <c r="F63" s="546" t="s">
        <v>32</v>
      </c>
      <c r="G63" s="655">
        <v>12</v>
      </c>
      <c r="H63" s="656">
        <v>252</v>
      </c>
    </row>
    <row r="64" spans="1:8" ht="14">
      <c r="A64" s="840"/>
      <c r="B64" s="725"/>
      <c r="C64" s="725"/>
      <c r="D64" s="725"/>
      <c r="E64" s="725"/>
      <c r="F64" s="725"/>
      <c r="G64" s="725"/>
      <c r="H64" s="725"/>
    </row>
    <row r="65" spans="1:8" ht="14">
      <c r="A65" s="664" t="s">
        <v>7424</v>
      </c>
      <c r="B65" s="665" t="s">
        <v>7425</v>
      </c>
      <c r="C65" s="665" t="s">
        <v>7410</v>
      </c>
      <c r="D65" s="546" t="s">
        <v>7426</v>
      </c>
      <c r="E65" s="666">
        <v>2020</v>
      </c>
      <c r="F65" s="546" t="s">
        <v>32</v>
      </c>
      <c r="G65" s="655">
        <v>12</v>
      </c>
      <c r="H65" s="656">
        <v>192</v>
      </c>
    </row>
    <row r="66" spans="1:8" ht="14">
      <c r="A66" s="664" t="s">
        <v>7427</v>
      </c>
      <c r="B66" s="665" t="s">
        <v>7425</v>
      </c>
      <c r="C66" s="665" t="s">
        <v>7412</v>
      </c>
      <c r="D66" s="546" t="s">
        <v>7426</v>
      </c>
      <c r="E66" s="666">
        <v>2020</v>
      </c>
      <c r="F66" s="546" t="s">
        <v>32</v>
      </c>
      <c r="G66" s="655">
        <v>12</v>
      </c>
      <c r="H66" s="656">
        <v>192</v>
      </c>
    </row>
    <row r="67" spans="1:8" ht="14">
      <c r="A67" s="664" t="s">
        <v>7428</v>
      </c>
      <c r="B67" s="665" t="s">
        <v>7425</v>
      </c>
      <c r="C67" s="665" t="s">
        <v>7429</v>
      </c>
      <c r="D67" s="546" t="s">
        <v>7426</v>
      </c>
      <c r="E67" s="666">
        <v>2020</v>
      </c>
      <c r="F67" s="546" t="s">
        <v>32</v>
      </c>
      <c r="G67" s="655">
        <v>12</v>
      </c>
      <c r="H67" s="656">
        <v>192</v>
      </c>
    </row>
    <row r="68" spans="1:8" ht="14">
      <c r="A68" s="664" t="s">
        <v>7430</v>
      </c>
      <c r="B68" s="665" t="s">
        <v>7425</v>
      </c>
      <c r="C68" s="665" t="s">
        <v>7431</v>
      </c>
      <c r="D68" s="546" t="s">
        <v>7426</v>
      </c>
      <c r="E68" s="666">
        <v>2020</v>
      </c>
      <c r="F68" s="546" t="s">
        <v>32</v>
      </c>
      <c r="G68" s="655">
        <v>12</v>
      </c>
      <c r="H68" s="656">
        <v>192</v>
      </c>
    </row>
    <row r="69" spans="1:8" ht="14">
      <c r="A69" s="664" t="s">
        <v>7432</v>
      </c>
      <c r="B69" s="665" t="s">
        <v>7425</v>
      </c>
      <c r="C69" s="665" t="s">
        <v>7433</v>
      </c>
      <c r="D69" s="546" t="s">
        <v>7426</v>
      </c>
      <c r="E69" s="666">
        <v>2020</v>
      </c>
      <c r="F69" s="546" t="s">
        <v>32</v>
      </c>
      <c r="G69" s="655">
        <v>6</v>
      </c>
      <c r="H69" s="656">
        <v>96</v>
      </c>
    </row>
    <row r="70" spans="1:8" ht="14">
      <c r="A70" s="546" t="s">
        <v>7434</v>
      </c>
      <c r="B70" s="546" t="s">
        <v>7425</v>
      </c>
      <c r="C70" s="546" t="s">
        <v>7435</v>
      </c>
      <c r="D70" s="546" t="s">
        <v>7426</v>
      </c>
      <c r="E70" s="561">
        <v>2020</v>
      </c>
      <c r="F70" s="546" t="s">
        <v>32</v>
      </c>
      <c r="G70" s="655">
        <v>6</v>
      </c>
      <c r="H70" s="656">
        <v>96</v>
      </c>
    </row>
    <row r="71" spans="1:8" ht="14">
      <c r="A71" s="546" t="s">
        <v>7436</v>
      </c>
      <c r="B71" s="546" t="s">
        <v>7425</v>
      </c>
      <c r="C71" s="546" t="s">
        <v>7437</v>
      </c>
      <c r="D71" s="546" t="s">
        <v>7426</v>
      </c>
      <c r="E71" s="561">
        <v>2020</v>
      </c>
      <c r="F71" s="546" t="s">
        <v>32</v>
      </c>
      <c r="G71" s="655">
        <v>6</v>
      </c>
      <c r="H71" s="656">
        <v>96</v>
      </c>
    </row>
    <row r="72" spans="1:8" ht="14">
      <c r="A72" s="546" t="s">
        <v>7438</v>
      </c>
      <c r="B72" s="546" t="s">
        <v>7425</v>
      </c>
      <c r="C72" s="546" t="s">
        <v>7439</v>
      </c>
      <c r="D72" s="546" t="s">
        <v>7426</v>
      </c>
      <c r="E72" s="561">
        <v>2020</v>
      </c>
      <c r="F72" s="546" t="s">
        <v>32</v>
      </c>
      <c r="G72" s="655">
        <v>6</v>
      </c>
      <c r="H72" s="656">
        <v>96</v>
      </c>
    </row>
    <row r="73" spans="1:8" ht="14">
      <c r="A73" s="840"/>
      <c r="B73" s="725"/>
      <c r="C73" s="725"/>
      <c r="D73" s="725"/>
      <c r="E73" s="725"/>
      <c r="F73" s="725"/>
      <c r="G73" s="725"/>
      <c r="H73" s="725"/>
    </row>
    <row r="74" spans="1:8" ht="14">
      <c r="A74" s="546" t="s">
        <v>7440</v>
      </c>
      <c r="B74" s="546" t="s">
        <v>7441</v>
      </c>
      <c r="C74" s="546" t="s">
        <v>7442</v>
      </c>
      <c r="D74" s="546" t="s">
        <v>7332</v>
      </c>
      <c r="E74" s="561">
        <v>2020</v>
      </c>
      <c r="F74" s="546" t="s">
        <v>32</v>
      </c>
      <c r="G74" s="655">
        <v>12</v>
      </c>
      <c r="H74" s="656">
        <v>156</v>
      </c>
    </row>
    <row r="75" spans="1:8" ht="14">
      <c r="A75" s="546" t="s">
        <v>7443</v>
      </c>
      <c r="B75" s="546" t="s">
        <v>7441</v>
      </c>
      <c r="C75" s="546" t="s">
        <v>7444</v>
      </c>
      <c r="D75" s="546" t="s">
        <v>7332</v>
      </c>
      <c r="E75" s="561">
        <v>2021</v>
      </c>
      <c r="F75" s="546" t="s">
        <v>32</v>
      </c>
      <c r="G75" s="655">
        <v>12</v>
      </c>
      <c r="H75" s="656">
        <v>156</v>
      </c>
    </row>
    <row r="76" spans="1:8" ht="14">
      <c r="A76" s="546" t="s">
        <v>7445</v>
      </c>
      <c r="B76" s="546" t="s">
        <v>7441</v>
      </c>
      <c r="C76" s="546" t="s">
        <v>7446</v>
      </c>
      <c r="D76" s="546" t="s">
        <v>7332</v>
      </c>
      <c r="E76" s="561">
        <v>2021</v>
      </c>
      <c r="F76" s="546" t="s">
        <v>32</v>
      </c>
      <c r="G76" s="655">
        <v>12</v>
      </c>
      <c r="H76" s="656">
        <v>168</v>
      </c>
    </row>
    <row r="77" spans="1:8" ht="14">
      <c r="A77" s="546" t="s">
        <v>7447</v>
      </c>
      <c r="B77" s="546" t="s">
        <v>7441</v>
      </c>
      <c r="C77" s="546" t="s">
        <v>7448</v>
      </c>
      <c r="D77" s="546" t="s">
        <v>7332</v>
      </c>
      <c r="E77" s="561">
        <v>2021</v>
      </c>
      <c r="F77" s="546" t="s">
        <v>32</v>
      </c>
      <c r="G77" s="655">
        <v>12</v>
      </c>
      <c r="H77" s="656">
        <v>156</v>
      </c>
    </row>
    <row r="78" spans="1:8" ht="14">
      <c r="A78" s="657" t="s">
        <v>7449</v>
      </c>
      <c r="B78" s="546" t="s">
        <v>7441</v>
      </c>
      <c r="C78" s="546" t="s">
        <v>7450</v>
      </c>
      <c r="D78" s="546" t="s">
        <v>7332</v>
      </c>
      <c r="E78" s="561">
        <v>2021</v>
      </c>
      <c r="F78" s="546" t="s">
        <v>32</v>
      </c>
      <c r="G78" s="655">
        <v>12</v>
      </c>
      <c r="H78" s="656">
        <v>156</v>
      </c>
    </row>
    <row r="79" spans="1:8" ht="14">
      <c r="A79" s="546" t="s">
        <v>7445</v>
      </c>
      <c r="B79" s="546" t="s">
        <v>7441</v>
      </c>
      <c r="C79" s="546" t="s">
        <v>7451</v>
      </c>
      <c r="D79" s="546" t="s">
        <v>7332</v>
      </c>
      <c r="E79" s="561">
        <v>2021</v>
      </c>
      <c r="F79" s="546" t="s">
        <v>32</v>
      </c>
      <c r="G79" s="655">
        <v>12</v>
      </c>
      <c r="H79" s="656">
        <v>168</v>
      </c>
    </row>
    <row r="80" spans="1:8" ht="14">
      <c r="A80" s="546" t="s">
        <v>7452</v>
      </c>
      <c r="B80" s="546" t="s">
        <v>7441</v>
      </c>
      <c r="C80" s="546" t="s">
        <v>7453</v>
      </c>
      <c r="D80" s="546" t="s">
        <v>7332</v>
      </c>
      <c r="E80" s="561">
        <v>2020</v>
      </c>
      <c r="F80" s="546" t="s">
        <v>32</v>
      </c>
      <c r="G80" s="655">
        <v>12</v>
      </c>
      <c r="H80" s="656">
        <v>168</v>
      </c>
    </row>
    <row r="81" spans="1:8" ht="14">
      <c r="A81" s="546" t="s">
        <v>7454</v>
      </c>
      <c r="B81" s="546" t="s">
        <v>7441</v>
      </c>
      <c r="C81" s="546" t="s">
        <v>7455</v>
      </c>
      <c r="D81" s="546" t="s">
        <v>7332</v>
      </c>
      <c r="E81" s="561">
        <v>2021</v>
      </c>
      <c r="F81" s="546" t="s">
        <v>32</v>
      </c>
      <c r="G81" s="655">
        <v>12</v>
      </c>
      <c r="H81" s="656">
        <v>168</v>
      </c>
    </row>
    <row r="82" spans="1:8" ht="14">
      <c r="A82" s="546" t="s">
        <v>7456</v>
      </c>
      <c r="B82" s="546" t="s">
        <v>7441</v>
      </c>
      <c r="C82" s="546" t="s">
        <v>7457</v>
      </c>
      <c r="D82" s="546" t="s">
        <v>7332</v>
      </c>
      <c r="E82" s="561">
        <v>2021</v>
      </c>
      <c r="F82" s="546" t="s">
        <v>32</v>
      </c>
      <c r="G82" s="655">
        <v>12</v>
      </c>
      <c r="H82" s="656">
        <v>168</v>
      </c>
    </row>
    <row r="83" spans="1:8" ht="14">
      <c r="A83" s="546" t="s">
        <v>7440</v>
      </c>
      <c r="B83" s="546" t="s">
        <v>7441</v>
      </c>
      <c r="C83" s="546" t="s">
        <v>7458</v>
      </c>
      <c r="D83" s="546" t="s">
        <v>7332</v>
      </c>
      <c r="E83" s="561">
        <v>2020</v>
      </c>
      <c r="F83" s="661" t="s">
        <v>32</v>
      </c>
      <c r="G83" s="655">
        <v>6</v>
      </c>
      <c r="H83" s="656">
        <v>72</v>
      </c>
    </row>
    <row r="84" spans="1:8" ht="14">
      <c r="A84" s="546" t="s">
        <v>7459</v>
      </c>
      <c r="B84" s="546" t="s">
        <v>7441</v>
      </c>
      <c r="C84" s="546" t="s">
        <v>7339</v>
      </c>
      <c r="D84" s="546" t="s">
        <v>7332</v>
      </c>
      <c r="E84" s="561">
        <v>2020</v>
      </c>
      <c r="F84" s="661" t="s">
        <v>32</v>
      </c>
      <c r="G84" s="655">
        <v>6</v>
      </c>
      <c r="H84" s="656">
        <v>72</v>
      </c>
    </row>
    <row r="85" spans="1:8" ht="14">
      <c r="A85" s="546" t="s">
        <v>7460</v>
      </c>
      <c r="B85" s="546" t="s">
        <v>7441</v>
      </c>
      <c r="C85" s="546" t="s">
        <v>7331</v>
      </c>
      <c r="D85" s="546" t="s">
        <v>7332</v>
      </c>
      <c r="E85" s="561">
        <v>2020</v>
      </c>
      <c r="F85" s="661" t="s">
        <v>32</v>
      </c>
      <c r="G85" s="655">
        <v>6</v>
      </c>
      <c r="H85" s="656">
        <v>72</v>
      </c>
    </row>
    <row r="86" spans="1:8" ht="14">
      <c r="A86" s="546" t="s">
        <v>7449</v>
      </c>
      <c r="B86" s="546" t="s">
        <v>7441</v>
      </c>
      <c r="C86" s="546" t="s">
        <v>7461</v>
      </c>
      <c r="D86" s="546" t="s">
        <v>7332</v>
      </c>
      <c r="E86" s="561">
        <v>2020</v>
      </c>
      <c r="F86" s="661" t="s">
        <v>32</v>
      </c>
      <c r="G86" s="655">
        <v>6</v>
      </c>
      <c r="H86" s="656">
        <v>72</v>
      </c>
    </row>
    <row r="87" spans="1:8" ht="14">
      <c r="A87" s="657" t="s">
        <v>7462</v>
      </c>
      <c r="B87" s="546" t="s">
        <v>7441</v>
      </c>
      <c r="C87" s="657" t="s">
        <v>7463</v>
      </c>
      <c r="D87" s="657" t="s">
        <v>7332</v>
      </c>
      <c r="E87" s="658">
        <v>2020</v>
      </c>
      <c r="F87" s="659" t="s">
        <v>32</v>
      </c>
      <c r="G87" s="660">
        <v>6</v>
      </c>
      <c r="H87" s="656">
        <v>78</v>
      </c>
    </row>
    <row r="88" spans="1:8" ht="14">
      <c r="A88" s="840"/>
      <c r="B88" s="725"/>
      <c r="C88" s="725"/>
      <c r="D88" s="725"/>
      <c r="E88" s="725"/>
      <c r="F88" s="725"/>
      <c r="G88" s="725"/>
      <c r="H88" s="725"/>
    </row>
    <row r="89" spans="1:8" ht="14">
      <c r="A89" s="546" t="s">
        <v>7464</v>
      </c>
      <c r="B89" s="546" t="s">
        <v>7465</v>
      </c>
      <c r="C89" s="546" t="s">
        <v>7437</v>
      </c>
      <c r="D89" s="546" t="s">
        <v>7426</v>
      </c>
      <c r="E89" s="561">
        <v>2019</v>
      </c>
      <c r="F89" s="661" t="s">
        <v>32</v>
      </c>
      <c r="G89" s="655">
        <v>6</v>
      </c>
      <c r="H89" s="656">
        <v>84</v>
      </c>
    </row>
    <row r="90" spans="1:8" ht="14">
      <c r="A90" s="841" t="s">
        <v>7466</v>
      </c>
      <c r="B90" s="725"/>
      <c r="C90" s="725"/>
      <c r="D90" s="725"/>
      <c r="E90" s="725"/>
      <c r="F90" s="725"/>
      <c r="G90" s="725"/>
      <c r="H90" s="725"/>
    </row>
  </sheetData>
  <mergeCells count="12">
    <mergeCell ref="A34:H34"/>
    <mergeCell ref="A43:H43"/>
    <mergeCell ref="A1:H6"/>
    <mergeCell ref="A15:H15"/>
    <mergeCell ref="A21:H21"/>
    <mergeCell ref="A23:H23"/>
    <mergeCell ref="A30:H30"/>
    <mergeCell ref="A51:H51"/>
    <mergeCell ref="A64:H64"/>
    <mergeCell ref="A73:H73"/>
    <mergeCell ref="A88:H88"/>
    <mergeCell ref="A90:H90"/>
  </mergeCells>
  <hyperlinks>
    <hyperlink ref="A90" r:id="rId1" xr:uid="{00000000-0004-0000-0B00-000000000000}"/>
  </hyperlinks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I60"/>
  <sheetViews>
    <sheetView workbookViewId="0"/>
  </sheetViews>
  <sheetFormatPr baseColWidth="10" defaultColWidth="12.6640625" defaultRowHeight="15.75" customHeight="1"/>
  <cols>
    <col min="1" max="1" width="16.1640625" customWidth="1"/>
    <col min="2" max="2" width="23.33203125" customWidth="1"/>
    <col min="3" max="3" width="59.5" customWidth="1"/>
    <col min="4" max="4" width="10.5" customWidth="1"/>
    <col min="5" max="5" width="10.6640625" customWidth="1"/>
    <col min="6" max="6" width="10.1640625" customWidth="1"/>
    <col min="7" max="9" width="10.6640625" customWidth="1"/>
  </cols>
  <sheetData>
    <row r="1" spans="1:9" ht="15.75" customHeight="1">
      <c r="A1" s="846" t="s">
        <v>7467</v>
      </c>
      <c r="B1" s="689"/>
      <c r="C1" s="689"/>
      <c r="D1" s="689"/>
      <c r="E1" s="689"/>
      <c r="F1" s="689"/>
      <c r="G1" s="689"/>
      <c r="H1" s="689"/>
      <c r="I1" s="690"/>
    </row>
    <row r="2" spans="1:9" ht="15.75" customHeight="1">
      <c r="A2" s="847"/>
      <c r="B2" s="780"/>
      <c r="C2" s="780"/>
      <c r="D2" s="780"/>
      <c r="E2" s="780"/>
      <c r="F2" s="780"/>
      <c r="G2" s="780"/>
      <c r="H2" s="780"/>
      <c r="I2" s="781"/>
    </row>
    <row r="3" spans="1:9" ht="15.75" customHeight="1">
      <c r="A3" s="782"/>
      <c r="B3" s="725"/>
      <c r="C3" s="725"/>
      <c r="D3" s="725"/>
      <c r="E3" s="725"/>
      <c r="F3" s="725"/>
      <c r="G3" s="725"/>
      <c r="H3" s="725"/>
      <c r="I3" s="783"/>
    </row>
    <row r="4" spans="1:9" ht="15.75" customHeight="1">
      <c r="A4" s="782"/>
      <c r="B4" s="725"/>
      <c r="C4" s="725"/>
      <c r="D4" s="725"/>
      <c r="E4" s="725"/>
      <c r="F4" s="725"/>
      <c r="G4" s="725"/>
      <c r="H4" s="725"/>
      <c r="I4" s="783"/>
    </row>
    <row r="5" spans="1:9" ht="15.75" customHeight="1">
      <c r="A5" s="782"/>
      <c r="B5" s="725"/>
      <c r="C5" s="725"/>
      <c r="D5" s="725"/>
      <c r="E5" s="725"/>
      <c r="F5" s="725"/>
      <c r="G5" s="725"/>
      <c r="H5" s="725"/>
      <c r="I5" s="783"/>
    </row>
    <row r="6" spans="1:9" ht="15.75" customHeight="1">
      <c r="A6" s="782"/>
      <c r="B6" s="725"/>
      <c r="C6" s="725"/>
      <c r="D6" s="725"/>
      <c r="E6" s="725"/>
      <c r="F6" s="725"/>
      <c r="G6" s="725"/>
      <c r="H6" s="725"/>
      <c r="I6" s="783"/>
    </row>
    <row r="7" spans="1:9" ht="15.75" customHeight="1">
      <c r="A7" s="782"/>
      <c r="B7" s="725"/>
      <c r="C7" s="725"/>
      <c r="D7" s="725"/>
      <c r="E7" s="725"/>
      <c r="F7" s="725"/>
      <c r="G7" s="725"/>
      <c r="H7" s="725"/>
      <c r="I7" s="783"/>
    </row>
    <row r="8" spans="1:9" ht="15.75" customHeight="1">
      <c r="A8" s="782"/>
      <c r="B8" s="725"/>
      <c r="C8" s="725"/>
      <c r="D8" s="725"/>
      <c r="E8" s="725"/>
      <c r="F8" s="725"/>
      <c r="G8" s="725"/>
      <c r="H8" s="725"/>
      <c r="I8" s="783"/>
    </row>
    <row r="9" spans="1:9" ht="15.75" customHeight="1">
      <c r="A9" s="782"/>
      <c r="B9" s="725"/>
      <c r="C9" s="725"/>
      <c r="D9" s="725"/>
      <c r="E9" s="725"/>
      <c r="F9" s="725"/>
      <c r="G9" s="725"/>
      <c r="H9" s="725"/>
      <c r="I9" s="783"/>
    </row>
    <row r="10" spans="1:9" ht="15.75" customHeight="1">
      <c r="A10" s="782"/>
      <c r="B10" s="725"/>
      <c r="C10" s="725"/>
      <c r="D10" s="725"/>
      <c r="E10" s="725"/>
      <c r="F10" s="725"/>
      <c r="G10" s="725"/>
      <c r="H10" s="725"/>
      <c r="I10" s="783"/>
    </row>
    <row r="11" spans="1:9" ht="15.75" customHeight="1">
      <c r="A11" s="782"/>
      <c r="B11" s="725"/>
      <c r="C11" s="725"/>
      <c r="D11" s="725"/>
      <c r="E11" s="725"/>
      <c r="F11" s="725"/>
      <c r="G11" s="725"/>
      <c r="H11" s="725"/>
      <c r="I11" s="783"/>
    </row>
    <row r="12" spans="1:9" ht="15.75" customHeight="1">
      <c r="A12" s="782"/>
      <c r="B12" s="725"/>
      <c r="C12" s="725"/>
      <c r="D12" s="725"/>
      <c r="E12" s="725"/>
      <c r="F12" s="725"/>
      <c r="G12" s="725"/>
      <c r="H12" s="725"/>
      <c r="I12" s="783"/>
    </row>
    <row r="13" spans="1:9" ht="15.75" customHeight="1">
      <c r="A13" s="782"/>
      <c r="B13" s="725"/>
      <c r="C13" s="725"/>
      <c r="D13" s="725"/>
      <c r="E13" s="725"/>
      <c r="F13" s="725"/>
      <c r="G13" s="725"/>
      <c r="H13" s="725"/>
      <c r="I13" s="783"/>
    </row>
    <row r="14" spans="1:9" ht="15.75" customHeight="1">
      <c r="A14" s="784"/>
      <c r="B14" s="703"/>
      <c r="C14" s="703"/>
      <c r="D14" s="703"/>
      <c r="E14" s="703"/>
      <c r="F14" s="703"/>
      <c r="G14" s="703"/>
      <c r="H14" s="703"/>
      <c r="I14" s="704"/>
    </row>
    <row r="15" spans="1:9" ht="15.75" customHeight="1">
      <c r="A15" s="848" t="s">
        <v>5844</v>
      </c>
      <c r="B15" s="843" t="s">
        <v>6424</v>
      </c>
      <c r="C15" s="843" t="s">
        <v>6560</v>
      </c>
      <c r="D15" s="843" t="s">
        <v>6426</v>
      </c>
      <c r="E15" s="843" t="s">
        <v>6427</v>
      </c>
      <c r="F15" s="843" t="s">
        <v>6428</v>
      </c>
      <c r="G15" s="844" t="s">
        <v>6429</v>
      </c>
      <c r="H15" s="843" t="s">
        <v>6561</v>
      </c>
      <c r="I15" s="845" t="s">
        <v>6430</v>
      </c>
    </row>
    <row r="16" spans="1:9" ht="15.75" customHeight="1">
      <c r="A16" s="704"/>
      <c r="B16" s="777"/>
      <c r="C16" s="777"/>
      <c r="D16" s="777"/>
      <c r="E16" s="777"/>
      <c r="F16" s="777"/>
      <c r="G16" s="784"/>
      <c r="H16" s="777"/>
      <c r="I16" s="777"/>
    </row>
    <row r="17" spans="1:9" ht="15.75" customHeight="1">
      <c r="A17" s="849" t="s">
        <v>6926</v>
      </c>
      <c r="B17" s="689"/>
      <c r="C17" s="689"/>
      <c r="D17" s="689"/>
      <c r="E17" s="689"/>
      <c r="F17" s="689"/>
      <c r="G17" s="689"/>
      <c r="H17" s="689"/>
      <c r="I17" s="690"/>
    </row>
    <row r="18" spans="1:9" ht="15.75" customHeight="1">
      <c r="A18" s="850" t="s">
        <v>6927</v>
      </c>
      <c r="B18" s="703"/>
      <c r="C18" s="703"/>
      <c r="D18" s="703"/>
      <c r="E18" s="703"/>
      <c r="F18" s="703"/>
      <c r="G18" s="703"/>
      <c r="H18" s="703"/>
      <c r="I18" s="704"/>
    </row>
    <row r="19" spans="1:9">
      <c r="A19" s="851" t="s">
        <v>6928</v>
      </c>
      <c r="B19" s="703"/>
      <c r="C19" s="703"/>
      <c r="D19" s="703"/>
      <c r="E19" s="703"/>
      <c r="F19" s="703"/>
      <c r="G19" s="703"/>
      <c r="H19" s="703"/>
      <c r="I19" s="704"/>
    </row>
    <row r="20" spans="1:9">
      <c r="A20" s="667" t="s">
        <v>6929</v>
      </c>
      <c r="B20" s="668" t="s">
        <v>6930</v>
      </c>
      <c r="C20" s="669" t="s">
        <v>6931</v>
      </c>
      <c r="D20" s="670">
        <v>2020</v>
      </c>
      <c r="E20" s="671">
        <v>12</v>
      </c>
      <c r="F20" s="671" t="s">
        <v>32</v>
      </c>
      <c r="G20" s="672">
        <v>156</v>
      </c>
      <c r="H20" s="673"/>
      <c r="I20" s="674">
        <v>1</v>
      </c>
    </row>
    <row r="21" spans="1:9">
      <c r="A21" s="675" t="s">
        <v>6932</v>
      </c>
      <c r="B21" s="676" t="s">
        <v>6933</v>
      </c>
      <c r="C21" s="669" t="s">
        <v>6934</v>
      </c>
      <c r="D21" s="671">
        <v>2019</v>
      </c>
      <c r="E21" s="671">
        <v>12</v>
      </c>
      <c r="F21" s="671" t="s">
        <v>32</v>
      </c>
      <c r="G21" s="677">
        <v>156</v>
      </c>
      <c r="H21" s="673"/>
      <c r="I21" s="674">
        <v>1</v>
      </c>
    </row>
    <row r="22" spans="1:9">
      <c r="A22" s="678" t="s">
        <v>7468</v>
      </c>
      <c r="B22" s="668" t="s">
        <v>6936</v>
      </c>
      <c r="C22" s="669" t="s">
        <v>6937</v>
      </c>
      <c r="D22" s="670">
        <v>2021</v>
      </c>
      <c r="E22" s="671">
        <v>12</v>
      </c>
      <c r="F22" s="671" t="s">
        <v>32</v>
      </c>
      <c r="G22" s="672">
        <v>156</v>
      </c>
      <c r="H22" s="673"/>
      <c r="I22" s="674">
        <v>1</v>
      </c>
    </row>
    <row r="23" spans="1:9">
      <c r="A23" s="671" t="s">
        <v>7469</v>
      </c>
      <c r="B23" s="676" t="s">
        <v>6945</v>
      </c>
      <c r="C23" s="669" t="s">
        <v>6946</v>
      </c>
      <c r="D23" s="670">
        <v>2021</v>
      </c>
      <c r="E23" s="671">
        <v>12</v>
      </c>
      <c r="F23" s="671" t="s">
        <v>32</v>
      </c>
      <c r="G23" s="672">
        <v>136</v>
      </c>
      <c r="H23" s="673"/>
      <c r="I23" s="674">
        <v>1</v>
      </c>
    </row>
    <row r="24" spans="1:9">
      <c r="A24" s="679" t="s">
        <v>6947</v>
      </c>
      <c r="B24" s="676" t="s">
        <v>6948</v>
      </c>
      <c r="C24" s="669" t="s">
        <v>6949</v>
      </c>
      <c r="D24" s="670">
        <v>2021</v>
      </c>
      <c r="E24" s="671">
        <v>12</v>
      </c>
      <c r="F24" s="671" t="s">
        <v>32</v>
      </c>
      <c r="G24" s="672">
        <v>140</v>
      </c>
      <c r="H24" s="673"/>
      <c r="I24" s="674">
        <v>1</v>
      </c>
    </row>
    <row r="25" spans="1:9">
      <c r="A25" s="671" t="s">
        <v>6953</v>
      </c>
      <c r="B25" s="676" t="s">
        <v>6954</v>
      </c>
      <c r="C25" s="669" t="s">
        <v>6955</v>
      </c>
      <c r="D25" s="671">
        <v>2020</v>
      </c>
      <c r="E25" s="671">
        <v>12</v>
      </c>
      <c r="F25" s="671" t="s">
        <v>32</v>
      </c>
      <c r="G25" s="677">
        <v>156</v>
      </c>
      <c r="H25" s="673"/>
      <c r="I25" s="674">
        <v>1</v>
      </c>
    </row>
    <row r="26" spans="1:9">
      <c r="A26" s="671" t="s">
        <v>7470</v>
      </c>
      <c r="B26" s="676" t="s">
        <v>6969</v>
      </c>
      <c r="C26" s="680" t="s">
        <v>7471</v>
      </c>
      <c r="D26" s="671">
        <v>2019</v>
      </c>
      <c r="E26" s="671">
        <v>12</v>
      </c>
      <c r="F26" s="671" t="s">
        <v>32</v>
      </c>
      <c r="G26" s="677">
        <v>174</v>
      </c>
      <c r="H26" s="673"/>
      <c r="I26" s="674">
        <v>1</v>
      </c>
    </row>
    <row r="27" spans="1:9">
      <c r="A27" s="671" t="s">
        <v>6971</v>
      </c>
      <c r="B27" s="676" t="s">
        <v>6972</v>
      </c>
      <c r="C27" s="680" t="s">
        <v>7472</v>
      </c>
      <c r="D27" s="671">
        <v>2019</v>
      </c>
      <c r="E27" s="671">
        <v>12</v>
      </c>
      <c r="F27" s="671" t="s">
        <v>32</v>
      </c>
      <c r="G27" s="677">
        <v>174</v>
      </c>
      <c r="H27" s="673"/>
      <c r="I27" s="674">
        <v>1</v>
      </c>
    </row>
    <row r="28" spans="1:9">
      <c r="A28" s="681" t="s">
        <v>6956</v>
      </c>
      <c r="B28" s="668" t="s">
        <v>6957</v>
      </c>
      <c r="C28" s="669" t="s">
        <v>6958</v>
      </c>
      <c r="D28" s="670">
        <v>2021</v>
      </c>
      <c r="E28" s="671">
        <v>12</v>
      </c>
      <c r="F28" s="671" t="s">
        <v>32</v>
      </c>
      <c r="G28" s="672">
        <v>180</v>
      </c>
      <c r="H28" s="673"/>
      <c r="I28" s="674">
        <v>1</v>
      </c>
    </row>
    <row r="29" spans="1:9">
      <c r="A29" s="678" t="s">
        <v>7473</v>
      </c>
      <c r="B29" s="667" t="s">
        <v>7474</v>
      </c>
      <c r="C29" s="680" t="s">
        <v>7475</v>
      </c>
      <c r="D29" s="670">
        <v>2020</v>
      </c>
      <c r="E29" s="671">
        <v>12</v>
      </c>
      <c r="F29" s="671" t="s">
        <v>32</v>
      </c>
      <c r="G29" s="672">
        <v>174</v>
      </c>
      <c r="H29" s="673"/>
      <c r="I29" s="674">
        <v>1</v>
      </c>
    </row>
    <row r="30" spans="1:9">
      <c r="A30" s="682" t="s">
        <v>7476</v>
      </c>
      <c r="B30" s="668" t="s">
        <v>7477</v>
      </c>
      <c r="C30" s="669" t="s">
        <v>7478</v>
      </c>
      <c r="D30" s="670">
        <v>2020</v>
      </c>
      <c r="E30" s="671">
        <v>12</v>
      </c>
      <c r="F30" s="671" t="s">
        <v>32</v>
      </c>
      <c r="G30" s="672">
        <v>192</v>
      </c>
      <c r="H30" s="673"/>
      <c r="I30" s="683"/>
    </row>
    <row r="31" spans="1:9">
      <c r="A31" s="671" t="s">
        <v>7479</v>
      </c>
      <c r="B31" s="684" t="s">
        <v>6966</v>
      </c>
      <c r="C31" s="669" t="s">
        <v>7480</v>
      </c>
      <c r="D31" s="670">
        <v>2020</v>
      </c>
      <c r="E31" s="671">
        <v>12</v>
      </c>
      <c r="F31" s="671" t="s">
        <v>32</v>
      </c>
      <c r="G31" s="672">
        <v>180</v>
      </c>
      <c r="H31" s="673"/>
      <c r="I31" s="674">
        <v>1</v>
      </c>
    </row>
    <row r="32" spans="1:9">
      <c r="A32" s="671" t="s">
        <v>7481</v>
      </c>
      <c r="B32" s="684" t="s">
        <v>6966</v>
      </c>
      <c r="C32" s="669" t="s">
        <v>7480</v>
      </c>
      <c r="D32" s="670">
        <v>2021</v>
      </c>
      <c r="E32" s="671">
        <v>12</v>
      </c>
      <c r="F32" s="671" t="s">
        <v>32</v>
      </c>
      <c r="G32" s="672">
        <v>180</v>
      </c>
      <c r="H32" s="673"/>
      <c r="I32" s="674">
        <v>1</v>
      </c>
    </row>
    <row r="33" spans="1:9">
      <c r="A33" s="671" t="s">
        <v>7482</v>
      </c>
      <c r="B33" s="676" t="s">
        <v>7483</v>
      </c>
      <c r="C33" s="669" t="s">
        <v>7484</v>
      </c>
      <c r="D33" s="671">
        <v>2019</v>
      </c>
      <c r="E33" s="671">
        <v>12</v>
      </c>
      <c r="F33" s="671" t="s">
        <v>32</v>
      </c>
      <c r="G33" s="685">
        <v>192</v>
      </c>
      <c r="H33" s="673"/>
      <c r="I33" s="683"/>
    </row>
    <row r="34" spans="1:9">
      <c r="A34" s="679" t="s">
        <v>7485</v>
      </c>
      <c r="B34" s="676" t="s">
        <v>6976</v>
      </c>
      <c r="C34" s="669" t="s">
        <v>6977</v>
      </c>
      <c r="D34" s="671">
        <v>2020</v>
      </c>
      <c r="E34" s="671">
        <v>12</v>
      </c>
      <c r="F34" s="671" t="s">
        <v>32</v>
      </c>
      <c r="G34" s="672">
        <v>180</v>
      </c>
      <c r="H34" s="673"/>
      <c r="I34" s="674">
        <v>1</v>
      </c>
    </row>
    <row r="35" spans="1:9">
      <c r="A35" s="679" t="s">
        <v>6975</v>
      </c>
      <c r="B35" s="676" t="s">
        <v>6976</v>
      </c>
      <c r="C35" s="669" t="s">
        <v>6977</v>
      </c>
      <c r="D35" s="670">
        <v>2021</v>
      </c>
      <c r="E35" s="671">
        <v>12</v>
      </c>
      <c r="F35" s="671" t="s">
        <v>32</v>
      </c>
      <c r="G35" s="672">
        <v>180</v>
      </c>
      <c r="H35" s="673"/>
      <c r="I35" s="674">
        <v>1</v>
      </c>
    </row>
    <row r="36" spans="1:9">
      <c r="A36" s="679" t="s">
        <v>7486</v>
      </c>
      <c r="B36" s="676" t="s">
        <v>6979</v>
      </c>
      <c r="C36" s="669" t="s">
        <v>6980</v>
      </c>
      <c r="D36" s="671">
        <v>2019</v>
      </c>
      <c r="E36" s="671">
        <v>12</v>
      </c>
      <c r="F36" s="671" t="s">
        <v>32</v>
      </c>
      <c r="G36" s="672">
        <v>180</v>
      </c>
      <c r="H36" s="673"/>
      <c r="I36" s="683"/>
    </row>
    <row r="37" spans="1:9">
      <c r="A37" s="671" t="s">
        <v>6981</v>
      </c>
      <c r="B37" s="676" t="s">
        <v>6982</v>
      </c>
      <c r="C37" s="669" t="s">
        <v>6934</v>
      </c>
      <c r="D37" s="671">
        <v>2020</v>
      </c>
      <c r="E37" s="671">
        <v>12</v>
      </c>
      <c r="F37" s="671" t="s">
        <v>32</v>
      </c>
      <c r="G37" s="672">
        <v>180</v>
      </c>
      <c r="H37" s="673"/>
      <c r="I37" s="674">
        <v>1</v>
      </c>
    </row>
    <row r="38" spans="1:9">
      <c r="A38" s="678" t="s">
        <v>7487</v>
      </c>
      <c r="B38" s="676" t="s">
        <v>6963</v>
      </c>
      <c r="C38" s="669" t="s">
        <v>6964</v>
      </c>
      <c r="D38" s="671">
        <v>2019</v>
      </c>
      <c r="E38" s="671">
        <v>12</v>
      </c>
      <c r="F38" s="671" t="s">
        <v>32</v>
      </c>
      <c r="G38" s="677">
        <v>200</v>
      </c>
      <c r="H38" s="673"/>
      <c r="I38" s="674">
        <v>1</v>
      </c>
    </row>
    <row r="39" spans="1:9">
      <c r="A39" s="671" t="s">
        <v>7488</v>
      </c>
      <c r="B39" s="676" t="s">
        <v>6985</v>
      </c>
      <c r="C39" s="669" t="s">
        <v>6986</v>
      </c>
      <c r="D39" s="671">
        <v>2019</v>
      </c>
      <c r="E39" s="671">
        <v>12</v>
      </c>
      <c r="F39" s="671" t="s">
        <v>32</v>
      </c>
      <c r="G39" s="677">
        <v>264</v>
      </c>
      <c r="H39" s="673"/>
      <c r="I39" s="674">
        <v>1</v>
      </c>
    </row>
    <row r="40" spans="1:9">
      <c r="A40" s="671" t="s">
        <v>6984</v>
      </c>
      <c r="B40" s="676" t="s">
        <v>6985</v>
      </c>
      <c r="C40" s="669" t="s">
        <v>6986</v>
      </c>
      <c r="D40" s="670">
        <v>2020</v>
      </c>
      <c r="E40" s="671">
        <v>12</v>
      </c>
      <c r="F40" s="671" t="s">
        <v>32</v>
      </c>
      <c r="G40" s="672">
        <v>264</v>
      </c>
      <c r="H40" s="673"/>
      <c r="I40" s="674">
        <v>1</v>
      </c>
    </row>
    <row r="41" spans="1:9" ht="15.75" customHeight="1">
      <c r="A41" s="852" t="s">
        <v>0</v>
      </c>
      <c r="B41" s="689"/>
      <c r="C41" s="689"/>
      <c r="D41" s="689"/>
      <c r="E41" s="689"/>
      <c r="F41" s="689"/>
      <c r="G41" s="689"/>
      <c r="H41" s="689"/>
      <c r="I41" s="690"/>
    </row>
    <row r="42" spans="1:9" ht="15.75" customHeight="1">
      <c r="A42" s="850" t="s">
        <v>6994</v>
      </c>
      <c r="B42" s="703"/>
      <c r="C42" s="703"/>
      <c r="D42" s="703"/>
      <c r="E42" s="703"/>
      <c r="F42" s="703"/>
      <c r="G42" s="703"/>
      <c r="H42" s="703"/>
      <c r="I42" s="704"/>
    </row>
    <row r="43" spans="1:9">
      <c r="A43" s="851" t="s">
        <v>7489</v>
      </c>
      <c r="B43" s="703"/>
      <c r="C43" s="703"/>
      <c r="D43" s="703"/>
      <c r="E43" s="703"/>
      <c r="F43" s="703"/>
      <c r="G43" s="703"/>
      <c r="H43" s="703"/>
      <c r="I43" s="704"/>
    </row>
    <row r="44" spans="1:9">
      <c r="A44" s="667" t="s">
        <v>6996</v>
      </c>
      <c r="B44" s="671" t="s">
        <v>6997</v>
      </c>
      <c r="C44" s="671" t="s">
        <v>6997</v>
      </c>
      <c r="D44" s="671">
        <v>2019</v>
      </c>
      <c r="E44" s="671">
        <v>12</v>
      </c>
      <c r="F44" s="671" t="s">
        <v>32</v>
      </c>
      <c r="G44" s="686">
        <v>224</v>
      </c>
      <c r="H44" s="687"/>
      <c r="I44" s="674">
        <v>1</v>
      </c>
    </row>
    <row r="45" spans="1:9" ht="15.75" customHeight="1">
      <c r="A45" s="853" t="s">
        <v>7490</v>
      </c>
      <c r="B45" s="689"/>
      <c r="C45" s="689"/>
      <c r="D45" s="689"/>
      <c r="E45" s="689"/>
      <c r="F45" s="689"/>
      <c r="G45" s="689"/>
      <c r="H45" s="689"/>
      <c r="I45" s="690"/>
    </row>
    <row r="46" spans="1:9">
      <c r="A46" s="862" t="s">
        <v>6162</v>
      </c>
      <c r="B46" s="725"/>
      <c r="C46" s="725"/>
      <c r="D46" s="725"/>
      <c r="E46" s="725"/>
      <c r="F46" s="725"/>
      <c r="G46" s="725"/>
      <c r="H46" s="725"/>
      <c r="I46" s="725"/>
    </row>
    <row r="47" spans="1:9">
      <c r="A47" s="863" t="s">
        <v>7491</v>
      </c>
      <c r="B47" s="725"/>
      <c r="C47" s="725"/>
      <c r="D47" s="725"/>
      <c r="E47" s="725"/>
      <c r="F47" s="725"/>
      <c r="G47" s="725"/>
      <c r="H47" s="725"/>
      <c r="I47" s="725"/>
    </row>
    <row r="48" spans="1:9">
      <c r="A48" s="864" t="s">
        <v>7492</v>
      </c>
      <c r="B48" s="725"/>
      <c r="C48" s="725"/>
      <c r="D48" s="725"/>
      <c r="E48" s="725"/>
      <c r="F48" s="725"/>
      <c r="G48" s="725"/>
      <c r="H48" s="725"/>
      <c r="I48" s="725"/>
    </row>
    <row r="49" spans="1:9">
      <c r="A49" s="865" t="s">
        <v>3942</v>
      </c>
      <c r="B49" s="725"/>
      <c r="C49" s="725"/>
      <c r="D49" s="725"/>
      <c r="E49" s="725"/>
      <c r="F49" s="725"/>
      <c r="G49" s="725"/>
      <c r="H49" s="725"/>
      <c r="I49" s="725"/>
    </row>
    <row r="50" spans="1:9" ht="14">
      <c r="A50" s="866" t="s">
        <v>3943</v>
      </c>
      <c r="B50" s="725"/>
      <c r="C50" s="725"/>
      <c r="D50" s="725"/>
      <c r="E50" s="725"/>
      <c r="F50" s="725"/>
      <c r="G50" s="725"/>
      <c r="H50" s="725"/>
      <c r="I50" s="725"/>
    </row>
    <row r="51" spans="1:9" ht="14">
      <c r="A51" s="867" t="s">
        <v>3944</v>
      </c>
      <c r="B51" s="725"/>
      <c r="C51" s="725"/>
      <c r="D51" s="725"/>
      <c r="E51" s="725"/>
      <c r="F51" s="725"/>
      <c r="G51" s="725"/>
      <c r="H51" s="725"/>
      <c r="I51" s="725"/>
    </row>
    <row r="52" spans="1:9" ht="14">
      <c r="A52" s="868" t="s">
        <v>3945</v>
      </c>
      <c r="B52" s="725"/>
      <c r="C52" s="725"/>
      <c r="D52" s="725"/>
      <c r="E52" s="725"/>
      <c r="F52" s="725"/>
      <c r="G52" s="725"/>
      <c r="H52" s="725"/>
      <c r="I52" s="725"/>
    </row>
    <row r="53" spans="1:9" ht="14">
      <c r="A53" s="854" t="s">
        <v>3946</v>
      </c>
      <c r="B53" s="725"/>
      <c r="C53" s="725"/>
      <c r="D53" s="725"/>
      <c r="E53" s="725"/>
      <c r="F53" s="725"/>
      <c r="G53" s="725"/>
      <c r="H53" s="725"/>
      <c r="I53" s="725"/>
    </row>
    <row r="54" spans="1:9" ht="14">
      <c r="A54" s="855" t="s">
        <v>3947</v>
      </c>
      <c r="B54" s="725"/>
      <c r="C54" s="725"/>
      <c r="D54" s="725"/>
      <c r="E54" s="725"/>
      <c r="F54" s="725"/>
      <c r="G54" s="725"/>
      <c r="H54" s="725"/>
      <c r="I54" s="725"/>
    </row>
    <row r="55" spans="1:9" ht="14">
      <c r="A55" s="856" t="s">
        <v>7493</v>
      </c>
      <c r="B55" s="725"/>
      <c r="C55" s="725"/>
      <c r="D55" s="725"/>
      <c r="E55" s="725"/>
      <c r="F55" s="725"/>
      <c r="G55" s="725"/>
      <c r="H55" s="725"/>
      <c r="I55" s="725"/>
    </row>
    <row r="56" spans="1:9" ht="14">
      <c r="A56" s="857" t="s">
        <v>7494</v>
      </c>
      <c r="B56" s="725"/>
      <c r="C56" s="725"/>
      <c r="D56" s="725"/>
      <c r="E56" s="725"/>
      <c r="F56" s="725"/>
      <c r="G56" s="725"/>
      <c r="H56" s="725"/>
      <c r="I56" s="725"/>
    </row>
    <row r="57" spans="1:9" ht="14">
      <c r="A57" s="858" t="s">
        <v>7495</v>
      </c>
      <c r="B57" s="725"/>
      <c r="C57" s="725"/>
      <c r="D57" s="725"/>
      <c r="E57" s="725"/>
      <c r="F57" s="725"/>
      <c r="G57" s="725"/>
      <c r="H57" s="725"/>
      <c r="I57" s="725"/>
    </row>
    <row r="58" spans="1:9" ht="14">
      <c r="A58" s="859" t="s">
        <v>7496</v>
      </c>
      <c r="B58" s="725"/>
      <c r="C58" s="725"/>
      <c r="D58" s="725"/>
      <c r="E58" s="725"/>
      <c r="F58" s="725"/>
      <c r="G58" s="725"/>
      <c r="H58" s="725"/>
      <c r="I58" s="725"/>
    </row>
    <row r="59" spans="1:9" ht="14">
      <c r="A59" s="860" t="s">
        <v>7497</v>
      </c>
      <c r="B59" s="725"/>
      <c r="C59" s="725"/>
      <c r="D59" s="725"/>
      <c r="E59" s="725"/>
      <c r="F59" s="725"/>
      <c r="G59" s="725"/>
      <c r="H59" s="725"/>
      <c r="I59" s="725"/>
    </row>
    <row r="60" spans="1:9" ht="14">
      <c r="A60" s="861" t="s">
        <v>7498</v>
      </c>
      <c r="B60" s="725"/>
      <c r="C60" s="725"/>
      <c r="D60" s="725"/>
      <c r="E60" s="725"/>
      <c r="F60" s="725"/>
      <c r="G60" s="725"/>
      <c r="H60" s="725"/>
      <c r="I60" s="725"/>
    </row>
  </sheetData>
  <mergeCells count="33">
    <mergeCell ref="A56:I56"/>
    <mergeCell ref="A57:I57"/>
    <mergeCell ref="A58:I58"/>
    <mergeCell ref="A59:I59"/>
    <mergeCell ref="A60:I60"/>
    <mergeCell ref="A43:I43"/>
    <mergeCell ref="A45:I45"/>
    <mergeCell ref="A53:I53"/>
    <mergeCell ref="A54:I54"/>
    <mergeCell ref="A55:I55"/>
    <mergeCell ref="A46:I46"/>
    <mergeCell ref="A47:I47"/>
    <mergeCell ref="A48:I48"/>
    <mergeCell ref="A49:I49"/>
    <mergeCell ref="A50:I50"/>
    <mergeCell ref="A51:I51"/>
    <mergeCell ref="A52:I52"/>
    <mergeCell ref="A17:I17"/>
    <mergeCell ref="A18:I18"/>
    <mergeCell ref="A19:I19"/>
    <mergeCell ref="A41:I41"/>
    <mergeCell ref="A42:I42"/>
    <mergeCell ref="F15:F16"/>
    <mergeCell ref="G15:G16"/>
    <mergeCell ref="H15:H16"/>
    <mergeCell ref="I15:I16"/>
    <mergeCell ref="A1:I1"/>
    <mergeCell ref="A2:I14"/>
    <mergeCell ref="A15:A16"/>
    <mergeCell ref="B15:B16"/>
    <mergeCell ref="C15:C16"/>
    <mergeCell ref="D15:D16"/>
    <mergeCell ref="E15: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ZRS WINES</vt:lpstr>
      <vt:lpstr>ZRS INVENTORY</vt:lpstr>
      <vt:lpstr>FIFI</vt:lpstr>
      <vt:lpstr>ZRS DISCOUNTS</vt:lpstr>
      <vt:lpstr>ZRSMAX INBOUNDS</vt:lpstr>
      <vt:lpstr>SPIRITS</vt:lpstr>
      <vt:lpstr>SAKE</vt:lpstr>
      <vt:lpstr>MAX</vt:lpstr>
      <vt:lpstr>MAX INVENTORY</vt:lpstr>
      <vt:lpstr>NATIVE</vt:lpstr>
      <vt:lpstr>NATTY WINE</vt:lpstr>
      <vt:lpstr>RONI</vt:lpstr>
      <vt:lpstr>NATIVE SELECTIONS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Trey Stephenson</cp:lastModifiedBy>
  <dcterms:created xsi:type="dcterms:W3CDTF">2025-11-24T07:15:04Z</dcterms:created>
  <dcterms:modified xsi:type="dcterms:W3CDTF">2025-11-24T07:15:04Z</dcterms:modified>
</cp:coreProperties>
</file>