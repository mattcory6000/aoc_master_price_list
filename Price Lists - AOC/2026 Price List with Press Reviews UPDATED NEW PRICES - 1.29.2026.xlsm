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INDIGENOUS/Price Lists/2026/"/>
    </mc:Choice>
  </mc:AlternateContent>
  <xr:revisionPtr revIDLastSave="0" documentId="13_ncr:1_{4414DAFC-2463-A246-A9CF-59E124D50D7A}" xr6:coauthVersionLast="47" xr6:coauthVersionMax="47" xr10:uidLastSave="{00000000-0000-0000-0000-000000000000}"/>
  <bookViews>
    <workbookView xWindow="-20" yWindow="500" windowWidth="33600" windowHeight="19620" tabRatio="303" xr2:uid="{00000000-000D-0000-FFFF-FFFF00000000}"/>
  </bookViews>
  <sheets>
    <sheet name="Q2 2025" sheetId="6" r:id="rId1"/>
    <sheet name="Sheet1" sheetId="7" r:id="rId2"/>
  </sheets>
  <definedNames>
    <definedName name="_xlnm.Print_Area" localSheetId="0">'Q2 2025'!$A$1:$K$388</definedName>
    <definedName name="Z_2DFB880F_6C79_4654_878A_25B48A91EBEF_.wvu.PrintArea" localSheetId="0" hidden="1">'Q2 2025'!$A$1:$K$226</definedName>
    <definedName name="Z_2DFB880F_6C79_4654_878A_25B48A91EBEF_.wvu.PrintTitles" localSheetId="0" hidden="1">'Q2 2025'!#REF!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6" l="1"/>
  <c r="G93" i="6"/>
  <c r="G94" i="6"/>
  <c r="G95" i="6"/>
</calcChain>
</file>

<file path=xl/sharedStrings.xml><?xml version="1.0" encoding="utf-8"?>
<sst xmlns="http://schemas.openxmlformats.org/spreadsheetml/2006/main" count="1647" uniqueCount="982">
  <si>
    <t>ITEM CODE</t>
  </si>
  <si>
    <t>DESCRIPTION</t>
  </si>
  <si>
    <t>Pack</t>
  </si>
  <si>
    <t>Size</t>
  </si>
  <si>
    <t>PRESS</t>
  </si>
  <si>
    <t>1.5L</t>
  </si>
  <si>
    <t>ROCCA DEL PRINCIPE - CAMPANIA</t>
  </si>
  <si>
    <t xml:space="preserve">LA SPINETTA - PIEDMONT </t>
  </si>
  <si>
    <t>CIACCI PICCOLOMINI D'ARAGONA - TUSCANY</t>
  </si>
  <si>
    <t>CTOVMBNV</t>
  </si>
  <si>
    <t>CTOVMRNV</t>
  </si>
  <si>
    <t>CTOAMRNV</t>
  </si>
  <si>
    <t>CTOFNTNV</t>
  </si>
  <si>
    <t>CONTRATTO  VERMOUTH - PIEDMONT</t>
  </si>
  <si>
    <t>CONTRATTO  SPIRITS - PIEDMONT</t>
  </si>
  <si>
    <t>CTOBTRNV</t>
  </si>
  <si>
    <t>CURRENT OFFER</t>
  </si>
  <si>
    <t>CTOARFNV</t>
  </si>
  <si>
    <t>10 cs</t>
  </si>
  <si>
    <t>5 cs</t>
  </si>
  <si>
    <t>3 cs</t>
  </si>
  <si>
    <t>7 cs</t>
  </si>
  <si>
    <t>2 cs</t>
  </si>
  <si>
    <t>COCITO - PIEDMONT (BARBARESCO)</t>
  </si>
  <si>
    <t>E. PIRA CHIARA BOSCHIS - PIEDMONT (BAROLO)</t>
  </si>
  <si>
    <t>91 WA, 91 VM</t>
  </si>
  <si>
    <t>92 VM</t>
  </si>
  <si>
    <t>91 JS</t>
  </si>
  <si>
    <t>1 on 10</t>
  </si>
  <si>
    <t>LSABGA2007</t>
  </si>
  <si>
    <t>LSABSI2006</t>
  </si>
  <si>
    <t>LSABSI2007</t>
  </si>
  <si>
    <t>LSABSI2008</t>
  </si>
  <si>
    <t>LSABSI2009</t>
  </si>
  <si>
    <t>LSABVO2006</t>
  </si>
  <si>
    <t>LSABVO2008</t>
  </si>
  <si>
    <t>LSABVO2009</t>
  </si>
  <si>
    <t>LSABCE2005</t>
  </si>
  <si>
    <t>LSABCE2006</t>
  </si>
  <si>
    <t>LSABCE2007</t>
  </si>
  <si>
    <t>LSABCE2009</t>
  </si>
  <si>
    <t>90 JS</t>
  </si>
  <si>
    <t>RONCO DEI TASSI - FRIULI</t>
  </si>
  <si>
    <t>VIGNA DEL LAURO - FRIULI</t>
  </si>
  <si>
    <t>SBAMAR2017</t>
  </si>
  <si>
    <t>93 WA, 93 VM, 93 WS</t>
  </si>
  <si>
    <t>94 VM, 92 WS, 91 WA</t>
  </si>
  <si>
    <t>RDTSAU2019</t>
  </si>
  <si>
    <t>91 JS, 91 WE, 91 WA</t>
  </si>
  <si>
    <t>LSABSI2011</t>
  </si>
  <si>
    <t>LSABSI2012</t>
  </si>
  <si>
    <t>95 JS, 95 VM, 94 WA, 91 WS</t>
  </si>
  <si>
    <t>OTTO ETTARI - TUSCANY - MONTECUCCO</t>
  </si>
  <si>
    <t>93 VM</t>
  </si>
  <si>
    <t>LSABSI2010C</t>
  </si>
  <si>
    <t>LSABVO2010C</t>
  </si>
  <si>
    <t>LSABCE2010C</t>
  </si>
  <si>
    <t>RDPFTO2019</t>
  </si>
  <si>
    <t>LSABVO2019</t>
  </si>
  <si>
    <t>INDIGENOUS SELECTIONS, LLC</t>
  </si>
  <si>
    <t>Please submit all orders to: orders@indigenousselections.com</t>
  </si>
  <si>
    <r>
      <t xml:space="preserve">INDIGENOUS  </t>
    </r>
    <r>
      <rPr>
        <b/>
        <i/>
        <sz val="13.5"/>
        <color rgb="FFFFFFFF"/>
        <rFont val="Calibri"/>
        <family val="2"/>
      </rPr>
      <t>by GIORGIO RIVETTI</t>
    </r>
  </si>
  <si>
    <r>
      <t xml:space="preserve">TENUTA SANTA MARIA </t>
    </r>
    <r>
      <rPr>
        <b/>
        <i/>
        <sz val="13"/>
        <color rgb="FFFFFFFF"/>
        <rFont val="Calibri (Body)"/>
      </rPr>
      <t>DI GAETANO BERTANI</t>
    </r>
    <r>
      <rPr>
        <b/>
        <sz val="14"/>
        <color indexed="9"/>
        <rFont val="Calibri"/>
        <family val="2"/>
        <scheme val="minor"/>
      </rPr>
      <t xml:space="preserve"> - VENETO</t>
    </r>
  </si>
  <si>
    <t>LSAROE2021C</t>
  </si>
  <si>
    <t>93 IWR</t>
  </si>
  <si>
    <t>92 IWR</t>
  </si>
  <si>
    <t>LSAVMO2021C</t>
  </si>
  <si>
    <t xml:space="preserve">SANTA BARBARA STEFANO ANTONUCCI - MARCHE </t>
  </si>
  <si>
    <t>SBASBA2021</t>
  </si>
  <si>
    <t>93 JS, 93 WA, 92 VM</t>
  </si>
  <si>
    <t>95 JS, 93+ VM, 93 WA, 92 WS</t>
  </si>
  <si>
    <t>93+ WA, 92 WS, 93+ VM</t>
  </si>
  <si>
    <t>93 WA, 93 VM, 92 WS</t>
  </si>
  <si>
    <t>94 WA, 93 WS, 94 VM, 93 JS</t>
  </si>
  <si>
    <t>CTOEPD2018</t>
  </si>
  <si>
    <t>94 WA</t>
  </si>
  <si>
    <t>SBAMOS2018</t>
  </si>
  <si>
    <t>CTOBDB2018</t>
  </si>
  <si>
    <t>CPIBVP2018</t>
  </si>
  <si>
    <t>LSACOL2019</t>
  </si>
  <si>
    <t>LSABGA2020</t>
  </si>
  <si>
    <t>LSABSI2020</t>
  </si>
  <si>
    <t>LSABVO2020</t>
  </si>
  <si>
    <t>COTBARB2022</t>
  </si>
  <si>
    <t>CTOEPD2017</t>
  </si>
  <si>
    <t>92 JS</t>
  </si>
  <si>
    <t>91 VM, 90 JS</t>
  </si>
  <si>
    <t>95 VM, 95 WA, 94 JS, 92 WS</t>
  </si>
  <si>
    <t>LSASSO2007</t>
  </si>
  <si>
    <t>LSASSO2008</t>
  </si>
  <si>
    <t>LSASZA2007</t>
  </si>
  <si>
    <t>LSASZA2008</t>
  </si>
  <si>
    <t>LSABVO2013</t>
  </si>
  <si>
    <t xml:space="preserve">10 cs </t>
  </si>
  <si>
    <t>2929 E. Commercial Blvd. Suite #700; Fort Lauderdale, FL 33308</t>
  </si>
  <si>
    <t>91 VM</t>
  </si>
  <si>
    <t>INGBAP2019</t>
  </si>
  <si>
    <t>94 WA, 93 JS, 92 IWR</t>
  </si>
  <si>
    <t>CTOEPD2018C</t>
  </si>
  <si>
    <t xml:space="preserve">BARBERA PIEMONTE DOC 2019 </t>
  </si>
  <si>
    <t>IMPORTANT NOTE:                    DUE TO WAREHOUSING FEES, ALL SPECIAL ORDER REQUESTS (BROUGHT INTO ALBA IN NEW JERSEY) WILL HAVE A $10 PER SKU CHARGE (PER ORDER) APPLIED.</t>
  </si>
  <si>
    <t>SPECIAL PROMO - 3 on 10</t>
  </si>
  <si>
    <t>BTOPROBTNV</t>
  </si>
  <si>
    <t xml:space="preserve">BATISO - VENETO </t>
  </si>
  <si>
    <t>CPIBVP2017</t>
  </si>
  <si>
    <t>CTOBDB2019</t>
  </si>
  <si>
    <t>CTORBT2019</t>
  </si>
  <si>
    <t>94 Decanter, 92 IWR</t>
  </si>
  <si>
    <t>91 WA</t>
  </si>
  <si>
    <t>94 WA, 90 JS</t>
  </si>
  <si>
    <t xml:space="preserve">94 VM, 93+ WA, 93 JS, 93 WS </t>
  </si>
  <si>
    <t>95 JS, 93+ VM, 92 WS</t>
  </si>
  <si>
    <t>93 WA, 93 VM</t>
  </si>
  <si>
    <t>95 VM, 95 WA, 94 JS, 91 WS</t>
  </si>
  <si>
    <t>94 JS, , 93 VM, 93 WA, 90 WS</t>
  </si>
  <si>
    <t>88 VM</t>
  </si>
  <si>
    <t>91 VM, 90 WE, 90 WS, Tre bicchieri Gambero Rosso</t>
  </si>
  <si>
    <t>95 JS, 94 VM, 93 WA</t>
  </si>
  <si>
    <t>95 JS, 96 VM, 94 WA</t>
  </si>
  <si>
    <t>SBAVPIN2023</t>
  </si>
  <si>
    <t>SBASTE2023</t>
  </si>
  <si>
    <t>12</t>
  </si>
  <si>
    <t>750</t>
  </si>
  <si>
    <t>SBAPAT2021</t>
  </si>
  <si>
    <r>
      <t xml:space="preserve">FIANO DI AVELLINO RISERVA DOCG </t>
    </r>
    <r>
      <rPr>
        <b/>
        <i/>
        <sz val="8"/>
        <rFont val="Arial"/>
        <family val="2"/>
      </rPr>
      <t>TOGNANO</t>
    </r>
    <r>
      <rPr>
        <sz val="8"/>
        <rFont val="Arial"/>
        <family val="2"/>
      </rPr>
      <t xml:space="preserve"> 2019</t>
    </r>
  </si>
  <si>
    <r>
      <t xml:space="preserve">BRUNELLO DI MONTALCINO DOCG </t>
    </r>
    <r>
      <rPr>
        <b/>
        <i/>
        <sz val="8"/>
        <rFont val="Arial"/>
        <family val="2"/>
      </rPr>
      <t>PIANROSSO</t>
    </r>
    <r>
      <rPr>
        <sz val="8"/>
        <rFont val="Arial"/>
        <family val="2"/>
      </rPr>
      <t xml:space="preserve"> 2017</t>
    </r>
  </si>
  <si>
    <t>TSMMER2019</t>
  </si>
  <si>
    <t>CTONOV2013</t>
  </si>
  <si>
    <t>COTERO2022</t>
  </si>
  <si>
    <t>EPABMI2020</t>
  </si>
  <si>
    <t>EPABVN2020</t>
  </si>
  <si>
    <t>NERO DI TROIA  IGT 2022</t>
  </si>
  <si>
    <t>INGNDT2022</t>
  </si>
  <si>
    <t>LSABBI2021</t>
  </si>
  <si>
    <t>LSABBI2021A</t>
  </si>
  <si>
    <t>LSABGA2021</t>
  </si>
  <si>
    <t>LSABSI2021</t>
  </si>
  <si>
    <r>
      <t xml:space="preserve">BARBARESCO DOCG </t>
    </r>
    <r>
      <rPr>
        <b/>
        <i/>
        <sz val="8"/>
        <rFont val="Arial"/>
        <family val="2"/>
      </rPr>
      <t>STARDERI</t>
    </r>
    <r>
      <rPr>
        <sz val="8"/>
        <rFont val="Arial"/>
        <family val="2"/>
      </rPr>
      <t xml:space="preserve"> 2006</t>
    </r>
  </si>
  <si>
    <r>
      <t xml:space="preserve">BARBARESCO DOCG </t>
    </r>
    <r>
      <rPr>
        <b/>
        <i/>
        <sz val="8"/>
        <rFont val="Arial"/>
        <family val="2"/>
      </rPr>
      <t>STARDERI</t>
    </r>
    <r>
      <rPr>
        <sz val="8"/>
        <rFont val="Arial"/>
        <family val="2"/>
      </rPr>
      <t xml:space="preserve"> 2007</t>
    </r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</si>
  <si>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>2008</t>
    </r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</si>
  <si>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>2009</t>
    </r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</si>
  <si>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>2011</t>
    </r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</si>
  <si>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>2012</t>
    </r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</si>
  <si>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>2020</t>
    </r>
  </si>
  <si>
    <r>
      <t xml:space="preserve">BARBARESCO DOCG </t>
    </r>
    <r>
      <rPr>
        <b/>
        <i/>
        <sz val="8"/>
        <rFont val="Arial"/>
        <family val="2"/>
      </rPr>
      <t>GALLINA</t>
    </r>
    <r>
      <rPr>
        <sz val="8"/>
        <rFont val="Arial"/>
        <family val="2"/>
      </rPr>
      <t xml:space="preserve"> 2020</t>
    </r>
  </si>
  <si>
    <r>
      <t xml:space="preserve">BARBARESCO DOCG </t>
    </r>
    <r>
      <rPr>
        <b/>
        <i/>
        <sz val="8"/>
        <rFont val="Arial"/>
        <family val="2"/>
      </rPr>
      <t>GALLINA</t>
    </r>
    <r>
      <rPr>
        <sz val="8"/>
        <rFont val="Arial"/>
        <family val="2"/>
      </rPr>
      <t xml:space="preserve"> 2007</t>
    </r>
  </si>
  <si>
    <t>LSABVO2021</t>
  </si>
  <si>
    <t>LSABGI2020</t>
  </si>
  <si>
    <r>
      <t xml:space="preserve">BAROLO DOCG </t>
    </r>
    <r>
      <rPr>
        <b/>
        <i/>
        <sz val="8"/>
        <rFont val="Arial"/>
        <family val="2"/>
      </rPr>
      <t xml:space="preserve">GARRETTI </t>
    </r>
    <r>
      <rPr>
        <sz val="8"/>
        <rFont val="Arial"/>
        <family val="2"/>
      </rPr>
      <t>2020</t>
    </r>
  </si>
  <si>
    <t>LSABGI2020A</t>
  </si>
  <si>
    <r>
      <t xml:space="preserve">BARBARESCO RISERVA DOCG </t>
    </r>
    <r>
      <rPr>
        <b/>
        <i/>
        <sz val="8"/>
        <color rgb="FF0000FF"/>
        <rFont val="Arial"/>
        <family val="2"/>
      </rPr>
      <t>VALEIRANO</t>
    </r>
    <r>
      <rPr>
        <sz val="8"/>
        <color rgb="FF0000FF"/>
        <rFont val="Arial"/>
        <family val="2"/>
      </rPr>
      <t xml:space="preserve"> 2010 1500ml</t>
    </r>
  </si>
  <si>
    <r>
      <t xml:space="preserve">BARBARESCO DOCG </t>
    </r>
    <r>
      <rPr>
        <b/>
        <i/>
        <sz val="8"/>
        <rFont val="Arial"/>
        <family val="2"/>
      </rPr>
      <t>VALEIRANO</t>
    </r>
    <r>
      <rPr>
        <sz val="8"/>
        <rFont val="Arial"/>
        <family val="2"/>
      </rPr>
      <t xml:space="preserve"> 2020</t>
    </r>
  </si>
  <si>
    <r>
      <t xml:space="preserve">BARBARESCO DOCG </t>
    </r>
    <r>
      <rPr>
        <b/>
        <i/>
        <sz val="8"/>
        <rFont val="Arial"/>
        <family val="2"/>
      </rPr>
      <t>VALEIRANO</t>
    </r>
    <r>
      <rPr>
        <sz val="8"/>
        <rFont val="Arial"/>
        <family val="2"/>
      </rPr>
      <t xml:space="preserve"> 2019</t>
    </r>
  </si>
  <si>
    <r>
      <t xml:space="preserve">BARBARESCO DOCG </t>
    </r>
    <r>
      <rPr>
        <b/>
        <i/>
        <sz val="8"/>
        <rFont val="Arial"/>
        <family val="2"/>
      </rPr>
      <t>VALEIRANO</t>
    </r>
    <r>
      <rPr>
        <sz val="8"/>
        <rFont val="Arial"/>
        <family val="2"/>
      </rPr>
      <t xml:space="preserve"> 2013</t>
    </r>
  </si>
  <si>
    <r>
      <t xml:space="preserve">BARBARESCO DOCG </t>
    </r>
    <r>
      <rPr>
        <b/>
        <i/>
        <sz val="8"/>
        <rFont val="Arial"/>
        <family val="2"/>
      </rPr>
      <t xml:space="preserve">VALEIRANO </t>
    </r>
    <r>
      <rPr>
        <sz val="8"/>
        <rFont val="Arial"/>
        <family val="2"/>
      </rPr>
      <t>2009</t>
    </r>
  </si>
  <si>
    <r>
      <t xml:space="preserve">BARBARESCO DOCG </t>
    </r>
    <r>
      <rPr>
        <b/>
        <i/>
        <sz val="8"/>
        <rFont val="Arial"/>
        <family val="2"/>
      </rPr>
      <t>VALEIRANO</t>
    </r>
    <r>
      <rPr>
        <sz val="8"/>
        <rFont val="Arial"/>
        <family val="2"/>
      </rPr>
      <t xml:space="preserve"> 2008</t>
    </r>
  </si>
  <si>
    <r>
      <t xml:space="preserve">BARBARESCO DOCG </t>
    </r>
    <r>
      <rPr>
        <b/>
        <i/>
        <sz val="8"/>
        <rFont val="Arial"/>
        <family val="2"/>
      </rPr>
      <t xml:space="preserve">VALEIRANO </t>
    </r>
    <r>
      <rPr>
        <sz val="8"/>
        <rFont val="Arial"/>
        <family val="2"/>
      </rPr>
      <t>2006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</si>
  <si>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2010 1500ml</t>
    </r>
  </si>
  <si>
    <r>
      <t xml:space="preserve">BARBARESCO DOCG </t>
    </r>
    <r>
      <rPr>
        <b/>
        <i/>
        <sz val="8"/>
        <color theme="9" tint="-0.249977111117893"/>
        <rFont val="Arial"/>
        <family val="2"/>
      </rPr>
      <t xml:space="preserve">STARDERI </t>
    </r>
    <r>
      <rPr>
        <b/>
        <sz val="8"/>
        <color theme="9" tint="-0.249977111117893"/>
        <rFont val="Arial"/>
        <family val="2"/>
      </rPr>
      <t>- VERTICAL PACK 06, 07, 08</t>
    </r>
  </si>
  <si>
    <r>
      <t xml:space="preserve">BAROLO DOCG </t>
    </r>
    <r>
      <rPr>
        <b/>
        <i/>
        <sz val="8"/>
        <color rgb="FF0000FF"/>
        <rFont val="Arial"/>
        <family val="2"/>
      </rPr>
      <t xml:space="preserve">GARRETTI </t>
    </r>
    <r>
      <rPr>
        <sz val="8"/>
        <color rgb="FF0000FF"/>
        <rFont val="Arial"/>
        <family val="2"/>
      </rPr>
      <t>2020 375ml</t>
    </r>
  </si>
  <si>
    <t>LSABCE2020</t>
  </si>
  <si>
    <t>OETPRIN2018</t>
  </si>
  <si>
    <r>
      <t>SICILIA BIANCO DOC CATARRATTO</t>
    </r>
    <r>
      <rPr>
        <b/>
        <i/>
        <sz val="8"/>
        <rFont val="Arial"/>
        <family val="2"/>
      </rPr>
      <t xml:space="preserve"> BARBAZZALE</t>
    </r>
    <r>
      <rPr>
        <sz val="8"/>
        <rFont val="Arial"/>
        <family val="2"/>
      </rPr>
      <t xml:space="preserve">  2022 </t>
    </r>
  </si>
  <si>
    <r>
      <t xml:space="preserve">BAROLO DOCG </t>
    </r>
    <r>
      <rPr>
        <b/>
        <i/>
        <sz val="8"/>
        <rFont val="Arial"/>
        <family val="2"/>
      </rPr>
      <t>CAMPÈ</t>
    </r>
    <r>
      <rPr>
        <sz val="8"/>
        <rFont val="Arial"/>
        <family val="2"/>
      </rPr>
      <t xml:space="preserve"> 2005</t>
    </r>
  </si>
  <si>
    <r>
      <t xml:space="preserve">BAROLO DOCG </t>
    </r>
    <r>
      <rPr>
        <b/>
        <i/>
        <sz val="8"/>
        <rFont val="Arial"/>
        <family val="2"/>
      </rPr>
      <t>CAMPÈ</t>
    </r>
    <r>
      <rPr>
        <sz val="8"/>
        <rFont val="Arial"/>
        <family val="2"/>
      </rPr>
      <t xml:space="preserve"> 2006</t>
    </r>
  </si>
  <si>
    <r>
      <t xml:space="preserve">BAROLO DOCG </t>
    </r>
    <r>
      <rPr>
        <b/>
        <i/>
        <sz val="8"/>
        <rFont val="Arial"/>
        <family val="2"/>
      </rPr>
      <t>CAMPÈ</t>
    </r>
    <r>
      <rPr>
        <sz val="8"/>
        <rFont val="Arial"/>
        <family val="2"/>
      </rPr>
      <t xml:space="preserve"> 2007</t>
    </r>
  </si>
  <si>
    <r>
      <t xml:space="preserve">BAROLO DOCG </t>
    </r>
    <r>
      <rPr>
        <b/>
        <i/>
        <sz val="8"/>
        <rFont val="Arial"/>
        <family val="2"/>
      </rPr>
      <t xml:space="preserve">CAMPÈ </t>
    </r>
    <r>
      <rPr>
        <sz val="8"/>
        <rFont val="Arial"/>
        <family val="2"/>
      </rPr>
      <t>2009</t>
    </r>
  </si>
  <si>
    <r>
      <t xml:space="preserve">BAROLO DOCG </t>
    </r>
    <r>
      <rPr>
        <b/>
        <i/>
        <sz val="8"/>
        <rFont val="Arial"/>
        <family val="2"/>
      </rPr>
      <t>CAMPÈ</t>
    </r>
    <r>
      <rPr>
        <sz val="8"/>
        <rFont val="Arial"/>
        <family val="2"/>
      </rPr>
      <t xml:space="preserve"> 2020</t>
    </r>
  </si>
  <si>
    <r>
      <t xml:space="preserve">BAROLO RISERVA DOCG </t>
    </r>
    <r>
      <rPr>
        <b/>
        <i/>
        <sz val="8"/>
        <color rgb="FF0000FF"/>
        <rFont val="Arial"/>
        <family val="2"/>
      </rPr>
      <t xml:space="preserve">CAMPÈ </t>
    </r>
    <r>
      <rPr>
        <sz val="8"/>
        <color rgb="FF0000FF"/>
        <rFont val="Arial"/>
        <family val="2"/>
      </rPr>
      <t>2010 1500ml</t>
    </r>
  </si>
  <si>
    <t>93 JS, 93 WE + EDITOR'S CHOICE, 93 WA</t>
  </si>
  <si>
    <t>CLICCHA2023</t>
  </si>
  <si>
    <t>CLICCAB2023</t>
  </si>
  <si>
    <t>INGNER2022</t>
  </si>
  <si>
    <t>CLICBIA2023</t>
  </si>
  <si>
    <t>LSANCA2020</t>
  </si>
  <si>
    <t>LSACRA2020</t>
  </si>
  <si>
    <t>TSMSUP2022</t>
  </si>
  <si>
    <t>VDLRIB2023</t>
  </si>
  <si>
    <t>min DI order 120cs</t>
  </si>
  <si>
    <t>RDTPGI2023</t>
  </si>
  <si>
    <t>91 FM</t>
  </si>
  <si>
    <t>TSMREC2021</t>
  </si>
  <si>
    <t>DI 
FOB (CS)</t>
  </si>
  <si>
    <t xml:space="preserve">NJ 
FOB (CS) </t>
  </si>
  <si>
    <t>QTY DEAL (CS)</t>
  </si>
  <si>
    <t>MIN QTY (CS)</t>
  </si>
  <si>
    <t>RDPTSI2020</t>
  </si>
  <si>
    <r>
      <t xml:space="preserve">TAURASI DOCG </t>
    </r>
    <r>
      <rPr>
        <b/>
        <i/>
        <sz val="8"/>
        <rFont val="Arial"/>
        <family val="2"/>
      </rPr>
      <t xml:space="preserve">AURELIA </t>
    </r>
    <r>
      <rPr>
        <sz val="8"/>
        <rFont val="Arial"/>
        <family val="2"/>
      </rPr>
      <t>2020</t>
    </r>
    <r>
      <rPr>
        <sz val="11"/>
        <color theme="1"/>
        <rFont val="Calibri"/>
        <family val="2"/>
        <scheme val="minor"/>
      </rPr>
      <t/>
    </r>
  </si>
  <si>
    <t>stateside special order</t>
  </si>
  <si>
    <t>CCOLBO2023</t>
  </si>
  <si>
    <t>INGPRO2023</t>
  </si>
  <si>
    <t>RDPALO2022</t>
  </si>
  <si>
    <t>SBAMOS2019</t>
  </si>
  <si>
    <t>96 VM, 96 JS, 95 WA</t>
  </si>
  <si>
    <r>
      <t xml:space="preserve">CHIANTI RISERVA DOCG </t>
    </r>
    <r>
      <rPr>
        <b/>
        <i/>
        <sz val="8"/>
        <rFont val="Arial"/>
        <family val="2"/>
      </rPr>
      <t xml:space="preserve">CASANOVA </t>
    </r>
    <r>
      <rPr>
        <sz val="8"/>
        <rFont val="Arial"/>
        <family val="2"/>
      </rPr>
      <t xml:space="preserve">2020 </t>
    </r>
  </si>
  <si>
    <r>
      <t xml:space="preserve">BAROLO DOCG </t>
    </r>
    <r>
      <rPr>
        <b/>
        <i/>
        <sz val="8"/>
        <rFont val="Arial"/>
        <family val="2"/>
      </rPr>
      <t xml:space="preserve">MOSCONI </t>
    </r>
    <r>
      <rPr>
        <sz val="8"/>
        <rFont val="Arial"/>
        <family val="2"/>
      </rPr>
      <t xml:space="preserve">2020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</si>
  <si>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BAROLO DOCG </t>
    </r>
    <r>
      <rPr>
        <b/>
        <i/>
        <sz val="8"/>
        <rFont val="Arial"/>
        <family val="2"/>
      </rPr>
      <t>VIA NUOVA</t>
    </r>
    <r>
      <rPr>
        <sz val="8"/>
        <rFont val="Arial"/>
        <family val="2"/>
      </rPr>
      <t xml:space="preserve"> 2020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</si>
  <si>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BARBARESCO DOCG </t>
    </r>
    <r>
      <rPr>
        <b/>
        <i/>
        <sz val="8"/>
        <rFont val="Arial"/>
        <family val="2"/>
      </rPr>
      <t xml:space="preserve">GALLINA </t>
    </r>
    <r>
      <rPr>
        <sz val="8"/>
        <rFont val="Arial"/>
        <family val="2"/>
      </rPr>
      <t>2021</t>
    </r>
    <r>
      <rPr>
        <i/>
        <sz val="7"/>
        <color rgb="FFFF0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</si>
  <si>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 xml:space="preserve">2021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</si>
  <si>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BARBARESCO DOCG </t>
    </r>
    <r>
      <rPr>
        <b/>
        <i/>
        <sz val="8"/>
        <rFont val="Arial"/>
        <family val="2"/>
      </rPr>
      <t>VALEIRANO</t>
    </r>
    <r>
      <rPr>
        <sz val="8"/>
        <rFont val="Arial"/>
        <family val="2"/>
      </rPr>
      <t xml:space="preserve"> 2021 </t>
    </r>
    <r>
      <rPr>
        <b/>
        <i/>
        <sz val="7"/>
        <color rgb="FF008000"/>
        <rFont val="Arial"/>
        <family val="2"/>
      </rPr>
      <t>(made with organic grapes)</t>
    </r>
  </si>
  <si>
    <t>LA SPINETTA - CASANOVA DELLA SPINETTA (TUSCANY)</t>
  </si>
  <si>
    <t>CONTRATTO SPARKLING - PIEDMONT (METODO CLASSICO)</t>
  </si>
  <si>
    <t>COTTANERA - SICILY  (ETNA)</t>
  </si>
  <si>
    <t>RECIOTO DELLA VALPOLICELLA CLASSICO DOCG 2021</t>
  </si>
  <si>
    <t>CPIRDM2023</t>
  </si>
  <si>
    <t>ROSSO DI MONTALCINO DOC 2023</t>
  </si>
  <si>
    <t>LSAROE2021</t>
  </si>
  <si>
    <t>LSATMO2023</t>
  </si>
  <si>
    <r>
      <t xml:space="preserve">AGLIANICO IRPINIA DOC </t>
    </r>
    <r>
      <rPr>
        <b/>
        <i/>
        <sz val="8"/>
        <rFont val="Arial"/>
        <family val="2"/>
      </rPr>
      <t>LE CAMPORE 1870</t>
    </r>
    <r>
      <rPr>
        <sz val="8"/>
        <rFont val="Arial"/>
        <family val="2"/>
      </rPr>
      <t xml:space="preserve"> 2022</t>
    </r>
  </si>
  <si>
    <t>RDTFRU2023</t>
  </si>
  <si>
    <t>SBALEV2023</t>
  </si>
  <si>
    <r>
      <t xml:space="preserve">VERDICCHIO DEI CASTELLI DI JESI CLASSICO DOC </t>
    </r>
    <r>
      <rPr>
        <b/>
        <i/>
        <sz val="8"/>
        <rFont val="Arial"/>
        <family val="2"/>
      </rPr>
      <t>LE VAGLIE</t>
    </r>
    <r>
      <rPr>
        <sz val="8"/>
        <rFont val="Arial"/>
        <family val="2"/>
      </rPr>
      <t xml:space="preserve"> 2023</t>
    </r>
  </si>
  <si>
    <t>VDLREF2023</t>
  </si>
  <si>
    <r>
      <t xml:space="preserve">VERDICCHIO DEI CASTELLI DI JESI CLASSICO RISERVA DOCG </t>
    </r>
    <r>
      <rPr>
        <b/>
        <i/>
        <sz val="8"/>
        <rFont val="Arial"/>
        <family val="2"/>
      </rPr>
      <t xml:space="preserve">TARDIVO MA NON TARDO </t>
    </r>
    <r>
      <rPr>
        <sz val="8"/>
        <rFont val="Arial"/>
        <family val="2"/>
      </rPr>
      <t>2021</t>
    </r>
  </si>
  <si>
    <t>SBATAR2021</t>
  </si>
  <si>
    <t>91 VM, 92 JS</t>
  </si>
  <si>
    <t xml:space="preserve">CLIC - FRIULI </t>
  </si>
  <si>
    <t>BTODOCG23</t>
  </si>
  <si>
    <t>CPIBDM2020</t>
  </si>
  <si>
    <t>BRUNELLO DI MONTALCINO DOCG 2020</t>
  </si>
  <si>
    <t>CPIBDM2020A</t>
  </si>
  <si>
    <t>BRUNELLO DI MONTALCINO DOCG 2020 375ml</t>
  </si>
  <si>
    <t>CPIBVP2020</t>
  </si>
  <si>
    <t>CPIBVP2020C</t>
  </si>
  <si>
    <t>CPIBVP2020D</t>
  </si>
  <si>
    <t>CPIBVP2020E</t>
  </si>
  <si>
    <t>CPIBRA2019C</t>
  </si>
  <si>
    <t>COTFEUR2021</t>
  </si>
  <si>
    <t>COTCALB2023</t>
  </si>
  <si>
    <t>EPABCI2021</t>
  </si>
  <si>
    <t>EPABCI2021C</t>
  </si>
  <si>
    <t>EPABMI2021</t>
  </si>
  <si>
    <t>EPABMI2021C</t>
  </si>
  <si>
    <t>EPABVN2021</t>
  </si>
  <si>
    <t>EPABVN2021C</t>
  </si>
  <si>
    <t>EPABVN2021D</t>
  </si>
  <si>
    <t>INGROSE2023</t>
  </si>
  <si>
    <r>
      <t xml:space="preserve">PROSECCO ROSÉ DOC BRUT </t>
    </r>
    <r>
      <rPr>
        <b/>
        <i/>
        <sz val="8"/>
        <rFont val="Arial"/>
        <family val="2"/>
      </rPr>
      <t xml:space="preserve">MILLESIMATO </t>
    </r>
    <r>
      <rPr>
        <sz val="8"/>
        <rFont val="Arial"/>
        <family val="2"/>
      </rPr>
      <t>2023</t>
    </r>
  </si>
  <si>
    <r>
      <t xml:space="preserve">VERDICCHIO DEI CASTELLI DI JESI DOC </t>
    </r>
    <r>
      <rPr>
        <b/>
        <i/>
        <sz val="8"/>
        <rFont val="Arial"/>
        <family val="2"/>
      </rPr>
      <t>PIGNOCCO</t>
    </r>
    <r>
      <rPr>
        <sz val="8"/>
        <rFont val="Arial"/>
        <family val="2"/>
      </rPr>
      <t xml:space="preserve"> 2023</t>
    </r>
    <r>
      <rPr>
        <sz val="8"/>
        <color rgb="FFC000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 xml:space="preserve">(screw cap)  </t>
    </r>
    <r>
      <rPr>
        <i/>
        <sz val="8"/>
        <rFont val="Arial"/>
        <family val="2"/>
      </rPr>
      <t xml:space="preserve">  </t>
    </r>
    <r>
      <rPr>
        <sz val="8"/>
        <rFont val="Arial"/>
        <family val="2"/>
      </rPr>
      <t xml:space="preserve">      </t>
    </r>
  </si>
  <si>
    <r>
      <t>VERONA ROSSO IGT</t>
    </r>
    <r>
      <rPr>
        <b/>
        <i/>
        <sz val="8"/>
        <rFont val="Arial"/>
        <family val="2"/>
      </rPr>
      <t xml:space="preserve"> DECIMA AUREA</t>
    </r>
    <r>
      <rPr>
        <sz val="8"/>
        <rFont val="Arial"/>
        <family val="2"/>
      </rPr>
      <t xml:space="preserve"> 2019 </t>
    </r>
    <r>
      <rPr>
        <i/>
        <sz val="7"/>
        <color rgb="FFC00000"/>
        <rFont val="Arial"/>
        <family val="2"/>
      </rPr>
      <t xml:space="preserve">(100% Merlot - 40% appassimento)  </t>
    </r>
  </si>
  <si>
    <t>OETMCO2019</t>
  </si>
  <si>
    <t>RDPFNO2023</t>
  </si>
  <si>
    <t>FIANO DI AVELLINO DOCG 2023</t>
  </si>
  <si>
    <r>
      <t xml:space="preserve">FIANO DI AVELLINO RISERVA DOCG </t>
    </r>
    <r>
      <rPr>
        <b/>
        <i/>
        <sz val="8"/>
        <rFont val="Arial"/>
        <family val="2"/>
      </rPr>
      <t>NEVIERA DI SOPRA</t>
    </r>
    <r>
      <rPr>
        <sz val="8"/>
        <rFont val="Arial"/>
        <family val="2"/>
      </rPr>
      <t xml:space="preserve"> 2021</t>
    </r>
  </si>
  <si>
    <t>RDPFNS2021</t>
  </si>
  <si>
    <t>CTORBT2020</t>
  </si>
  <si>
    <t>CTOEPD2019C</t>
  </si>
  <si>
    <t>CTOEPD2020</t>
  </si>
  <si>
    <t>BLANC DE BLANCS PAS DOSÉ ALTA LANGA DOCG 2018</t>
  </si>
  <si>
    <t>BLANC DE BLANCS PAS DOSÉ ALTA LANGA DOCG 2019</t>
  </si>
  <si>
    <t>LSAROE2024</t>
  </si>
  <si>
    <t>LSAVMO2024</t>
  </si>
  <si>
    <t>LSANCA2021A</t>
  </si>
  <si>
    <t>LSAMBQ2024A</t>
  </si>
  <si>
    <t>LSAORO2016B</t>
  </si>
  <si>
    <r>
      <t xml:space="preserve">MOSCATO </t>
    </r>
    <r>
      <rPr>
        <b/>
        <i/>
        <sz val="8"/>
        <color rgb="FF0000FF"/>
        <rFont val="Arial"/>
        <family val="2"/>
      </rPr>
      <t>PASSITO ORO</t>
    </r>
    <r>
      <rPr>
        <sz val="8"/>
        <color rgb="FF0000FF"/>
        <rFont val="Arial"/>
        <family val="2"/>
      </rPr>
      <t xml:space="preserve"> DOC 2016 500ml</t>
    </r>
  </si>
  <si>
    <t>LSALBO2022</t>
  </si>
  <si>
    <t>LSABCP2022</t>
  </si>
  <si>
    <t>LSABCP2022A</t>
  </si>
  <si>
    <t>LSABAB2020</t>
  </si>
  <si>
    <t>LSABAB2021</t>
  </si>
  <si>
    <t>LSABAG2021</t>
  </si>
  <si>
    <t>LSALNO2023C</t>
  </si>
  <si>
    <t>LSAPIN2021</t>
  </si>
  <si>
    <t>LSAPIN2021C</t>
  </si>
  <si>
    <t>LSABBI2022</t>
  </si>
  <si>
    <t>LSABBI2022A</t>
  </si>
  <si>
    <t>LSABGA2022</t>
  </si>
  <si>
    <t>LSABGAVERT060708</t>
  </si>
  <si>
    <t>LSABGAVERT050607</t>
  </si>
  <si>
    <t>LSABGA2003C</t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</si>
  <si>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GALLINA </t>
    </r>
    <r>
      <rPr>
        <sz val="8"/>
        <color rgb="FF0000FF"/>
        <rFont val="Arial"/>
        <family val="2"/>
      </rPr>
      <t>2003 1500ml</t>
    </r>
  </si>
  <si>
    <t>LSABGA2004C</t>
  </si>
  <si>
    <t>LSABGA2005C</t>
  </si>
  <si>
    <t>LSABGA2006C</t>
  </si>
  <si>
    <t>LSABGA2011C</t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</si>
  <si>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GALLINA </t>
    </r>
    <r>
      <rPr>
        <sz val="8"/>
        <color rgb="FF0000FF"/>
        <rFont val="Arial"/>
        <family val="2"/>
      </rPr>
      <t>2004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</si>
  <si>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GALLINA </t>
    </r>
    <r>
      <rPr>
        <sz val="8"/>
        <color rgb="FF0000FF"/>
        <rFont val="Arial"/>
        <family val="2"/>
      </rPr>
      <t>2005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</si>
  <si>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GALLINA </t>
    </r>
    <r>
      <rPr>
        <sz val="8"/>
        <color rgb="FF0000FF"/>
        <rFont val="Arial"/>
        <family val="2"/>
      </rPr>
      <t>2006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</si>
  <si>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GALLINA </t>
    </r>
    <r>
      <rPr>
        <sz val="8"/>
        <color rgb="FF0000FF"/>
        <rFont val="Arial"/>
        <family val="2"/>
      </rPr>
      <t>2011 1500ml</t>
    </r>
  </si>
  <si>
    <t>LSABSI2022</t>
  </si>
  <si>
    <t>LSABSIVERT060708</t>
  </si>
  <si>
    <t>LSABSI2003C</t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</si>
  <si>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2003 1500ml</t>
    </r>
  </si>
  <si>
    <t>LSABSI2004C</t>
  </si>
  <si>
    <t>LSABSI2005C</t>
  </si>
  <si>
    <t>LSABSI2006C</t>
  </si>
  <si>
    <t>LSABSI2008C</t>
  </si>
  <si>
    <t>LSABSI2009C</t>
  </si>
  <si>
    <t>LSABSI2011C</t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</si>
  <si>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2004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</si>
  <si>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2005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</si>
  <si>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2006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</si>
  <si>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2008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</si>
  <si>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2009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</si>
  <si>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 xml:space="preserve">STARDERI </t>
    </r>
    <r>
      <rPr>
        <sz val="8"/>
        <color rgb="FF0000FF"/>
        <rFont val="Arial"/>
        <family val="2"/>
      </rPr>
      <t>2011 1500ml</t>
    </r>
  </si>
  <si>
    <t>LSABVO2022</t>
  </si>
  <si>
    <t>LSABVOVERT060708</t>
  </si>
  <si>
    <t>LSABVOVERT070809</t>
  </si>
  <si>
    <t>LSABVO2003C</t>
  </si>
  <si>
    <r>
      <t xml:space="preserve">BARBARESCO RISERVA DOCG </t>
    </r>
    <r>
      <rPr>
        <b/>
        <i/>
        <sz val="8"/>
        <color rgb="FF0000FF"/>
        <rFont val="Arial"/>
        <family val="2"/>
      </rPr>
      <t>VALEIRANO</t>
    </r>
    <r>
      <rPr>
        <sz val="8"/>
        <color rgb="FF0000FF"/>
        <rFont val="Arial"/>
        <family val="2"/>
      </rPr>
      <t xml:space="preserve"> 2003 1500ml</t>
    </r>
  </si>
  <si>
    <t>LSABVO2005C</t>
  </si>
  <si>
    <t>LSABVO2006C</t>
  </si>
  <si>
    <t>LSABVO2011C</t>
  </si>
  <si>
    <r>
      <t xml:space="preserve">BARBARESCO RISERVA DOCG </t>
    </r>
    <r>
      <rPr>
        <b/>
        <i/>
        <sz val="8"/>
        <color rgb="FF0000FF"/>
        <rFont val="Arial"/>
        <family val="2"/>
      </rPr>
      <t>VALEIRANO</t>
    </r>
    <r>
      <rPr>
        <sz val="8"/>
        <color rgb="FF0000FF"/>
        <rFont val="Arial"/>
        <family val="2"/>
      </rPr>
      <t xml:space="preserve"> 2005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</si>
  <si>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>VALEIRANO</t>
    </r>
    <r>
      <rPr>
        <sz val="8"/>
        <color rgb="FF0000FF"/>
        <rFont val="Arial"/>
        <family val="2"/>
      </rPr>
      <t xml:space="preserve"> 2006 1500ml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</si>
  <si>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>VALEIRANO</t>
    </r>
    <r>
      <rPr>
        <sz val="8"/>
        <color rgb="FF0000FF"/>
        <rFont val="Arial"/>
        <family val="2"/>
      </rPr>
      <t xml:space="preserve"> 2011 1500ml</t>
    </r>
  </si>
  <si>
    <t>LSABGI2021</t>
  </si>
  <si>
    <t>LSABGI2021A</t>
  </si>
  <si>
    <t>LSABGI2021C</t>
  </si>
  <si>
    <t>LSABCE2021</t>
  </si>
  <si>
    <r>
      <t xml:space="preserve">BAROLO DOCG </t>
    </r>
    <r>
      <rPr>
        <b/>
        <i/>
        <sz val="8"/>
        <color theme="9" tint="-0.249977111117893"/>
        <rFont val="Arial"/>
        <family val="2"/>
      </rPr>
      <t xml:space="preserve">CAMPÈ </t>
    </r>
    <r>
      <rPr>
        <b/>
        <sz val="8"/>
        <color theme="9" tint="-0.249977111117893"/>
        <rFont val="Arial"/>
        <family val="2"/>
      </rPr>
      <t>- VERTICAL PACK 04, 05, 06</t>
    </r>
  </si>
  <si>
    <r>
      <t xml:space="preserve">BAROLO DOCG </t>
    </r>
    <r>
      <rPr>
        <b/>
        <i/>
        <sz val="8"/>
        <color theme="9" tint="-0.249977111117893"/>
        <rFont val="Arial"/>
        <family val="2"/>
      </rPr>
      <t xml:space="preserve">CAMPÈ </t>
    </r>
    <r>
      <rPr>
        <b/>
        <sz val="8"/>
        <color theme="9" tint="-0.249977111117893"/>
        <rFont val="Arial"/>
        <family val="2"/>
      </rPr>
      <t>- VERTICAL PACK 05, 06, 07</t>
    </r>
  </si>
  <si>
    <t>LSABCEVERT040506</t>
  </si>
  <si>
    <t>LSABCEVERT050607</t>
  </si>
  <si>
    <t>LSABCE2003C</t>
  </si>
  <si>
    <r>
      <t xml:space="preserve">BAROLO RISERVA DOCG </t>
    </r>
    <r>
      <rPr>
        <b/>
        <i/>
        <sz val="8"/>
        <color rgb="FF0000FF"/>
        <rFont val="Arial"/>
        <family val="2"/>
      </rPr>
      <t xml:space="preserve">CAMPÈ </t>
    </r>
    <r>
      <rPr>
        <sz val="8"/>
        <color rgb="FF0000FF"/>
        <rFont val="Arial"/>
        <family val="2"/>
      </rPr>
      <t>2003 1500ml</t>
    </r>
  </si>
  <si>
    <t>LSABCE2004C</t>
  </si>
  <si>
    <t>LSABCE2005C</t>
  </si>
  <si>
    <t>LSABCE2006C</t>
  </si>
  <si>
    <t>LSABCE2007C</t>
  </si>
  <si>
    <r>
      <t xml:space="preserve">BAROLO RISERVA DOCG </t>
    </r>
    <r>
      <rPr>
        <b/>
        <i/>
        <sz val="8"/>
        <color rgb="FF0000FF"/>
        <rFont val="Arial"/>
        <family val="2"/>
      </rPr>
      <t xml:space="preserve">CAMPÈ </t>
    </r>
    <r>
      <rPr>
        <sz val="8"/>
        <color rgb="FF0000FF"/>
        <rFont val="Arial"/>
        <family val="2"/>
      </rPr>
      <t>2004 1500ml</t>
    </r>
  </si>
  <si>
    <r>
      <t xml:space="preserve">BAROLO RISERVA DOCG </t>
    </r>
    <r>
      <rPr>
        <b/>
        <i/>
        <sz val="8"/>
        <color rgb="FF0000FF"/>
        <rFont val="Arial"/>
        <family val="2"/>
      </rPr>
      <t xml:space="preserve">CAMPÈ </t>
    </r>
    <r>
      <rPr>
        <sz val="8"/>
        <color rgb="FF0000FF"/>
        <rFont val="Arial"/>
        <family val="2"/>
      </rPr>
      <t>2005 1500ml</t>
    </r>
  </si>
  <si>
    <r>
      <t xml:space="preserve">BAROLO RISERVA DOCG </t>
    </r>
    <r>
      <rPr>
        <b/>
        <i/>
        <sz val="8"/>
        <color rgb="FF0000FF"/>
        <rFont val="Arial"/>
        <family val="2"/>
      </rPr>
      <t xml:space="preserve">CAMPÈ </t>
    </r>
    <r>
      <rPr>
        <sz val="8"/>
        <color rgb="FF0000FF"/>
        <rFont val="Arial"/>
        <family val="2"/>
      </rPr>
      <t>2006 1500ml</t>
    </r>
  </si>
  <si>
    <r>
      <t xml:space="preserve">BAROLO RISERVA DOCG </t>
    </r>
    <r>
      <rPr>
        <b/>
        <i/>
        <sz val="8"/>
        <color rgb="FF0000FF"/>
        <rFont val="Arial"/>
        <family val="2"/>
      </rPr>
      <t xml:space="preserve">CAMPÈ </t>
    </r>
    <r>
      <rPr>
        <sz val="8"/>
        <color rgb="FF0000FF"/>
        <rFont val="Arial"/>
        <family val="2"/>
      </rPr>
      <t>2007 1500ml</t>
    </r>
  </si>
  <si>
    <t>CTOMLO2021D</t>
  </si>
  <si>
    <r>
      <t xml:space="preserve">BLANC DE NOIR PAS DOSÉ </t>
    </r>
    <r>
      <rPr>
        <b/>
        <i/>
        <sz val="8"/>
        <color rgb="FF0000FF"/>
        <rFont val="Arial"/>
        <family val="2"/>
      </rPr>
      <t>FOR ENGLAND</t>
    </r>
    <r>
      <rPr>
        <sz val="8"/>
        <color rgb="FF0000FF"/>
        <rFont val="Arial"/>
        <family val="2"/>
      </rPr>
      <t xml:space="preserve"> ALTA LANGA DOCG 2019 1500ml</t>
    </r>
  </si>
  <si>
    <r>
      <t xml:space="preserve">BLANC DE NOIR PAS DOSÉ </t>
    </r>
    <r>
      <rPr>
        <b/>
        <i/>
        <sz val="8"/>
        <color rgb="FF0000FF"/>
        <rFont val="Arial"/>
        <family val="2"/>
      </rPr>
      <t>FOR ENGLAND</t>
    </r>
    <r>
      <rPr>
        <sz val="8"/>
        <color rgb="FF0000FF"/>
        <rFont val="Arial"/>
        <family val="2"/>
      </rPr>
      <t xml:space="preserve"> ALTA LANGA DOCG 2018 1500ml</t>
    </r>
  </si>
  <si>
    <r>
      <t xml:space="preserve">BLANC DE NOIR PAS DOSÉ </t>
    </r>
    <r>
      <rPr>
        <b/>
        <i/>
        <sz val="8"/>
        <rFont val="Arial"/>
        <family val="2"/>
      </rPr>
      <t>FOR ENGLAND</t>
    </r>
    <r>
      <rPr>
        <sz val="8"/>
        <rFont val="Arial"/>
        <family val="2"/>
      </rPr>
      <t xml:space="preserve"> ALTA LANGA DOCG 2018</t>
    </r>
  </si>
  <si>
    <r>
      <t xml:space="preserve">BLANC DE NOIR PAS DOSÉ </t>
    </r>
    <r>
      <rPr>
        <b/>
        <i/>
        <sz val="8"/>
        <rFont val="Arial"/>
        <family val="2"/>
      </rPr>
      <t>FOR ENGLAND</t>
    </r>
    <r>
      <rPr>
        <sz val="8"/>
        <rFont val="Arial"/>
        <family val="2"/>
      </rPr>
      <t xml:space="preserve"> ALTA LANGA DOCG 2017</t>
    </r>
  </si>
  <si>
    <r>
      <t xml:space="preserve">ROSÉ PAS DOSÉ </t>
    </r>
    <r>
      <rPr>
        <b/>
        <i/>
        <sz val="8"/>
        <rFont val="Arial"/>
        <family val="2"/>
      </rPr>
      <t>FOR ENGLAND</t>
    </r>
    <r>
      <rPr>
        <sz val="8"/>
        <rFont val="Arial"/>
        <family val="2"/>
      </rPr>
      <t xml:space="preserve"> ALTA LANGA DOCG 2019</t>
    </r>
  </si>
  <si>
    <t>LSAMBQ2024</t>
  </si>
  <si>
    <t>RDTRIB2023</t>
  </si>
  <si>
    <t>RDTSAU2023</t>
  </si>
  <si>
    <t>1 on 10, 2 on 10 on 30cs, 3 on 10 on 60cs or more</t>
  </si>
  <si>
    <t>SBAPAT2018</t>
  </si>
  <si>
    <r>
      <t xml:space="preserve">VERDICCHIO DEI CASTELLI DI JESI CLASSICO SUPERIORE DOC </t>
    </r>
    <r>
      <rPr>
        <b/>
        <i/>
        <sz val="8"/>
        <rFont val="Arial"/>
        <family val="2"/>
      </rPr>
      <t>STEFANO ANTONUCCI</t>
    </r>
    <r>
      <rPr>
        <sz val="8"/>
        <rFont val="Arial"/>
        <family val="2"/>
      </rPr>
      <t xml:space="preserve"> 2022</t>
    </r>
  </si>
  <si>
    <t>SBAVDO2022</t>
  </si>
  <si>
    <t>TSMCHA2023</t>
  </si>
  <si>
    <r>
      <t xml:space="preserve">CHARDONNAY VERONA IGT </t>
    </r>
    <r>
      <rPr>
        <b/>
        <i/>
        <sz val="8"/>
        <rFont val="Arial"/>
        <family val="2"/>
      </rPr>
      <t xml:space="preserve">TORRE PIEVE  </t>
    </r>
    <r>
      <rPr>
        <sz val="8"/>
        <rFont val="Arial"/>
        <family val="2"/>
      </rPr>
      <t>2023</t>
    </r>
  </si>
  <si>
    <t>TSMRIP2021</t>
  </si>
  <si>
    <t>TSMAMAR2019</t>
  </si>
  <si>
    <t>TSMRIP2021C</t>
  </si>
  <si>
    <r>
      <t>VALPOLICELLA CLASSICO SUPERIORE RIPASSO DOC 2021 1500ml</t>
    </r>
    <r>
      <rPr>
        <sz val="8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(wood box)</t>
    </r>
  </si>
  <si>
    <t>TSMAMAR2019C</t>
  </si>
  <si>
    <t>TSMAMAR2019D</t>
  </si>
  <si>
    <t>TSMAMAR2019E</t>
  </si>
  <si>
    <r>
      <t xml:space="preserve">AMARONE DELLA VALPOLICELLA CLASSICO RISERVA DOCG 2019 </t>
    </r>
    <r>
      <rPr>
        <i/>
        <sz val="7"/>
        <color rgb="FFC00000"/>
        <rFont val="Arial"/>
        <family val="2"/>
      </rPr>
      <t>(wood box)</t>
    </r>
  </si>
  <si>
    <r>
      <t xml:space="preserve">AMARONE DELLA VALPOLICELLA CLASSICO RISERVA DOCG 2019 1500ml </t>
    </r>
    <r>
      <rPr>
        <i/>
        <sz val="7"/>
        <color rgb="FFC00000"/>
        <rFont val="Arial"/>
        <family val="2"/>
      </rPr>
      <t>(wood box)</t>
    </r>
  </si>
  <si>
    <r>
      <t xml:space="preserve">AMARONE DELLA VALPOLICELLA CLASSICO RISERVA DOCG 2019 3000ml </t>
    </r>
    <r>
      <rPr>
        <i/>
        <sz val="7"/>
        <color rgb="FFC00000"/>
        <rFont val="Arial"/>
        <family val="2"/>
      </rPr>
      <t>(wood box)</t>
    </r>
  </si>
  <si>
    <r>
      <t xml:space="preserve">AMARONE DELLA VALPOLICELLA CLASSICO RISERVA DOCG 2019 5000ml </t>
    </r>
    <r>
      <rPr>
        <i/>
        <sz val="7"/>
        <color rgb="FFC00000"/>
        <rFont val="Arial"/>
        <family val="2"/>
      </rPr>
      <t>(wood box)</t>
    </r>
  </si>
  <si>
    <t>CPIBRA2019</t>
  </si>
  <si>
    <t>PRIMITIVO DEL SALENTO IGT 2023</t>
  </si>
  <si>
    <t>LSASSO2009</t>
  </si>
  <si>
    <t>LSASZA2009</t>
  </si>
  <si>
    <t>LSABCEVERT060708</t>
  </si>
  <si>
    <t>SBAMAS2022</t>
  </si>
  <si>
    <t>TSMAMBP2007</t>
  </si>
  <si>
    <r>
      <t xml:space="preserve">PAS DOSÉ </t>
    </r>
    <r>
      <rPr>
        <b/>
        <i/>
        <sz val="8"/>
        <rFont val="Arial"/>
        <family val="2"/>
      </rPr>
      <t>CUVÉE NOVECENTO</t>
    </r>
    <r>
      <rPr>
        <sz val="8"/>
        <rFont val="Arial"/>
        <family val="2"/>
      </rPr>
      <t xml:space="preserve"> 2013</t>
    </r>
  </si>
  <si>
    <r>
      <t>CABERNET SAUVIGNON - FRIULI VENEZIA GIULIA IGT 2023</t>
    </r>
    <r>
      <rPr>
        <i/>
        <sz val="8"/>
        <color rgb="FFFF00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(100% Cabernet Sauvignon)</t>
    </r>
  </si>
  <si>
    <r>
      <t xml:space="preserve">ETNA BIANCO DOC </t>
    </r>
    <r>
      <rPr>
        <b/>
        <i/>
        <sz val="8"/>
        <rFont val="Arial"/>
        <family val="2"/>
      </rPr>
      <t>CONTRADA CALDERARA</t>
    </r>
    <r>
      <rPr>
        <sz val="8"/>
        <rFont val="Arial"/>
        <family val="2"/>
      </rPr>
      <t xml:space="preserve"> 2023 </t>
    </r>
    <r>
      <rPr>
        <i/>
        <sz val="7"/>
        <color rgb="FFC00000"/>
        <rFont val="Arial"/>
        <family val="2"/>
      </rPr>
      <t>(100% Carricante)</t>
    </r>
  </si>
  <si>
    <t>89 VM</t>
  </si>
  <si>
    <t>90 VM</t>
  </si>
  <si>
    <t>93 WA, 92 JS</t>
  </si>
  <si>
    <t xml:space="preserve">2005 - 94 WS, 94 JS / 2006 - 93 WS  /  2007 - 93 WA, 93 VM  </t>
  </si>
  <si>
    <t>2006 - 93 WS  /  2007 - 93 WA, 93 VM  /  2008 - 93 WA</t>
  </si>
  <si>
    <t>97 JS, 96 WA, 94 VM</t>
  </si>
  <si>
    <t>95 JS, 94 WA, 94 VM</t>
  </si>
  <si>
    <t>94 VM</t>
  </si>
  <si>
    <t>2006 - 93 WS, 93 WA, 93 VM /  2007 - 94 VM, 94 WA, 93 WS  /  2008 - 93+ WA</t>
  </si>
  <si>
    <t>95 WA, Gambero Rosso Tre Bicchieri</t>
  </si>
  <si>
    <t>96 WA</t>
  </si>
  <si>
    <t>97+ WA</t>
  </si>
  <si>
    <t>97 JS, 96 VM, 94 WA, 93 WS</t>
  </si>
  <si>
    <t>2006 - 91 WA, 91VM /  2007 - 94 WS, 91 JS  /  2008 -  94 VM, 92 WS</t>
  </si>
  <si>
    <t>2007 - 94 WS, 91 JS  /  2008 -  94 VM, 92 WS / 2009 - 95 JS, 93 WA</t>
  </si>
  <si>
    <t>97 WA</t>
  </si>
  <si>
    <t xml:space="preserve">2004 - 94 WS  /  2005 - 93 WS  /  2006 - 93 WA  </t>
  </si>
  <si>
    <t>2005 - 93 WS  /  2006 - 93 WA  /  2007 - 95 WA</t>
  </si>
  <si>
    <t>2006 - 93 WA  / 2007 - 95 WA  /  2009 - 95 JS, 93 WA</t>
  </si>
  <si>
    <t>96+ WA</t>
  </si>
  <si>
    <t>93+ VM</t>
  </si>
  <si>
    <t>100 Gardini Notes, 96 VM, 96 JS, 95 WA</t>
  </si>
  <si>
    <t>95 JS, 93 WS, 92 VM, 93 WA</t>
  </si>
  <si>
    <t>90 WA</t>
  </si>
  <si>
    <t>CPITRO2024</t>
  </si>
  <si>
    <t>CLICPGI2024</t>
  </si>
  <si>
    <t>CLICSAU2024</t>
  </si>
  <si>
    <r>
      <t>SAUVIGNON BLANC 2024</t>
    </r>
    <r>
      <rPr>
        <i/>
        <sz val="8"/>
        <color rgb="FFFF00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(100% Sauvignon Blanc)</t>
    </r>
  </si>
  <si>
    <t>CLICCHA2024</t>
  </si>
  <si>
    <r>
      <t>CHARDONNAY 2024</t>
    </r>
    <r>
      <rPr>
        <i/>
        <sz val="7"/>
        <color rgb="FFFF00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(100% Chardonnay)</t>
    </r>
  </si>
  <si>
    <t>CLICMER2024</t>
  </si>
  <si>
    <t>CCOBBN2016</t>
  </si>
  <si>
    <t>COTEBIA2024</t>
  </si>
  <si>
    <t>COTERZOT2020</t>
  </si>
  <si>
    <t>INGPGI2024</t>
  </si>
  <si>
    <t>LSALCY2022</t>
  </si>
  <si>
    <t>RDTCJA2020</t>
  </si>
  <si>
    <t>SBALAC2023</t>
  </si>
  <si>
    <t>LSAGEN2021</t>
  </si>
  <si>
    <t>TSMSOA2024</t>
  </si>
  <si>
    <t>VDLPGI2024</t>
  </si>
  <si>
    <t>VDLSAU2024</t>
  </si>
  <si>
    <t>VDLCHA2024</t>
  </si>
  <si>
    <t>VDLRIB2024</t>
  </si>
  <si>
    <t>VDLCAB2024</t>
  </si>
  <si>
    <t>VDLREF2024</t>
  </si>
  <si>
    <t>VDLMER2024</t>
  </si>
  <si>
    <t>LANGHE NEBBIOLO DOC 2023</t>
  </si>
  <si>
    <r>
      <t xml:space="preserve">BRUNELLO DI MONTALCINO DOCG </t>
    </r>
    <r>
      <rPr>
        <b/>
        <i/>
        <sz val="8"/>
        <rFont val="Arial"/>
        <family val="2"/>
      </rPr>
      <t>PIANROSSO</t>
    </r>
    <r>
      <rPr>
        <sz val="8"/>
        <rFont val="Arial"/>
        <family val="2"/>
      </rPr>
      <t xml:space="preserve"> 2020</t>
    </r>
  </si>
  <si>
    <r>
      <t xml:space="preserve">BRUNELLO DI MONTALCINO DOCG </t>
    </r>
    <r>
      <rPr>
        <b/>
        <i/>
        <sz val="8"/>
        <color rgb="FF0000FF"/>
        <rFont val="Arial"/>
        <family val="2"/>
      </rPr>
      <t>PIANROSSO</t>
    </r>
    <r>
      <rPr>
        <sz val="8"/>
        <color rgb="FF0000FF"/>
        <rFont val="Arial"/>
        <family val="2"/>
      </rPr>
      <t xml:space="preserve"> 2020 1500ml</t>
    </r>
  </si>
  <si>
    <r>
      <t xml:space="preserve">BAROLO DOCG </t>
    </r>
    <r>
      <rPr>
        <b/>
        <i/>
        <sz val="8"/>
        <rFont val="Arial"/>
        <family val="2"/>
      </rPr>
      <t xml:space="preserve">CANNUBI </t>
    </r>
    <r>
      <rPr>
        <sz val="8"/>
        <rFont val="Arial"/>
        <family val="2"/>
      </rPr>
      <t xml:space="preserve">2021 </t>
    </r>
    <r>
      <rPr>
        <b/>
        <i/>
        <sz val="7"/>
        <color rgb="FF008000"/>
        <rFont val="Arial"/>
        <family val="2"/>
      </rPr>
      <t xml:space="preserve">(made with organic grapes) </t>
    </r>
  </si>
  <si>
    <r>
      <t xml:space="preserve">BAROLO DOCG </t>
    </r>
    <r>
      <rPr>
        <b/>
        <i/>
        <sz val="8"/>
        <color rgb="FF0131FF"/>
        <rFont val="Arial"/>
        <family val="2"/>
      </rPr>
      <t xml:space="preserve">CANNUBI </t>
    </r>
    <r>
      <rPr>
        <sz val="8"/>
        <color rgb="FF0131FF"/>
        <rFont val="Arial"/>
        <family val="2"/>
      </rPr>
      <t xml:space="preserve">2021 1500ml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</si>
  <si>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BAROLO DOCG </t>
    </r>
    <r>
      <rPr>
        <b/>
        <i/>
        <sz val="8"/>
        <rFont val="Arial"/>
        <family val="2"/>
      </rPr>
      <t xml:space="preserve">MOSCONI </t>
    </r>
    <r>
      <rPr>
        <sz val="8"/>
        <rFont val="Arial"/>
        <family val="2"/>
      </rPr>
      <t xml:space="preserve">2021 </t>
    </r>
    <r>
      <rPr>
        <b/>
        <i/>
        <sz val="7"/>
        <color rgb="FF008000"/>
        <rFont val="Arial"/>
        <family val="2"/>
      </rPr>
      <t>(made with organic grapes)</t>
    </r>
  </si>
  <si>
    <r>
      <t>BAROLO DOCG</t>
    </r>
    <r>
      <rPr>
        <b/>
        <i/>
        <sz val="8"/>
        <color rgb="FF0000FF"/>
        <rFont val="Arial"/>
        <family val="2"/>
      </rPr>
      <t xml:space="preserve"> MOSCONI</t>
    </r>
    <r>
      <rPr>
        <sz val="8"/>
        <color rgb="FF0000FF"/>
        <rFont val="Arial"/>
        <family val="2"/>
      </rPr>
      <t xml:space="preserve"> 2021 1500ml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</si>
  <si>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BAROLO DOCG </t>
    </r>
    <r>
      <rPr>
        <b/>
        <i/>
        <sz val="8"/>
        <rFont val="Arial"/>
        <family val="2"/>
      </rPr>
      <t>VIA NUOVA</t>
    </r>
    <r>
      <rPr>
        <sz val="8"/>
        <rFont val="Arial"/>
        <family val="2"/>
      </rPr>
      <t xml:space="preserve"> 2021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</si>
  <si>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BAROLO DOCG </t>
    </r>
    <r>
      <rPr>
        <b/>
        <i/>
        <sz val="8"/>
        <color rgb="FF0000FF"/>
        <rFont val="Arial"/>
        <family val="2"/>
      </rPr>
      <t xml:space="preserve">VIA NUOVA </t>
    </r>
    <r>
      <rPr>
        <sz val="8"/>
        <color rgb="FF0000FF"/>
        <rFont val="Arial"/>
        <family val="2"/>
      </rPr>
      <t xml:space="preserve">2021 1500ml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</si>
  <si>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BAROLO DOCG </t>
    </r>
    <r>
      <rPr>
        <b/>
        <i/>
        <sz val="8"/>
        <color rgb="FF0000FF"/>
        <rFont val="Arial"/>
        <family val="2"/>
      </rPr>
      <t>VIA NUOVA</t>
    </r>
    <r>
      <rPr>
        <sz val="8"/>
        <color rgb="FF0000FF"/>
        <rFont val="Arial"/>
        <family val="2"/>
      </rPr>
      <t xml:space="preserve"> 2021 3000ml </t>
    </r>
    <r>
      <rPr>
        <b/>
        <i/>
        <sz val="7"/>
        <color rgb="FF008000"/>
        <rFont val="Arial"/>
        <family val="2"/>
      </rPr>
      <t>(made with organic grapes)</t>
    </r>
  </si>
  <si>
    <t>CPIEVO2024</t>
  </si>
  <si>
    <r>
      <t xml:space="preserve">SOAVE DOC </t>
    </r>
    <r>
      <rPr>
        <b/>
        <i/>
        <sz val="8"/>
        <rFont val="Arial"/>
        <family val="2"/>
      </rPr>
      <t>LEPIGA</t>
    </r>
    <r>
      <rPr>
        <sz val="8"/>
        <rFont val="Arial"/>
        <family val="2"/>
      </rPr>
      <t xml:space="preserve"> 2024</t>
    </r>
    <r>
      <rPr>
        <sz val="8"/>
        <color rgb="FFC00000"/>
        <rFont val="Arial"/>
        <family val="2"/>
      </rPr>
      <t xml:space="preserve"> </t>
    </r>
    <r>
      <rPr>
        <b/>
        <sz val="8"/>
        <color rgb="FFC00000"/>
        <rFont val="Arial"/>
        <family val="2"/>
      </rPr>
      <t xml:space="preserve">- - - - </t>
    </r>
    <r>
      <rPr>
        <b/>
        <i/>
        <sz val="8"/>
        <color rgb="FFC00000"/>
        <rFont val="Arial"/>
        <family val="2"/>
      </rPr>
      <t>BTG DA $8</t>
    </r>
  </si>
  <si>
    <r>
      <t xml:space="preserve">VALPOLICELLA CLASSICO SUPERIORE DOC 2022 </t>
    </r>
    <r>
      <rPr>
        <b/>
        <i/>
        <sz val="8"/>
        <color rgb="FFC00000"/>
        <rFont val="Arial"/>
        <family val="2"/>
      </rPr>
      <t>--- BTG DA $8</t>
    </r>
  </si>
  <si>
    <r>
      <t>VALPOLICELLA CLASSICO SUPERIORE RIPASSO DOC 2021</t>
    </r>
    <r>
      <rPr>
        <b/>
        <i/>
        <sz val="8"/>
        <color rgb="FFC00000"/>
        <rFont val="Arial"/>
        <family val="2"/>
      </rPr>
      <t>--- BTG DA $8</t>
    </r>
  </si>
  <si>
    <r>
      <t xml:space="preserve">BARBARESCO RISERVA DOCG </t>
    </r>
    <r>
      <rPr>
        <b/>
        <i/>
        <sz val="8"/>
        <color rgb="FF0000FF"/>
        <rFont val="Arial"/>
        <family val="2"/>
      </rPr>
      <t>BALUCHIN</t>
    </r>
    <r>
      <rPr>
        <sz val="8"/>
        <color rgb="FF0000FF"/>
        <rFont val="Arial"/>
        <family val="2"/>
      </rPr>
      <t xml:space="preserve"> 2016 1500ml</t>
    </r>
  </si>
  <si>
    <t>CCOBBN2016C</t>
  </si>
  <si>
    <t>90 WE, 89 VM</t>
  </si>
  <si>
    <t>LSANCA2021</t>
  </si>
  <si>
    <t>97 VM, 97 JS, 95 WA, 94 WS, 95 WS</t>
  </si>
  <si>
    <t>94 JS, 95 Jeb Dunnuck</t>
  </si>
  <si>
    <t>94 Jeb Dunnuck</t>
  </si>
  <si>
    <t>95 JS, 94 WA, 93 VM, 93 Jeb Dunnuck</t>
  </si>
  <si>
    <t>93 Jeb Dunnuck</t>
  </si>
  <si>
    <t>92 VM, 92 Jeb Dunnuck</t>
  </si>
  <si>
    <t>92 Jeb Dunnuck</t>
  </si>
  <si>
    <t>92 VM, 91 Jeb Dunnuck</t>
  </si>
  <si>
    <t>98 JS, 98 Gardini Notes, 96 JebDunnuck, 95 Falstaff, 94 VM, 94 Ian D'Agata, 93 WA</t>
  </si>
  <si>
    <t>100 Falstaff, 98 WineCritic.com. 95 WA, 94 VM</t>
  </si>
  <si>
    <t>93 JS, 93 WE, 92 WA, 91 Falstaff</t>
  </si>
  <si>
    <t>96 Falstaff, 95 WE, 94 JS, 94 WA, 92 VM, 91 WS, 91 Decanter</t>
  </si>
  <si>
    <t>92 VM, 92 JS, 92 WA, 91 Jeb Dunnuck, 90 WS</t>
  </si>
  <si>
    <t>96 JS, 95 Jeb Dunnuck, 94 VM, 94 WA</t>
  </si>
  <si>
    <t>94 JS, 93 WA, 92 VM</t>
  </si>
  <si>
    <t xml:space="preserve"> 94 JS, 93 WA, 92 VM</t>
  </si>
  <si>
    <t xml:space="preserve"> 93 Jeb Dunnuck, 90 VM</t>
  </si>
  <si>
    <t xml:space="preserve">93 Falstaff </t>
  </si>
  <si>
    <t xml:space="preserve">92 Falstaff </t>
  </si>
  <si>
    <t xml:space="preserve">91 VM, 91 Falstaff </t>
  </si>
  <si>
    <t xml:space="preserve">90 Falstaff </t>
  </si>
  <si>
    <t>97 JS, 96 WA, 95 VM,</t>
  </si>
  <si>
    <t>PINOT GRIGIO - COLLIO DOC 2023</t>
  </si>
  <si>
    <t>PINOT GRIGIO - COLLIO DOC 2024</t>
  </si>
  <si>
    <t>SAUVIGNON BLANC - COLLIO DOC 2024</t>
  </si>
  <si>
    <t>RIBOLLA GIALLA - FRIULI VENEZIA GIULIA IGT 2023</t>
  </si>
  <si>
    <t>RIBOLLA GIALLA - FRIULI VENEZIA GIULIA IGT 2024</t>
  </si>
  <si>
    <t>CABERNET FRANC -  ISONZO DOC 2024</t>
  </si>
  <si>
    <t>REFOSCO - FRIULI VENEZIA GIULIA IGT 2023</t>
  </si>
  <si>
    <t>REFOSCO - FRIULI VENEZIA GIULIA IGT 2024</t>
  </si>
  <si>
    <t>FRIULANO - COLLIO DOC 2024</t>
  </si>
  <si>
    <t>MERLOT - ISONZO DOC 2024</t>
  </si>
  <si>
    <t>FRIULANO - COLLIO DOC 2023</t>
  </si>
  <si>
    <t>SAUVIGNON BLANC - COLLIO DOC 2023</t>
  </si>
  <si>
    <t>SAUVIGNON BLANC - COLLIO DOC 2019</t>
  </si>
  <si>
    <r>
      <t xml:space="preserve">TOSCANA SANGIOVESE IGT </t>
    </r>
    <r>
      <rPr>
        <b/>
        <i/>
        <sz val="8"/>
        <color rgb="FF0000FF"/>
        <rFont val="Arial"/>
        <family val="2"/>
      </rPr>
      <t>IL NERO DI CASANOVA</t>
    </r>
    <r>
      <rPr>
        <sz val="8"/>
        <color rgb="FF0000FF"/>
        <rFont val="Arial"/>
        <family val="2"/>
      </rPr>
      <t xml:space="preserve"> 2021 375ml</t>
    </r>
  </si>
  <si>
    <r>
      <t xml:space="preserve">(ROSÉ) -  </t>
    </r>
    <r>
      <rPr>
        <b/>
        <i/>
        <sz val="8"/>
        <rFont val="Arial"/>
        <family val="2"/>
      </rPr>
      <t>IL ROSÉ DI CASANOVA</t>
    </r>
    <r>
      <rPr>
        <sz val="8"/>
        <rFont val="Arial"/>
        <family val="2"/>
      </rPr>
      <t xml:space="preserve"> TOSCANA IGT 2024 </t>
    </r>
    <r>
      <rPr>
        <b/>
        <i/>
        <sz val="7"/>
        <color rgb="FF008000"/>
        <rFont val="Arial"/>
        <family val="2"/>
      </rPr>
      <t>(made with organic grapes)</t>
    </r>
  </si>
  <si>
    <r>
      <t>(ROSÉ)</t>
    </r>
    <r>
      <rPr>
        <b/>
        <i/>
        <sz val="8"/>
        <color rgb="FF0000FF"/>
        <rFont val="Arial"/>
        <family val="2"/>
      </rPr>
      <t xml:space="preserve"> - IL ROSÉ DI CASANOVA </t>
    </r>
    <r>
      <rPr>
        <sz val="8"/>
        <color rgb="FF0000FF"/>
        <rFont val="Arial"/>
        <family val="2"/>
      </rPr>
      <t xml:space="preserve">TOSCANA  IGT 2021 1500 ml </t>
    </r>
    <r>
      <rPr>
        <b/>
        <i/>
        <sz val="7"/>
        <color rgb="FF008000"/>
        <rFont val="Arial"/>
        <family val="2"/>
      </rPr>
      <t>(made with organic grapes)</t>
    </r>
  </si>
  <si>
    <r>
      <t>(ROSÉ) -</t>
    </r>
    <r>
      <rPr>
        <b/>
        <i/>
        <sz val="8"/>
        <rFont val="Arial"/>
        <family val="2"/>
      </rPr>
      <t xml:space="preserve"> IL ROSÉ DI CASANOVA </t>
    </r>
    <r>
      <rPr>
        <sz val="8"/>
        <rFont val="Arial"/>
        <family val="2"/>
      </rPr>
      <t xml:space="preserve">TOSCANA  IGT 2021 </t>
    </r>
    <r>
      <rPr>
        <b/>
        <i/>
        <sz val="7"/>
        <color rgb="FF008000"/>
        <rFont val="Arial"/>
        <family val="2"/>
      </rPr>
      <t>(made with organic grapes)</t>
    </r>
  </si>
  <si>
    <r>
      <rPr>
        <sz val="8"/>
        <rFont val="Arial"/>
        <family val="2"/>
      </rPr>
      <t>TOSCANA SANGIOVESE IGT</t>
    </r>
    <r>
      <rPr>
        <i/>
        <sz val="8"/>
        <rFont val="Arial"/>
        <family val="2"/>
      </rPr>
      <t xml:space="preserve"> </t>
    </r>
    <r>
      <rPr>
        <b/>
        <i/>
        <sz val="8"/>
        <rFont val="Arial"/>
        <family val="2"/>
      </rPr>
      <t xml:space="preserve">IL NERO DI CASANOVA </t>
    </r>
    <r>
      <rPr>
        <i/>
        <sz val="8"/>
        <rFont val="Arial"/>
        <family val="2"/>
      </rPr>
      <t>2021</t>
    </r>
  </si>
  <si>
    <r>
      <t xml:space="preserve">TOSCANA ROSSO IGT </t>
    </r>
    <r>
      <rPr>
        <b/>
        <i/>
        <sz val="8"/>
        <rFont val="Arial"/>
        <family val="2"/>
      </rPr>
      <t xml:space="preserve">SASSONTINO </t>
    </r>
    <r>
      <rPr>
        <sz val="8"/>
        <rFont val="Arial"/>
        <family val="2"/>
      </rPr>
      <t xml:space="preserve">2007  </t>
    </r>
    <r>
      <rPr>
        <i/>
        <sz val="8"/>
        <color rgb="FFC00000"/>
        <rFont val="Arial"/>
        <family val="2"/>
      </rPr>
      <t>(100% Sangiovese)</t>
    </r>
  </si>
  <si>
    <r>
      <t xml:space="preserve">TOSCANA ROSSO IGT </t>
    </r>
    <r>
      <rPr>
        <b/>
        <i/>
        <sz val="8"/>
        <rFont val="Arial"/>
        <family val="2"/>
      </rPr>
      <t xml:space="preserve">SASSONTINO </t>
    </r>
    <r>
      <rPr>
        <sz val="8"/>
        <rFont val="Arial"/>
        <family val="2"/>
      </rPr>
      <t xml:space="preserve">2008  </t>
    </r>
    <r>
      <rPr>
        <i/>
        <sz val="8"/>
        <color rgb="FFC00000"/>
        <rFont val="Arial"/>
        <family val="2"/>
      </rPr>
      <t>(100% Sangiovese)</t>
    </r>
  </si>
  <si>
    <r>
      <t xml:space="preserve">TOSCANA ROSSO IGT </t>
    </r>
    <r>
      <rPr>
        <b/>
        <i/>
        <sz val="8"/>
        <rFont val="Arial"/>
        <family val="2"/>
      </rPr>
      <t xml:space="preserve">SASSONTINO </t>
    </r>
    <r>
      <rPr>
        <sz val="8"/>
        <rFont val="Arial"/>
        <family val="2"/>
      </rPr>
      <t xml:space="preserve">2009 </t>
    </r>
    <r>
      <rPr>
        <i/>
        <sz val="8"/>
        <rFont val="Arial"/>
        <family val="2"/>
      </rPr>
      <t xml:space="preserve"> </t>
    </r>
    <r>
      <rPr>
        <i/>
        <sz val="8"/>
        <color rgb="FFC00000"/>
        <rFont val="Arial"/>
        <family val="2"/>
      </rPr>
      <t>(100% Sangiovese)</t>
    </r>
  </si>
  <si>
    <t>PINOT GRIGIO - DELLE VENEZIE IGT 2024</t>
  </si>
  <si>
    <r>
      <t xml:space="preserve">PINOT GRIGIO - FRIULI VENEZIA GIULIA IGT 2024 </t>
    </r>
    <r>
      <rPr>
        <i/>
        <sz val="7"/>
        <color rgb="FFC00000"/>
        <rFont val="Arial"/>
        <family val="2"/>
      </rPr>
      <t>(100% Pinot Grigio)</t>
    </r>
  </si>
  <si>
    <r>
      <t>MERLOT - FRIULI VENEZIA GIULIA IGT 2024</t>
    </r>
    <r>
      <rPr>
        <i/>
        <sz val="8"/>
        <color rgb="FFFF00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(100% Merlot)</t>
    </r>
  </si>
  <si>
    <r>
      <rPr>
        <b/>
        <i/>
        <sz val="8"/>
        <rFont val="Arial"/>
        <family val="2"/>
      </rPr>
      <t>BIANCO</t>
    </r>
    <r>
      <rPr>
        <i/>
        <sz val="8"/>
        <rFont val="Arial"/>
        <family val="2"/>
      </rPr>
      <t xml:space="preserve"> - </t>
    </r>
    <r>
      <rPr>
        <sz val="8"/>
        <rFont val="Arial"/>
        <family val="2"/>
      </rPr>
      <t>FRIULI VENEZIA GIULIA IGT 2023</t>
    </r>
    <r>
      <rPr>
        <sz val="7"/>
        <color rgb="FF9411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(40% Chardonnay, 20% Riesling, 40% Friulano)</t>
    </r>
  </si>
  <si>
    <r>
      <t>TOSCANA ROSSO IGT</t>
    </r>
    <r>
      <rPr>
        <i/>
        <sz val="8"/>
        <rFont val="Arial"/>
        <family val="2"/>
      </rPr>
      <t xml:space="preserve"> </t>
    </r>
    <r>
      <rPr>
        <b/>
        <i/>
        <sz val="8"/>
        <rFont val="Arial"/>
        <family val="2"/>
      </rPr>
      <t xml:space="preserve">IL GENTILE DI CASANOVA </t>
    </r>
    <r>
      <rPr>
        <sz val="8"/>
        <rFont val="Arial"/>
        <family val="2"/>
      </rPr>
      <t xml:space="preserve">2021 </t>
    </r>
    <r>
      <rPr>
        <i/>
        <sz val="8"/>
        <color rgb="FFC00000"/>
        <rFont val="Arial"/>
        <family val="2"/>
      </rPr>
      <t>(100% Prugnolo Gentile)</t>
    </r>
  </si>
  <si>
    <r>
      <t xml:space="preserve">TOSCANA ROSSO IGT </t>
    </r>
    <r>
      <rPr>
        <b/>
        <i/>
        <sz val="8"/>
        <rFont val="Arial"/>
        <family val="2"/>
      </rPr>
      <t>IL COLORINO DI CASANOVA</t>
    </r>
    <r>
      <rPr>
        <sz val="8"/>
        <rFont val="Arial"/>
        <family val="2"/>
      </rPr>
      <t xml:space="preserve"> 2019  </t>
    </r>
    <r>
      <rPr>
        <i/>
        <sz val="8"/>
        <color rgb="FFC00000"/>
        <rFont val="Arial"/>
        <family val="2"/>
      </rPr>
      <t>(100% Colorino)</t>
    </r>
  </si>
  <si>
    <r>
      <t xml:space="preserve">BARBARESCO DOCG </t>
    </r>
    <r>
      <rPr>
        <b/>
        <i/>
        <sz val="8"/>
        <color theme="9" tint="-0.249977111117893"/>
        <rFont val="Arial"/>
        <family val="2"/>
      </rPr>
      <t>GALLINA</t>
    </r>
    <r>
      <rPr>
        <b/>
        <sz val="8"/>
        <color theme="9" tint="-0.249977111117893"/>
        <rFont val="Arial"/>
        <family val="2"/>
      </rPr>
      <t xml:space="preserve"> - VERTICAL PACK 05, 06, 07</t>
    </r>
  </si>
  <si>
    <r>
      <t xml:space="preserve">BARBARESCO DOCG </t>
    </r>
    <r>
      <rPr>
        <b/>
        <i/>
        <sz val="8"/>
        <color theme="9" tint="-0.249977111117893"/>
        <rFont val="Arial"/>
        <family val="2"/>
      </rPr>
      <t>GALLINA</t>
    </r>
    <r>
      <rPr>
        <b/>
        <sz val="8"/>
        <color theme="9" tint="-0.249977111117893"/>
        <rFont val="Arial"/>
        <family val="2"/>
      </rPr>
      <t xml:space="preserve"> - VERTICAL PACK 06, 07, 08 </t>
    </r>
  </si>
  <si>
    <r>
      <t xml:space="preserve">BARBARESCO DOCG </t>
    </r>
    <r>
      <rPr>
        <b/>
        <i/>
        <sz val="8"/>
        <color theme="9" tint="-0.249977111117893"/>
        <rFont val="Arial"/>
        <family val="2"/>
      </rPr>
      <t>VALEIRANO</t>
    </r>
    <r>
      <rPr>
        <b/>
        <sz val="8"/>
        <color theme="9" tint="-0.249977111117893"/>
        <rFont val="Arial"/>
        <family val="2"/>
      </rPr>
      <t xml:space="preserve"> - VERTICAL PACK 06, 07, 08</t>
    </r>
  </si>
  <si>
    <r>
      <t xml:space="preserve">BARBARESCO DOCG </t>
    </r>
    <r>
      <rPr>
        <b/>
        <i/>
        <sz val="8"/>
        <color theme="9" tint="-0.249977111117893"/>
        <rFont val="Arial"/>
        <family val="2"/>
      </rPr>
      <t>VALEIRANO</t>
    </r>
    <r>
      <rPr>
        <b/>
        <sz val="8"/>
        <color theme="9" tint="-0.249977111117893"/>
        <rFont val="Arial"/>
        <family val="2"/>
      </rPr>
      <t xml:space="preserve"> - VERTICAL PACK 07, 08, 09 </t>
    </r>
  </si>
  <si>
    <r>
      <t xml:space="preserve">BAROLO DOCG </t>
    </r>
    <r>
      <rPr>
        <b/>
        <i/>
        <sz val="8"/>
        <color theme="9" tint="-0.249977111117893"/>
        <rFont val="Arial"/>
        <family val="2"/>
      </rPr>
      <t>CAMPÈ  - V</t>
    </r>
    <r>
      <rPr>
        <b/>
        <sz val="8"/>
        <color theme="9" tint="-0.249977111117893"/>
        <rFont val="Arial"/>
        <family val="2"/>
      </rPr>
      <t>ERTICAL PACK 06, 07, 08</t>
    </r>
  </si>
  <si>
    <r>
      <t xml:space="preserve">IMPORTANT NOTE:                    NJ PRICING FOR ANY ITEM NOTED AT "STATE-SIDE SPECIAL ORDER" </t>
    </r>
    <r>
      <rPr>
        <b/>
        <i/>
        <u/>
        <sz val="10"/>
        <color rgb="FFFF0000"/>
        <rFont val="Calibri (Body)"/>
      </rPr>
      <t>DOES NOT</t>
    </r>
    <r>
      <rPr>
        <b/>
        <i/>
        <sz val="10"/>
        <color rgb="FFFF0000"/>
        <rFont val="Calibri"/>
        <family val="2"/>
        <scheme val="minor"/>
      </rPr>
      <t xml:space="preserve"> INCLUDE ANY CURRENT TARIFFS</t>
    </r>
  </si>
  <si>
    <r>
      <rPr>
        <sz val="8"/>
        <color theme="1"/>
        <rFont val="Arial"/>
        <family val="2"/>
      </rPr>
      <t xml:space="preserve">BRUNELLO DI MONTALCINO RISERVA DOCG </t>
    </r>
    <r>
      <rPr>
        <b/>
        <i/>
        <sz val="8"/>
        <color theme="1"/>
        <rFont val="Arial"/>
        <family val="2"/>
      </rPr>
      <t>PIANROSSO - SANTA CATERINA D'ORO</t>
    </r>
    <r>
      <rPr>
        <sz val="8"/>
        <color theme="1"/>
        <rFont val="Arial"/>
        <family val="2"/>
      </rPr>
      <t xml:space="preserve"> 2019</t>
    </r>
    <r>
      <rPr>
        <sz val="8"/>
        <color rgb="FF0000FF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(wood box)</t>
    </r>
  </si>
  <si>
    <r>
      <t>BRUNELLO DI MONTALCINO RISERVA DOCG</t>
    </r>
    <r>
      <rPr>
        <b/>
        <i/>
        <sz val="8"/>
        <color rgb="FF0000FF"/>
        <rFont val="Arial"/>
        <family val="2"/>
      </rPr>
      <t xml:space="preserve"> PIANROSSO - SANTA CATERINA D'ORO</t>
    </r>
    <r>
      <rPr>
        <sz val="8"/>
        <color rgb="FF0000FF"/>
        <rFont val="Arial"/>
        <family val="2"/>
      </rPr>
      <t xml:space="preserve"> 2019 1.5L </t>
    </r>
    <r>
      <rPr>
        <i/>
        <sz val="6"/>
        <color rgb="FFC00000"/>
        <rFont val="Arial"/>
        <family val="2"/>
      </rPr>
      <t>(wood box)</t>
    </r>
  </si>
  <si>
    <t>92 JS, 92 WA, 91 WE, 90 Decanter, 90 VM</t>
  </si>
  <si>
    <r>
      <t xml:space="preserve">VERMOUTH BIANCO NV - </t>
    </r>
    <r>
      <rPr>
        <i/>
        <sz val="7"/>
        <color rgb="FF008000"/>
        <rFont val="Arial"/>
        <family val="2"/>
      </rPr>
      <t>no artificial colors or artificial sweeteners. Only organic ingredients are used</t>
    </r>
  </si>
  <si>
    <r>
      <t>VERMOUTH ROSSO NV</t>
    </r>
    <r>
      <rPr>
        <i/>
        <sz val="8"/>
        <color rgb="FF008000"/>
        <rFont val="Arial"/>
        <family val="2"/>
      </rPr>
      <t xml:space="preserve"> - </t>
    </r>
    <r>
      <rPr>
        <i/>
        <sz val="7"/>
        <color rgb="FF008000"/>
        <rFont val="Arial"/>
        <family val="2"/>
      </rPr>
      <t>no artificial colors or artificial sweeteners. Only organic ingredients are used</t>
    </r>
  </si>
  <si>
    <r>
      <t xml:space="preserve">AMERICANO ROSSO NV </t>
    </r>
    <r>
      <rPr>
        <i/>
        <sz val="8"/>
        <color rgb="FF008000"/>
        <rFont val="Arial"/>
        <family val="2"/>
      </rPr>
      <t xml:space="preserve"> - </t>
    </r>
    <r>
      <rPr>
        <i/>
        <sz val="7"/>
        <color rgb="FF008000"/>
        <rFont val="Arial"/>
        <family val="2"/>
      </rPr>
      <t>no artificial colors or artificial sweeteners. Only organic ingredients are used</t>
    </r>
  </si>
  <si>
    <r>
      <t>LIQUORE FERNET NV   -</t>
    </r>
    <r>
      <rPr>
        <sz val="7"/>
        <rFont val="Arial"/>
        <family val="2"/>
      </rPr>
      <t xml:space="preserve"> </t>
    </r>
    <r>
      <rPr>
        <i/>
        <sz val="7"/>
        <color rgb="FF008000"/>
        <rFont val="Arial"/>
        <family val="2"/>
      </rPr>
      <t>no artificial colors or artificial sweeteners. Only organic ingredients are used</t>
    </r>
  </si>
  <si>
    <r>
      <t xml:space="preserve">BITTER NV - </t>
    </r>
    <r>
      <rPr>
        <i/>
        <sz val="7"/>
        <color rgb="FF008000"/>
        <rFont val="Arial"/>
        <family val="2"/>
      </rPr>
      <t>no artificial colors or artificial sweeteners. Only organic ingredients are used</t>
    </r>
  </si>
  <si>
    <r>
      <t xml:space="preserve">APERITIF NV </t>
    </r>
    <r>
      <rPr>
        <i/>
        <sz val="7"/>
        <color rgb="FF008000"/>
        <rFont val="Arial"/>
        <family val="2"/>
      </rPr>
      <t xml:space="preserve"> - no artificial colors or artificial sweeteners. Only organic ingredients are used</t>
    </r>
  </si>
  <si>
    <r>
      <t xml:space="preserve">ETNA ROSSO DOC </t>
    </r>
    <r>
      <rPr>
        <b/>
        <i/>
        <sz val="8"/>
        <rFont val="Arial"/>
        <family val="2"/>
      </rPr>
      <t>CONTRADA FEUDO DI MEZZO</t>
    </r>
    <r>
      <rPr>
        <sz val="8"/>
        <rFont val="Arial"/>
        <family val="2"/>
      </rPr>
      <t xml:space="preserve"> 2021 </t>
    </r>
    <r>
      <rPr>
        <i/>
        <sz val="7"/>
        <color rgb="FFC00000"/>
        <rFont val="Arial"/>
        <family val="2"/>
      </rPr>
      <t>(100% Nerello Mascalese)</t>
    </r>
  </si>
  <si>
    <r>
      <t xml:space="preserve">ETNA ROSSO RISERVA DOC </t>
    </r>
    <r>
      <rPr>
        <b/>
        <i/>
        <sz val="8"/>
        <rFont val="Arial"/>
        <family val="2"/>
      </rPr>
      <t>CONTRADA ZOTTORINOTO</t>
    </r>
    <r>
      <rPr>
        <sz val="8"/>
        <rFont val="Arial"/>
        <family val="2"/>
      </rPr>
      <t xml:space="preserve"> 2020 </t>
    </r>
    <r>
      <rPr>
        <sz val="7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(100% Nerello Mascalese)</t>
    </r>
  </si>
  <si>
    <t>98 JS, 98 WA, 97 VM, 97 Jeb Dunuck</t>
  </si>
  <si>
    <t>98 JS, 98 WA, 97, 97 VM, Jeb Dunuck</t>
  </si>
  <si>
    <t>98 JS, 97+ WA, 97 Decanter, 96+ Jeb Dunnuck, 96 VM</t>
  </si>
  <si>
    <t>98 JS, 96 VM, 96 WA, 91 Jeb Dunuck</t>
  </si>
  <si>
    <t>91 Jeb Dunnuck</t>
  </si>
  <si>
    <t>90 Jeb Dunnuck</t>
  </si>
  <si>
    <t>96 JS, 96 WinesCritic.com, 95+ Gardini Notes, 95 The Wine Independent, 94 Jeb Dunnuck, 93 VM, 93 WA</t>
  </si>
  <si>
    <t>96 JS, 96 WinesCritic.com, 95+ Gardini Notes, 95 The Wine Independent, 94 Jeb Dunuck 93 VM, 93 WA</t>
  </si>
  <si>
    <t>93 VM, 92 JS</t>
  </si>
  <si>
    <r>
      <t xml:space="preserve">IMPORTANT NOTE:                    ALL DI PRICES LISTED </t>
    </r>
    <r>
      <rPr>
        <b/>
        <i/>
        <u/>
        <sz val="10"/>
        <color theme="0"/>
        <rFont val="Calibri (Body)"/>
      </rPr>
      <t>DO NOT</t>
    </r>
    <r>
      <rPr>
        <b/>
        <i/>
        <sz val="10"/>
        <color theme="0"/>
        <rFont val="Calibri"/>
        <family val="2"/>
        <scheme val="minor"/>
      </rPr>
      <t xml:space="preserve"> INCLUDE ANY CURRENT TARIFFS</t>
    </r>
  </si>
  <si>
    <t>CLICBIA2024</t>
  </si>
  <si>
    <r>
      <rPr>
        <b/>
        <i/>
        <sz val="8"/>
        <rFont val="Arial"/>
        <family val="2"/>
      </rPr>
      <t>BIANCO</t>
    </r>
    <r>
      <rPr>
        <i/>
        <sz val="8"/>
        <rFont val="Arial"/>
        <family val="2"/>
      </rPr>
      <t xml:space="preserve"> - </t>
    </r>
    <r>
      <rPr>
        <sz val="8"/>
        <rFont val="Arial"/>
        <family val="2"/>
      </rPr>
      <t>FRIULI VENEZIA GIULIA IGT 2024</t>
    </r>
    <r>
      <rPr>
        <sz val="7"/>
        <color rgb="FF9411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(40% Chardonnay, 20% Riesling, 40% Friulano)</t>
    </r>
  </si>
  <si>
    <t>93 Falstaff, 92 VN, 92 WA</t>
  </si>
  <si>
    <t>LAST OF VINTAGE, 2.5 cs available</t>
  </si>
  <si>
    <t>RDTFOS2023</t>
  </si>
  <si>
    <t>CTOBDB2020</t>
  </si>
  <si>
    <t>EPADAB2024</t>
  </si>
  <si>
    <t>EPABAB2023</t>
  </si>
  <si>
    <t>EPALNO2023</t>
  </si>
  <si>
    <r>
      <t xml:space="preserve">TOSCANA ROSSO IGT </t>
    </r>
    <r>
      <rPr>
        <b/>
        <i/>
        <sz val="8"/>
        <rFont val="Arial"/>
        <family val="2"/>
      </rPr>
      <t xml:space="preserve">SEZZANA </t>
    </r>
    <r>
      <rPr>
        <sz val="8"/>
        <rFont val="Arial"/>
        <family val="2"/>
      </rPr>
      <t xml:space="preserve">2007 </t>
    </r>
    <r>
      <rPr>
        <i/>
        <sz val="8"/>
        <color rgb="FFC00000"/>
        <rFont val="Arial"/>
        <family val="2"/>
      </rPr>
      <t>(100% Sangiovese)</t>
    </r>
  </si>
  <si>
    <r>
      <t xml:space="preserve">TOSCANA ROSSO IGT </t>
    </r>
    <r>
      <rPr>
        <b/>
        <i/>
        <sz val="8"/>
        <rFont val="Arial"/>
        <family val="2"/>
      </rPr>
      <t xml:space="preserve">SEZZANA </t>
    </r>
    <r>
      <rPr>
        <sz val="8"/>
        <rFont val="Arial"/>
        <family val="2"/>
      </rPr>
      <t>2008</t>
    </r>
    <r>
      <rPr>
        <i/>
        <sz val="8"/>
        <rFont val="Arial"/>
        <family val="2"/>
      </rPr>
      <t xml:space="preserve"> </t>
    </r>
    <r>
      <rPr>
        <i/>
        <sz val="8"/>
        <color rgb="FFC00000"/>
        <rFont val="Arial"/>
        <family val="2"/>
      </rPr>
      <t>(100% Sangiovese)</t>
    </r>
  </si>
  <si>
    <r>
      <t xml:space="preserve">TOSCANA ROSSO IGT </t>
    </r>
    <r>
      <rPr>
        <b/>
        <i/>
        <sz val="8"/>
        <rFont val="Arial"/>
        <family val="2"/>
      </rPr>
      <t xml:space="preserve">SEZZANA </t>
    </r>
    <r>
      <rPr>
        <sz val="8"/>
        <rFont val="Arial"/>
        <family val="2"/>
      </rPr>
      <t>2009</t>
    </r>
    <r>
      <rPr>
        <i/>
        <sz val="8"/>
        <rFont val="Arial"/>
        <family val="2"/>
      </rPr>
      <t xml:space="preserve"> </t>
    </r>
    <r>
      <rPr>
        <i/>
        <sz val="8"/>
        <color rgb="FFC00000"/>
        <rFont val="Arial"/>
        <family val="2"/>
      </rPr>
      <t>(100% Sangiovese)</t>
    </r>
  </si>
  <si>
    <t>SPECIAL SUPPORT - ASK ABOUT 5L TOASTED BARREL PROGRAM FOR BARREL AGED COCKTAILS</t>
  </si>
  <si>
    <t>PRICE INCREASE</t>
  </si>
  <si>
    <r>
      <rPr>
        <b/>
        <i/>
        <sz val="8"/>
        <color rgb="FF0000FF"/>
        <rFont val="Calibri"/>
        <family val="2"/>
      </rPr>
      <t>PRICE INCREASE</t>
    </r>
    <r>
      <rPr>
        <b/>
        <i/>
        <sz val="8"/>
        <color rgb="FF008000"/>
        <rFont val="Calibri"/>
        <family val="2"/>
      </rPr>
      <t>, stateside special order</t>
    </r>
  </si>
  <si>
    <r>
      <rPr>
        <b/>
        <i/>
        <sz val="8"/>
        <color rgb="FF0000FF"/>
        <rFont val="Calibri"/>
        <family val="2"/>
      </rPr>
      <t>PRICE INCREASE,</t>
    </r>
    <r>
      <rPr>
        <b/>
        <i/>
        <sz val="8"/>
        <color rgb="FF008000"/>
        <rFont val="Calibri"/>
        <family val="2"/>
      </rPr>
      <t xml:space="preserve"> stateside special order </t>
    </r>
  </si>
  <si>
    <r>
      <rPr>
        <b/>
        <i/>
        <sz val="8"/>
        <color rgb="FF0000FF"/>
        <rFont val="Calibri"/>
        <family val="2"/>
      </rPr>
      <t>PRICE INCREASE,</t>
    </r>
    <r>
      <rPr>
        <b/>
        <i/>
        <sz val="8"/>
        <color rgb="FF008000"/>
        <rFont val="Calibri"/>
        <family val="2"/>
      </rPr>
      <t xml:space="preserve"> stateside special order</t>
    </r>
  </si>
  <si>
    <r>
      <rPr>
        <b/>
        <i/>
        <sz val="8"/>
        <color rgb="FF0000FF"/>
        <rFont val="Calibri"/>
        <family val="2"/>
      </rPr>
      <t>PRICE INCREASE</t>
    </r>
    <r>
      <rPr>
        <b/>
        <i/>
        <sz val="8"/>
        <color rgb="FFC00000"/>
        <rFont val="Calibri"/>
        <family val="2"/>
      </rPr>
      <t>, library release</t>
    </r>
  </si>
  <si>
    <r>
      <t xml:space="preserve">BRUNELLO DI MONTALCINO DOCG </t>
    </r>
    <r>
      <rPr>
        <b/>
        <i/>
        <sz val="8"/>
        <rFont val="Arial"/>
        <family val="2"/>
      </rPr>
      <t xml:space="preserve">PIANROSSO </t>
    </r>
    <r>
      <rPr>
        <sz val="8"/>
        <rFont val="Arial"/>
        <family val="2"/>
      </rPr>
      <t>2018</t>
    </r>
  </si>
  <si>
    <t>5cs</t>
  </si>
  <si>
    <r>
      <t xml:space="preserve">AMARONE DELLA VALPOLICELLA CLASSICO RISERVA DOC  </t>
    </r>
    <r>
      <rPr>
        <b/>
        <i/>
        <sz val="8"/>
        <rFont val="Arial"/>
        <family val="2"/>
      </rPr>
      <t xml:space="preserve">BROLO DEI POETI </t>
    </r>
    <r>
      <rPr>
        <sz val="8"/>
        <rFont val="Arial"/>
        <family val="2"/>
      </rPr>
      <t>2007</t>
    </r>
  </si>
  <si>
    <r>
      <t xml:space="preserve">TIMORASSO COLLI TORTONESI DOC </t>
    </r>
    <r>
      <rPr>
        <b/>
        <i/>
        <sz val="8"/>
        <rFont val="Arial"/>
        <family val="2"/>
      </rPr>
      <t>DERTHONA</t>
    </r>
    <r>
      <rPr>
        <sz val="8"/>
        <rFont val="Arial"/>
        <family val="2"/>
      </rPr>
      <t xml:space="preserve"> 2023</t>
    </r>
    <r>
      <rPr>
        <b/>
        <i/>
        <sz val="7"/>
        <color rgb="FFFF0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</si>
  <si>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CHARDONNAY PIEMONTE DOC </t>
    </r>
    <r>
      <rPr>
        <b/>
        <i/>
        <sz val="8"/>
        <rFont val="Arial"/>
        <family val="2"/>
      </rPr>
      <t>LIDIA</t>
    </r>
    <r>
      <rPr>
        <sz val="8"/>
        <rFont val="Arial"/>
        <family val="2"/>
      </rPr>
      <t xml:space="preserve"> 2022</t>
    </r>
    <r>
      <rPr>
        <b/>
        <i/>
        <sz val="7"/>
        <color rgb="FF008000"/>
        <rFont val="Arial"/>
        <family val="2"/>
      </rPr>
      <t xml:space="preserve"> (vegan &amp; made with organic grapes)</t>
    </r>
  </si>
  <si>
    <r>
      <t>BARBARESCO DOCG</t>
    </r>
    <r>
      <rPr>
        <b/>
        <i/>
        <sz val="8"/>
        <rFont val="Arial"/>
        <family val="2"/>
      </rPr>
      <t xml:space="preserve"> BORDINI </t>
    </r>
    <r>
      <rPr>
        <sz val="8"/>
        <rFont val="Arial"/>
        <family val="2"/>
      </rPr>
      <t>2022</t>
    </r>
    <r>
      <rPr>
        <sz val="8"/>
        <color rgb="FFC00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</si>
  <si>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BARBARESCO DOCG </t>
    </r>
    <r>
      <rPr>
        <b/>
        <sz val="8"/>
        <rFont val="Arial"/>
        <family val="2"/>
      </rPr>
      <t>GALLINA</t>
    </r>
    <r>
      <rPr>
        <sz val="8"/>
        <rFont val="Arial"/>
        <family val="2"/>
      </rPr>
      <t xml:space="preserve"> 2022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</si>
  <si>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 xml:space="preserve">2022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</si>
  <si>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BARBARESCO DOCG </t>
    </r>
    <r>
      <rPr>
        <b/>
        <i/>
        <sz val="8"/>
        <rFont val="Arial"/>
        <family val="2"/>
      </rPr>
      <t>VALEIRANO</t>
    </r>
    <r>
      <rPr>
        <sz val="8"/>
        <rFont val="Arial"/>
        <family val="2"/>
      </rPr>
      <t xml:space="preserve"> 2022 </t>
    </r>
    <r>
      <rPr>
        <b/>
        <i/>
        <sz val="7"/>
        <color rgb="FF008000"/>
        <rFont val="Arial"/>
        <family val="2"/>
      </rPr>
      <t>(vegan &amp; made with organic grapes)</t>
    </r>
  </si>
  <si>
    <r>
      <t>LANGHE NEBBIOLO DOC 2023 1500ml</t>
    </r>
    <r>
      <rPr>
        <sz val="8"/>
        <color rgb="FFC00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</si>
  <si>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MOSCATO D'ASTI DOCG </t>
    </r>
    <r>
      <rPr>
        <b/>
        <i/>
        <sz val="8"/>
        <rFont val="Arial"/>
        <family val="2"/>
      </rPr>
      <t xml:space="preserve">BRICCO QUAGLIA </t>
    </r>
    <r>
      <rPr>
        <sz val="8"/>
        <rFont val="Arial"/>
        <family val="2"/>
      </rPr>
      <t>2024</t>
    </r>
    <r>
      <rPr>
        <sz val="8"/>
        <color rgb="FF008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</si>
  <si>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SAUVIGNON BLANC LANGHE BIANCO DOC 2022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</si>
  <si>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MONFERRATO ROSSO DOC </t>
    </r>
    <r>
      <rPr>
        <b/>
        <i/>
        <sz val="8"/>
        <rFont val="Arial"/>
        <family val="2"/>
      </rPr>
      <t xml:space="preserve">PIN </t>
    </r>
    <r>
      <rPr>
        <sz val="8"/>
        <rFont val="Arial"/>
        <family val="2"/>
      </rPr>
      <t xml:space="preserve">2021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</si>
  <si>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MONFERRATO ROSSO DOC </t>
    </r>
    <r>
      <rPr>
        <b/>
        <i/>
        <sz val="8"/>
        <color rgb="FF0432FF"/>
        <rFont val="Arial"/>
        <family val="2"/>
      </rPr>
      <t xml:space="preserve">PIN </t>
    </r>
    <r>
      <rPr>
        <sz val="8"/>
        <color rgb="FF0432FF"/>
        <rFont val="Arial"/>
        <family val="2"/>
      </rPr>
      <t xml:space="preserve">2021 1500ml </t>
    </r>
    <r>
      <rPr>
        <b/>
        <sz val="7"/>
        <color rgb="FF008000"/>
        <rFont val="Arial"/>
        <family val="2"/>
      </rPr>
      <t>(vegan &amp; made with organic grapes)</t>
    </r>
  </si>
  <si>
    <r>
      <t xml:space="preserve">BARBERA D'ASTI SUPERIORE DOCG </t>
    </r>
    <r>
      <rPr>
        <b/>
        <i/>
        <sz val="8"/>
        <rFont val="Arial"/>
        <family val="2"/>
      </rPr>
      <t>BIONZO</t>
    </r>
    <r>
      <rPr>
        <sz val="8"/>
        <rFont val="Arial"/>
        <family val="2"/>
      </rPr>
      <t xml:space="preserve"> 2021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</si>
  <si>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BAROLO DOCG </t>
    </r>
    <r>
      <rPr>
        <b/>
        <i/>
        <sz val="8"/>
        <rFont val="Arial"/>
        <family val="2"/>
      </rPr>
      <t>CAMPÈ</t>
    </r>
    <r>
      <rPr>
        <sz val="8"/>
        <rFont val="Arial"/>
        <family val="2"/>
      </rPr>
      <t xml:space="preserve"> 2021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</si>
  <si>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BAROLO DOCG </t>
    </r>
    <r>
      <rPr>
        <b/>
        <i/>
        <sz val="8"/>
        <rFont val="Arial"/>
        <family val="2"/>
      </rPr>
      <t xml:space="preserve">GARRETTI </t>
    </r>
    <r>
      <rPr>
        <sz val="8"/>
        <rFont val="Arial"/>
        <family val="2"/>
      </rPr>
      <t>2021</t>
    </r>
    <r>
      <rPr>
        <b/>
        <i/>
        <sz val="7"/>
        <color rgb="FF008000"/>
        <rFont val="Arial"/>
        <family val="2"/>
      </rPr>
      <t xml:space="preserve"> (vegan &amp; made with organic grapes)</t>
    </r>
  </si>
  <si>
    <r>
      <t xml:space="preserve">BAROLO DOCG </t>
    </r>
    <r>
      <rPr>
        <b/>
        <i/>
        <sz val="8"/>
        <color rgb="FF0000FF"/>
        <rFont val="Arial"/>
        <family val="2"/>
      </rPr>
      <t xml:space="preserve">GARRETTI </t>
    </r>
    <r>
      <rPr>
        <sz val="8"/>
        <color rgb="FF0000FF"/>
        <rFont val="Arial"/>
        <family val="2"/>
      </rPr>
      <t xml:space="preserve">2021 1500mL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</si>
  <si>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PAS DOSÉ </t>
    </r>
    <r>
      <rPr>
        <b/>
        <i/>
        <sz val="8"/>
        <rFont val="Arial"/>
        <family val="2"/>
      </rPr>
      <t xml:space="preserve">MILLESIMATO  </t>
    </r>
    <r>
      <rPr>
        <sz val="8"/>
        <rFont val="Arial"/>
        <family val="2"/>
      </rPr>
      <t xml:space="preserve">ALTA LANGA DOCG 2021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</si>
  <si>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PAS DOSÉ </t>
    </r>
    <r>
      <rPr>
        <b/>
        <i/>
        <sz val="8"/>
        <color rgb="FF0000FF"/>
        <rFont val="Arial"/>
        <family val="2"/>
      </rPr>
      <t xml:space="preserve">MILLESIMATO  </t>
    </r>
    <r>
      <rPr>
        <sz val="8"/>
        <color rgb="FF0000FF"/>
        <rFont val="Arial"/>
        <family val="2"/>
      </rPr>
      <t xml:space="preserve">ALTA LANGA DOCG 2021 3000ml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</si>
  <si>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BLANC DE BLANCS PAS DOSÉ ALTA LANGA DOCG 2020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</si>
  <si>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BLANC DE NOIR PAS DOSÉ </t>
    </r>
    <r>
      <rPr>
        <b/>
        <i/>
        <sz val="8"/>
        <rFont val="Arial"/>
        <family val="2"/>
      </rPr>
      <t>FOR ENGLAND</t>
    </r>
    <r>
      <rPr>
        <sz val="8"/>
        <rFont val="Arial"/>
        <family val="2"/>
      </rPr>
      <t xml:space="preserve"> ALTA LANGA DOCG 2020 </t>
    </r>
    <r>
      <rPr>
        <b/>
        <i/>
        <sz val="7"/>
        <color rgb="FF008000"/>
        <rFont val="Arial"/>
        <family val="2"/>
      </rPr>
      <t>(vegan &amp; made with organic grapes)</t>
    </r>
  </si>
  <si>
    <r>
      <t>ROSÉ PAS DOSÉ</t>
    </r>
    <r>
      <rPr>
        <b/>
        <i/>
        <sz val="8"/>
        <rFont val="Arial"/>
        <family val="2"/>
      </rPr>
      <t xml:space="preserve"> FOR ENGLAND</t>
    </r>
    <r>
      <rPr>
        <sz val="8"/>
        <rFont val="Arial"/>
        <family val="2"/>
      </rPr>
      <t xml:space="preserve"> ALTA LANGA DOCG 2020 </t>
    </r>
    <r>
      <rPr>
        <b/>
        <i/>
        <sz val="7"/>
        <color rgb="FF008000"/>
        <rFont val="Arial"/>
        <family val="2"/>
      </rPr>
      <t>(vegan &amp; made with organic grapes)</t>
    </r>
  </si>
  <si>
    <t xml:space="preserve">VERMENTINO TOSCANA IGT 2021 1500 ml </t>
  </si>
  <si>
    <t>92 JS, 92 Falstaff Magazine</t>
  </si>
  <si>
    <t>92 Falstaff Magazine</t>
  </si>
  <si>
    <t>92 WE, 92 Vinum Magazine</t>
  </si>
  <si>
    <t>LSACRA2018C</t>
  </si>
  <si>
    <t>2cs (6 Magnums) available</t>
  </si>
  <si>
    <t>LSATMO2020C</t>
  </si>
  <si>
    <t>CTOSCPDR2016</t>
  </si>
  <si>
    <t>INGNER2023</t>
  </si>
  <si>
    <t>NERO D'AVOLA IGT 2023</t>
  </si>
  <si>
    <t>PRICE INCREASE - min DI order 120cs</t>
  </si>
  <si>
    <t xml:space="preserve">PRICE INCREASE </t>
  </si>
  <si>
    <t>PRICE INCREASE - stateside special order</t>
  </si>
  <si>
    <t xml:space="preserve">SOLD OUT </t>
  </si>
  <si>
    <t>VDLPNO2024</t>
  </si>
  <si>
    <t>PINOT NERO - FRIULI VENEZIA GIULIA IGT 2024</t>
  </si>
  <si>
    <t>LSACOL2021</t>
  </si>
  <si>
    <r>
      <t xml:space="preserve">TOSCANA ROSSO IGT </t>
    </r>
    <r>
      <rPr>
        <b/>
        <i/>
        <sz val="8"/>
        <rFont val="Arial"/>
        <family val="2"/>
      </rPr>
      <t>IL COLORINO DI CASANOVA</t>
    </r>
    <r>
      <rPr>
        <sz val="8"/>
        <rFont val="Arial"/>
        <family val="2"/>
      </rPr>
      <t xml:space="preserve"> 2021 </t>
    </r>
    <r>
      <rPr>
        <i/>
        <sz val="8"/>
        <color rgb="FFC00000"/>
        <rFont val="Arial"/>
        <family val="2"/>
      </rPr>
      <t>(100% Colorino)</t>
    </r>
  </si>
  <si>
    <t xml:space="preserve">56cs </t>
  </si>
  <si>
    <t>CPIROS2023</t>
  </si>
  <si>
    <t>10cs</t>
  </si>
  <si>
    <t xml:space="preserve">PRICE INCREASE -min DI order 28cs </t>
  </si>
  <si>
    <t>3cs</t>
  </si>
  <si>
    <r>
      <t xml:space="preserve">stateside special order, minumin order 60cs - </t>
    </r>
    <r>
      <rPr>
        <b/>
        <i/>
        <sz val="8"/>
        <color rgb="FF0131FF"/>
        <rFont val="Calibri"/>
        <family val="2"/>
      </rPr>
      <t>PRICE INCREASE</t>
    </r>
    <r>
      <rPr>
        <b/>
        <i/>
        <sz val="8"/>
        <color rgb="FF008000"/>
        <rFont val="Calibri"/>
        <family val="2"/>
      </rPr>
      <t xml:space="preserve"> </t>
    </r>
  </si>
  <si>
    <r>
      <t xml:space="preserve">stateside special order, minumin order 60cs - </t>
    </r>
    <r>
      <rPr>
        <b/>
        <i/>
        <sz val="8"/>
        <color rgb="FF0131FF"/>
        <rFont val="Calibri"/>
        <family val="2"/>
      </rPr>
      <t xml:space="preserve">PRICE INCREASE </t>
    </r>
  </si>
  <si>
    <r>
      <t xml:space="preserve">1 on 10 </t>
    </r>
    <r>
      <rPr>
        <b/>
        <i/>
        <sz val="8"/>
        <color rgb="FF0131FF"/>
        <rFont val="Calibri"/>
        <family val="2"/>
      </rPr>
      <t xml:space="preserve">PRICE INCREASE </t>
    </r>
  </si>
  <si>
    <r>
      <t>PROSECCO DOC BRUT</t>
    </r>
    <r>
      <rPr>
        <b/>
        <i/>
        <sz val="8"/>
        <color rgb="FF000000"/>
        <rFont val="Arial"/>
        <family val="2"/>
      </rPr>
      <t xml:space="preserve"> CONTEMPORANEO </t>
    </r>
    <r>
      <rPr>
        <sz val="8"/>
        <color rgb="FF000000"/>
        <rFont val="Arial"/>
        <family val="2"/>
      </rPr>
      <t xml:space="preserve">NV </t>
    </r>
  </si>
  <si>
    <t>RDTRIB2024</t>
  </si>
  <si>
    <t>7.5% tariff billback to Indigenous Selections</t>
  </si>
  <si>
    <r>
      <t xml:space="preserve">ROSSO DI MONTLCINO DOC </t>
    </r>
    <r>
      <rPr>
        <b/>
        <i/>
        <sz val="8"/>
        <rFont val="Arial"/>
        <family val="2"/>
      </rPr>
      <t xml:space="preserve">ROSSOFONTE </t>
    </r>
    <r>
      <rPr>
        <sz val="8"/>
        <rFont val="Arial"/>
        <family val="2"/>
      </rPr>
      <t>2023</t>
    </r>
  </si>
  <si>
    <t>IMPORTANT NOTE:                    DI ORDERS FOR LA SPINETTA, CONTRATTO, COCITO, INDIGENOUS BARBERA, INDIGENOUS SANGIOVESE, INDIGENOUS PROSECCO ARE ELIGIBLE FOR 7.5% TARIFF BILLBACK TO INDIGENOUS SELECTIONS LLC</t>
  </si>
  <si>
    <r>
      <t xml:space="preserve">ETNA BIANCO DOC 2024 </t>
    </r>
    <r>
      <rPr>
        <i/>
        <sz val="7"/>
        <color rgb="FFC00000"/>
        <rFont val="Arial"/>
        <family val="2"/>
      </rPr>
      <t>(100% Carricante)</t>
    </r>
  </si>
  <si>
    <t>COTERO2023</t>
  </si>
  <si>
    <r>
      <t xml:space="preserve">ETNA ROSSO DOC 2023 </t>
    </r>
    <r>
      <rPr>
        <i/>
        <sz val="7"/>
        <color rgb="FFC00000"/>
        <rFont val="Arial"/>
        <family val="2"/>
      </rPr>
      <t>(100% Nerello Mascalese)</t>
    </r>
    <r>
      <rPr>
        <sz val="7"/>
        <rFont val="Arial"/>
        <family val="2"/>
      </rPr>
      <t xml:space="preserve"> </t>
    </r>
  </si>
  <si>
    <t xml:space="preserve">PRICE INCREASE, 2022 vintage release in December </t>
  </si>
  <si>
    <t>PRICE INCREASE, Stateside ETA late October</t>
  </si>
  <si>
    <r>
      <rPr>
        <b/>
        <i/>
        <sz val="8"/>
        <color rgb="FF0000FF"/>
        <rFont val="Calibri"/>
        <family val="2"/>
      </rPr>
      <t>PRICE INCREASE - stateside special order,</t>
    </r>
    <r>
      <rPr>
        <b/>
        <i/>
        <sz val="8"/>
        <color rgb="FFC00000"/>
        <rFont val="Calibri"/>
        <family val="2"/>
      </rPr>
      <t xml:space="preserve"> minumin order 60 cs</t>
    </r>
  </si>
  <si>
    <t>SUPPORT</t>
  </si>
  <si>
    <t>PRICE INCREASE - stateside ETA October 1st</t>
  </si>
  <si>
    <t>IMPORTANT NOTE:                    DI ORDERS OF INDIGENOUS PROSECCO DOC AND INDIGENOUS PROSECCO ROSE DOC ARE ELIGIBLE FOR 6% TARIFF BILLBACK TO INDIGENOUS SELECTIONS LLC</t>
  </si>
  <si>
    <t>FOR DI ORDERS</t>
  </si>
  <si>
    <r>
      <t xml:space="preserve">TOSCANA ROSSO IGT 2024 </t>
    </r>
    <r>
      <rPr>
        <i/>
        <sz val="8"/>
        <color rgb="FFC00000"/>
        <rFont val="Arial"/>
        <family val="2"/>
      </rPr>
      <t xml:space="preserve"> (75% Sangiovese, 25% Merlot, Cabernet Sauvignon, Syrah)</t>
    </r>
  </si>
  <si>
    <r>
      <t xml:space="preserve">BARBERA D'ASTI SUPERIORE DOCG </t>
    </r>
    <r>
      <rPr>
        <b/>
        <i/>
        <sz val="8"/>
        <color rgb="FF0131FF"/>
        <rFont val="Arial"/>
        <family val="2"/>
      </rPr>
      <t>CÀ DI PIAN</t>
    </r>
    <r>
      <rPr>
        <sz val="8"/>
        <color rgb="FF0131FF"/>
        <rFont val="Arial"/>
        <family val="2"/>
      </rPr>
      <t xml:space="preserve"> 2023 375ml </t>
    </r>
    <r>
      <rPr>
        <b/>
        <i/>
        <sz val="7"/>
        <color rgb="FF008000"/>
        <rFont val="Arial"/>
        <family val="2"/>
      </rPr>
      <t>(vegan &amp; made with organic grapes)</t>
    </r>
  </si>
  <si>
    <t>LSABCP2023A</t>
  </si>
  <si>
    <t>LSALNO2024A</t>
  </si>
  <si>
    <t>LANGHE NEBBIOLO DOC 2024 375ml</t>
  </si>
  <si>
    <t>NEBBIOLO D'ALBA DOC 2021</t>
  </si>
  <si>
    <t>INGNDA2021</t>
  </si>
  <si>
    <t>92 VM, 90 JS</t>
  </si>
  <si>
    <t>91 JS, 90 VM</t>
  </si>
  <si>
    <t>90 JS, 90 VM</t>
  </si>
  <si>
    <t>96 Doctor Wine, 93 VM, Tre Bicchieri Gambero Rosso</t>
  </si>
  <si>
    <r>
      <t xml:space="preserve">BARBERA D'ASTI SUPERIORE DOCG </t>
    </r>
    <r>
      <rPr>
        <b/>
        <i/>
        <sz val="8"/>
        <color rgb="FF0131FF"/>
        <rFont val="Arial"/>
        <family val="2"/>
      </rPr>
      <t xml:space="preserve">CÀ DI PIAN </t>
    </r>
    <r>
      <rPr>
        <sz val="8"/>
        <color rgb="FF0131FF"/>
        <rFont val="Arial"/>
        <family val="2"/>
      </rPr>
      <t xml:space="preserve">2023 1500ml </t>
    </r>
    <r>
      <rPr>
        <b/>
        <i/>
        <sz val="7"/>
        <color rgb="FF008000"/>
        <rFont val="Arial"/>
        <family val="2"/>
      </rPr>
      <t>(vegan &amp; made with organic grapes)</t>
    </r>
  </si>
  <si>
    <t>LSABCP2023C</t>
  </si>
  <si>
    <t>SANGIOVESE TOSCANA IGT 2021</t>
  </si>
  <si>
    <t>INGSGI2021</t>
  </si>
  <si>
    <t>PROSECCO DOC BRUT 2024</t>
  </si>
  <si>
    <t>INGPRO2024</t>
  </si>
  <si>
    <t>PRICE INCREASE - min DI order 120cs  (ETA end of December)</t>
  </si>
  <si>
    <r>
      <rPr>
        <b/>
        <i/>
        <sz val="7"/>
        <color rgb="FFC00000"/>
        <rFont val="Calibri"/>
        <family val="2"/>
      </rPr>
      <t>LIBRARY RELEASE,</t>
    </r>
    <r>
      <rPr>
        <b/>
        <i/>
        <sz val="7"/>
        <color rgb="FFFF0000"/>
        <rFont val="Calibri"/>
        <family val="2"/>
      </rPr>
      <t xml:space="preserve"> </t>
    </r>
    <r>
      <rPr>
        <b/>
        <i/>
        <sz val="7"/>
        <color rgb="FF0131FF"/>
        <rFont val="Calibri"/>
        <family val="2"/>
      </rPr>
      <t xml:space="preserve">stateside special order </t>
    </r>
    <r>
      <rPr>
        <b/>
        <i/>
        <sz val="7"/>
        <color rgb="FF008000"/>
        <rFont val="Calibri"/>
        <family val="2"/>
      </rPr>
      <t xml:space="preserve">- </t>
    </r>
    <r>
      <rPr>
        <b/>
        <i/>
        <sz val="7"/>
        <color rgb="FFFF0000"/>
        <rFont val="Calibri"/>
        <family val="2"/>
      </rPr>
      <t>VERY LIMITED</t>
    </r>
    <r>
      <rPr>
        <b/>
        <i/>
        <sz val="7"/>
        <color rgb="FF008000"/>
        <rFont val="Calibri"/>
        <family val="2"/>
      </rPr>
      <t xml:space="preserve">  </t>
    </r>
    <r>
      <rPr>
        <b/>
        <i/>
        <sz val="7"/>
        <color rgb="FF0131FF"/>
        <rFont val="Calibri"/>
        <family val="2"/>
      </rPr>
      <t>($489 is the tariff price - - - $10 special order fee separate)</t>
    </r>
  </si>
  <si>
    <r>
      <t xml:space="preserve">LANGHE NEBBIOLO DOC 2024 </t>
    </r>
    <r>
      <rPr>
        <b/>
        <i/>
        <sz val="7"/>
        <color rgb="FF008000"/>
        <rFont val="Arial"/>
        <family val="2"/>
      </rPr>
      <t>(vegan &amp; made with organic grapes)</t>
    </r>
  </si>
  <si>
    <t>LSALNO2024</t>
  </si>
  <si>
    <r>
      <t xml:space="preserve">ETNA ROSSO DOC </t>
    </r>
    <r>
      <rPr>
        <b/>
        <i/>
        <sz val="8"/>
        <rFont val="Arial"/>
        <family val="2"/>
      </rPr>
      <t>CONTRADA FEUDO DI MEZZO</t>
    </r>
    <r>
      <rPr>
        <sz val="8"/>
        <rFont val="Arial"/>
        <family val="2"/>
      </rPr>
      <t xml:space="preserve"> - </t>
    </r>
    <r>
      <rPr>
        <b/>
        <i/>
        <sz val="8"/>
        <rFont val="Arial"/>
        <family val="2"/>
      </rPr>
      <t>VIGNA IANNAZZO</t>
    </r>
    <r>
      <rPr>
        <sz val="8"/>
        <rFont val="Arial"/>
        <family val="2"/>
      </rPr>
      <t xml:space="preserve"> 2022 </t>
    </r>
    <r>
      <rPr>
        <i/>
        <sz val="7"/>
        <color rgb="FFC00000"/>
        <rFont val="Arial"/>
        <family val="2"/>
      </rPr>
      <t>(100% Nerello Mascalese)</t>
    </r>
  </si>
  <si>
    <r>
      <t xml:space="preserve">ETNA ROSSO DOC </t>
    </r>
    <r>
      <rPr>
        <b/>
        <i/>
        <sz val="8"/>
        <rFont val="Arial"/>
        <family val="2"/>
      </rPr>
      <t>CONTRADA DICIASSETTESALME</t>
    </r>
    <r>
      <rPr>
        <sz val="8"/>
        <rFont val="Arial"/>
        <family val="2"/>
      </rPr>
      <t xml:space="preserve"> </t>
    </r>
    <r>
      <rPr>
        <b/>
        <i/>
        <sz val="8"/>
        <rFont val="Arial"/>
        <family val="2"/>
      </rPr>
      <t xml:space="preserve">- OLTRE LA FERROVIA </t>
    </r>
    <r>
      <rPr>
        <sz val="8"/>
        <rFont val="Arial"/>
        <family val="2"/>
      </rPr>
      <t xml:space="preserve">2022 </t>
    </r>
    <r>
      <rPr>
        <i/>
        <sz val="7"/>
        <color rgb="FFC00000"/>
        <rFont val="Arial"/>
        <family val="2"/>
      </rPr>
      <t>(100% Nerello Mascalese)</t>
    </r>
  </si>
  <si>
    <r>
      <t xml:space="preserve">ETNA BIANCO DOC </t>
    </r>
    <r>
      <rPr>
        <b/>
        <i/>
        <sz val="8"/>
        <rFont val="Arial"/>
        <family val="2"/>
      </rPr>
      <t>CONTRADA COTTANERA</t>
    </r>
    <r>
      <rPr>
        <sz val="8"/>
        <rFont val="Arial"/>
        <family val="2"/>
      </rPr>
      <t xml:space="preserve"> 2021 </t>
    </r>
    <r>
      <rPr>
        <i/>
        <sz val="7"/>
        <color rgb="FFC00000"/>
        <rFont val="Arial"/>
        <family val="2"/>
      </rPr>
      <t>(100% Carricante)</t>
    </r>
    <r>
      <rPr>
        <sz val="8"/>
        <rFont val="Arial"/>
        <family val="2"/>
      </rPr>
      <t xml:space="preserve"> </t>
    </r>
  </si>
  <si>
    <t>COTVISE2022</t>
  </si>
  <si>
    <t>COTOFDI2022</t>
  </si>
  <si>
    <t>COTCOTB2021</t>
  </si>
  <si>
    <t>Tre Bicchieri Gambero Rosso</t>
  </si>
  <si>
    <r>
      <rPr>
        <b/>
        <i/>
        <sz val="8"/>
        <color rgb="FFFF40FF"/>
        <rFont val="Calibri (Body)"/>
      </rPr>
      <t>NEW WINE</t>
    </r>
    <r>
      <rPr>
        <b/>
        <i/>
        <sz val="8"/>
        <color rgb="FF0131FF"/>
        <rFont val="Calibri"/>
        <family val="2"/>
        <scheme val="minor"/>
      </rPr>
      <t xml:space="preserve"> - - </t>
    </r>
    <r>
      <rPr>
        <b/>
        <i/>
        <sz val="8"/>
        <color rgb="FF0131FF"/>
        <rFont val="Calibri (Body)"/>
      </rPr>
      <t>ETA January</t>
    </r>
  </si>
  <si>
    <t>LSATMO2024</t>
  </si>
  <si>
    <t xml:space="preserve">LUCEA  </t>
  </si>
  <si>
    <t>LUCTRO2024</t>
  </si>
  <si>
    <t>LUCTMO2023</t>
  </si>
  <si>
    <t>PRICE INCREASE - availble stateside October, $113 for PO orders of 20 cs</t>
  </si>
  <si>
    <t>LSABCP2023</t>
  </si>
  <si>
    <r>
      <t xml:space="preserve">BARBERA D'ASTI SUPERIORE DOCG </t>
    </r>
    <r>
      <rPr>
        <b/>
        <i/>
        <sz val="8"/>
        <rFont val="Arial"/>
        <family val="2"/>
      </rPr>
      <t xml:space="preserve">CÀ DI PIAN </t>
    </r>
    <r>
      <rPr>
        <sz val="8"/>
        <rFont val="Arial"/>
        <family val="2"/>
      </rPr>
      <t xml:space="preserve">2023 </t>
    </r>
    <r>
      <rPr>
        <b/>
        <i/>
        <sz val="7"/>
        <color rgb="FF008000"/>
        <rFont val="Arial"/>
        <family val="2"/>
      </rPr>
      <t>(vegan &amp; made with organic grapes)</t>
    </r>
  </si>
  <si>
    <t>LSAVMO2019C</t>
  </si>
  <si>
    <t>93 VM, 92 Falstaff Magazine</t>
  </si>
  <si>
    <t>92 VM, 90 WE</t>
  </si>
  <si>
    <r>
      <t xml:space="preserve">stateside special order, </t>
    </r>
    <r>
      <rPr>
        <b/>
        <i/>
        <sz val="8"/>
        <color rgb="FF0131FF"/>
        <rFont val="Calibri"/>
        <family val="2"/>
      </rPr>
      <t xml:space="preserve">PRICE INCREASE </t>
    </r>
  </si>
  <si>
    <t>VDLFRI2024</t>
  </si>
  <si>
    <t>94 VM, 94 JS</t>
  </si>
  <si>
    <t xml:space="preserve">14 cases and 6 bottles left before price increase </t>
  </si>
  <si>
    <t>CTOMLO2021</t>
  </si>
  <si>
    <r>
      <t xml:space="preserve">1 on 10 </t>
    </r>
    <r>
      <rPr>
        <b/>
        <i/>
        <sz val="8"/>
        <color rgb="FFFF0000"/>
        <rFont val="Calibri"/>
        <family val="2"/>
      </rPr>
      <t>- 2020 SOLD OUT</t>
    </r>
  </si>
  <si>
    <t>95 + Gold Medal - Wine Pleasures, 94 JS, 92 Falstaff magazine</t>
  </si>
  <si>
    <t>96 + Gold Medal - Wine Pleasures, 91 Falstaff Magazine</t>
  </si>
  <si>
    <t>CCOLBO2024</t>
  </si>
  <si>
    <t>2cs</t>
  </si>
  <si>
    <r>
      <t xml:space="preserve">BARBARESCO DOCG </t>
    </r>
    <r>
      <rPr>
        <b/>
        <i/>
        <sz val="8"/>
        <rFont val="Arial"/>
        <family val="2"/>
      </rPr>
      <t xml:space="preserve">VALEIRANO </t>
    </r>
    <r>
      <rPr>
        <sz val="8"/>
        <rFont val="Arial"/>
        <family val="2"/>
      </rPr>
      <t>2014</t>
    </r>
  </si>
  <si>
    <t>LSABVO2014</t>
  </si>
  <si>
    <r>
      <t xml:space="preserve">LANGHE BIANCO DOC </t>
    </r>
    <r>
      <rPr>
        <b/>
        <i/>
        <sz val="8"/>
        <rFont val="Arial"/>
        <family val="2"/>
      </rPr>
      <t>BEN TURNO</t>
    </r>
    <r>
      <rPr>
        <sz val="8"/>
        <rFont val="Arial"/>
        <family val="2"/>
      </rPr>
      <t xml:space="preserve">  2024 </t>
    </r>
    <r>
      <rPr>
        <i/>
        <sz val="7"/>
        <color rgb="FFC00000"/>
        <rFont val="Arial"/>
        <family val="2"/>
      </rPr>
      <t xml:space="preserve"> (90% Arneis, 10% Sylvaner &amp; Chardonnay) </t>
    </r>
  </si>
  <si>
    <r>
      <t xml:space="preserve">LANGHE BIANCO DOC </t>
    </r>
    <r>
      <rPr>
        <b/>
        <i/>
        <sz val="8"/>
        <rFont val="Arial"/>
        <family val="2"/>
      </rPr>
      <t>BEN TURNO</t>
    </r>
    <r>
      <rPr>
        <sz val="8"/>
        <rFont val="Arial"/>
        <family val="2"/>
      </rPr>
      <t xml:space="preserve">  2023 </t>
    </r>
    <r>
      <rPr>
        <i/>
        <sz val="7"/>
        <color rgb="FFC00000"/>
        <rFont val="Arial"/>
        <family val="2"/>
      </rPr>
      <t xml:space="preserve"> (90% Arneis, 10% Sylvaner &amp; Chardonnay) -</t>
    </r>
    <r>
      <rPr>
        <i/>
        <sz val="7"/>
        <color rgb="FF008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(made with organic grapes)</t>
    </r>
  </si>
  <si>
    <t>CCOBBN2017</t>
  </si>
  <si>
    <r>
      <t xml:space="preserve">BARBARESCO RISERVA DOCG </t>
    </r>
    <r>
      <rPr>
        <b/>
        <i/>
        <sz val="8"/>
        <rFont val="Arial"/>
        <family val="2"/>
      </rPr>
      <t>BALUCHIN</t>
    </r>
    <r>
      <rPr>
        <sz val="8"/>
        <rFont val="Arial"/>
        <family val="2"/>
      </rPr>
      <t xml:space="preserve"> 2017</t>
    </r>
  </si>
  <si>
    <t>1 on 10  - - SOLD OUT</t>
  </si>
  <si>
    <r>
      <t xml:space="preserve">BARBERA D'ASTI SUPERIORE DOCG </t>
    </r>
    <r>
      <rPr>
        <b/>
        <i/>
        <strike/>
        <sz val="8"/>
        <color rgb="FFFF0000"/>
        <rFont val="Arial"/>
        <family val="2"/>
      </rPr>
      <t xml:space="preserve">CÀ DI PIAN </t>
    </r>
    <r>
      <rPr>
        <strike/>
        <sz val="8"/>
        <color rgb="FFFF0000"/>
        <rFont val="Arial"/>
        <family val="2"/>
      </rPr>
      <t xml:space="preserve">2022 </t>
    </r>
    <r>
      <rPr>
        <b/>
        <i/>
        <strike/>
        <sz val="7"/>
        <color rgb="FFFF0000"/>
        <rFont val="Arial"/>
        <family val="2"/>
      </rPr>
      <t>(vegan &amp; made with organic grapes)</t>
    </r>
    <r>
      <rPr>
        <b/>
        <sz val="8"/>
        <color rgb="FFFF0000"/>
        <rFont val="Arial"/>
        <family val="2"/>
      </rPr>
      <t xml:space="preserve"> - - - -  SOLD OUT</t>
    </r>
  </si>
  <si>
    <t>95 VM, 95 Jeb Dunnuck</t>
  </si>
  <si>
    <t>95 Jeb Dunnuck, 94+ VM</t>
  </si>
  <si>
    <t>93 Jeb Dunnuck, 92 VM, 91 JS</t>
  </si>
  <si>
    <t>93 VM, 93 Jeb Dunnuck</t>
  </si>
  <si>
    <r>
      <t xml:space="preserve">TIMORASSO COLLI TORTONESI DOC </t>
    </r>
    <r>
      <rPr>
        <b/>
        <i/>
        <sz val="8"/>
        <rFont val="Arial"/>
        <family val="2"/>
      </rPr>
      <t>DERTHONA</t>
    </r>
    <r>
      <rPr>
        <sz val="8"/>
        <rFont val="Arial"/>
        <family val="2"/>
      </rPr>
      <t xml:space="preserve"> 2024 </t>
    </r>
    <r>
      <rPr>
        <b/>
        <i/>
        <sz val="7"/>
        <color rgb="FF008000"/>
        <rFont val="Arial"/>
        <family val="2"/>
      </rPr>
      <t>(vegan &amp; made with organic grapes)</t>
    </r>
  </si>
  <si>
    <t>COTEROSA2025</t>
  </si>
  <si>
    <t>BTODOCG25</t>
  </si>
  <si>
    <t>INGPRI2024</t>
  </si>
  <si>
    <t>SOLD OUT</t>
  </si>
  <si>
    <t>TSMSUP2023</t>
  </si>
  <si>
    <t xml:space="preserve">TSMPRA2023 </t>
  </si>
  <si>
    <r>
      <t xml:space="preserve">VERONA ROSSO IGT </t>
    </r>
    <r>
      <rPr>
        <b/>
        <i/>
        <sz val="8"/>
        <rFont val="Arial"/>
        <family val="2"/>
      </rPr>
      <t>PRÀGAL</t>
    </r>
    <r>
      <rPr>
        <sz val="8"/>
        <rFont val="Arial"/>
        <family val="2"/>
      </rPr>
      <t xml:space="preserve"> 2023  </t>
    </r>
    <r>
      <rPr>
        <i/>
        <sz val="7"/>
        <color rgb="FFC00000"/>
        <rFont val="Arial"/>
        <family val="2"/>
      </rPr>
      <t>(60% Corvina, 20% Merlot, 20% Syrah)</t>
    </r>
    <r>
      <rPr>
        <b/>
        <i/>
        <sz val="7"/>
        <color rgb="FFC00000"/>
        <rFont val="Arial"/>
        <family val="2"/>
      </rPr>
      <t xml:space="preserve"> ---</t>
    </r>
    <r>
      <rPr>
        <b/>
        <i/>
        <sz val="8"/>
        <color rgb="FFC00000"/>
        <rFont val="Arial"/>
        <family val="2"/>
      </rPr>
      <t xml:space="preserve"> BTG DA $8</t>
    </r>
  </si>
  <si>
    <t>TSMMER2020</t>
  </si>
  <si>
    <r>
      <t>VERONA ROSSO IGT</t>
    </r>
    <r>
      <rPr>
        <b/>
        <i/>
        <sz val="8"/>
        <rFont val="Arial"/>
        <family val="2"/>
      </rPr>
      <t xml:space="preserve"> DECIMA AUREA</t>
    </r>
    <r>
      <rPr>
        <sz val="8"/>
        <rFont val="Arial"/>
        <family val="2"/>
      </rPr>
      <t xml:space="preserve"> 2020 </t>
    </r>
    <r>
      <rPr>
        <i/>
        <sz val="7"/>
        <color rgb="FFC00000"/>
        <rFont val="Arial"/>
        <family val="2"/>
      </rPr>
      <t xml:space="preserve">(100% Merlot - 40% appassimento)  </t>
    </r>
  </si>
  <si>
    <t>TSMPRA2023C</t>
  </si>
  <si>
    <r>
      <t xml:space="preserve">VERONA ROSSO IGT </t>
    </r>
    <r>
      <rPr>
        <b/>
        <i/>
        <sz val="8"/>
        <color rgb="FF0131FF"/>
        <rFont val="Arial"/>
        <family val="2"/>
      </rPr>
      <t>PRÀGAL</t>
    </r>
    <r>
      <rPr>
        <sz val="8"/>
        <color rgb="FF0131FF"/>
        <rFont val="Arial"/>
        <family val="2"/>
      </rPr>
      <t xml:space="preserve"> 2023 1500ml </t>
    </r>
    <r>
      <rPr>
        <i/>
        <sz val="7"/>
        <color rgb="FF0131FF"/>
        <rFont val="Arial"/>
        <family val="2"/>
      </rPr>
      <t>(60% Corvina, 20% Merlot, 20% Syrah)</t>
    </r>
  </si>
  <si>
    <t>TSMCHA2024</t>
  </si>
  <si>
    <r>
      <t xml:space="preserve">CHARDONNAY VERONA IGT </t>
    </r>
    <r>
      <rPr>
        <b/>
        <i/>
        <sz val="8"/>
        <rFont val="Arial"/>
        <family val="2"/>
      </rPr>
      <t xml:space="preserve">TORRE PIEVE  </t>
    </r>
    <r>
      <rPr>
        <sz val="8"/>
        <rFont val="Arial"/>
        <family val="2"/>
      </rPr>
      <t>2024</t>
    </r>
  </si>
  <si>
    <t>INGBAP2023</t>
  </si>
  <si>
    <t>BARBERA PIEMONTE DOC 2023</t>
  </si>
  <si>
    <t>91 Falstaff</t>
  </si>
  <si>
    <t>PROSECCO SUPERIORE - VALDOBBIADENE DOCG BRUT 2025</t>
  </si>
  <si>
    <r>
      <t xml:space="preserve">stateside special order, </t>
    </r>
    <r>
      <rPr>
        <b/>
        <i/>
        <sz val="8"/>
        <color rgb="FF0000FF"/>
        <rFont val="Calibri"/>
        <family val="2"/>
      </rPr>
      <t>PRICE INCREASE</t>
    </r>
  </si>
  <si>
    <r>
      <t>stateside special order,</t>
    </r>
    <r>
      <rPr>
        <b/>
        <i/>
        <sz val="8"/>
        <color rgb="FF0000FF"/>
        <rFont val="Calibri"/>
        <family val="2"/>
      </rPr>
      <t xml:space="preserve"> PRICE INCREASE</t>
    </r>
  </si>
  <si>
    <t>INGROSE2024</t>
  </si>
  <si>
    <r>
      <t xml:space="preserve">PROSECCO ROSÉ DOC BRUT </t>
    </r>
    <r>
      <rPr>
        <b/>
        <i/>
        <sz val="8"/>
        <rFont val="Arial"/>
        <family val="2"/>
      </rPr>
      <t xml:space="preserve">MILLESIMATO </t>
    </r>
    <r>
      <rPr>
        <sz val="8"/>
        <rFont val="Arial"/>
        <family val="2"/>
      </rPr>
      <t>2024</t>
    </r>
  </si>
  <si>
    <t>63 cases and 8 bottles left before price increase</t>
  </si>
  <si>
    <t xml:space="preserve">91 Falstaff </t>
  </si>
  <si>
    <t>LSAVMO2025</t>
  </si>
  <si>
    <r>
      <t xml:space="preserve">VERMENTINO TOSCANA IGT 2025 </t>
    </r>
    <r>
      <rPr>
        <b/>
        <i/>
        <sz val="7"/>
        <color rgb="FF008000"/>
        <rFont val="Arial"/>
        <family val="2"/>
      </rPr>
      <t>(vegan &amp; made with organic grapes)</t>
    </r>
  </si>
  <si>
    <t>LSAROE2025</t>
  </si>
  <si>
    <r>
      <t xml:space="preserve">(ROSÉ) -  </t>
    </r>
    <r>
      <rPr>
        <b/>
        <i/>
        <sz val="8"/>
        <rFont val="Arial"/>
        <family val="2"/>
      </rPr>
      <t>IL ROSÉ DI CASANOVA</t>
    </r>
    <r>
      <rPr>
        <sz val="8"/>
        <rFont val="Arial"/>
        <family val="2"/>
      </rPr>
      <t xml:space="preserve"> TOSCANA IGT 2025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</si>
  <si>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BARBERA D'ASTI SUPERIORE DOCG </t>
    </r>
    <r>
      <rPr>
        <b/>
        <i/>
        <strike/>
        <sz val="8"/>
        <color rgb="FFFF0000"/>
        <rFont val="Arial"/>
        <family val="2"/>
      </rPr>
      <t>CÀ DI PIAN</t>
    </r>
    <r>
      <rPr>
        <strike/>
        <sz val="8"/>
        <color rgb="FFFF0000"/>
        <rFont val="Arial"/>
        <family val="2"/>
      </rPr>
      <t xml:space="preserve"> 2022 375ml </t>
    </r>
    <r>
      <rPr>
        <b/>
        <i/>
        <strike/>
        <sz val="7"/>
        <color rgb="FFFF0000"/>
        <rFont val="Arial"/>
        <family val="2"/>
      </rPr>
      <t>(vegan &amp; made with organic grapes)</t>
    </r>
    <r>
      <rPr>
        <sz val="8"/>
        <color rgb="FFFF0000"/>
        <rFont val="Arial"/>
        <family val="2"/>
      </rPr>
      <t xml:space="preserve"> </t>
    </r>
    <r>
      <rPr>
        <b/>
        <sz val="8"/>
        <color rgb="FFFF0000"/>
        <rFont val="Arial"/>
        <family val="2"/>
      </rPr>
      <t>- - - -  SOLD OUT</t>
    </r>
  </si>
  <si>
    <t xml:space="preserve">VALPOLICELLA CLASSICO SUPERIORE DOC 2023 </t>
  </si>
  <si>
    <r>
      <t xml:space="preserve">PRICE INCREASE </t>
    </r>
    <r>
      <rPr>
        <b/>
        <i/>
        <sz val="8"/>
        <color rgb="FFFF0000"/>
        <rFont val="Calibri"/>
        <family val="2"/>
      </rPr>
      <t xml:space="preserve"> (special offer - $142 for 28cs buy)</t>
    </r>
  </si>
  <si>
    <t>90 JS, 90 Falstaff Magazine, 89 VM</t>
  </si>
  <si>
    <r>
      <t xml:space="preserve">TIMORASSO COLLI TORTONESI DOC </t>
    </r>
    <r>
      <rPr>
        <b/>
        <i/>
        <strike/>
        <sz val="8"/>
        <color rgb="FFFF0000"/>
        <rFont val="Arial"/>
        <family val="2"/>
      </rPr>
      <t>DERTHONA</t>
    </r>
    <r>
      <rPr>
        <strike/>
        <sz val="8"/>
        <color rgb="FFFF0000"/>
        <rFont val="Arial"/>
        <family val="2"/>
      </rPr>
      <t xml:space="preserve"> 2023</t>
    </r>
    <r>
      <rPr>
        <b/>
        <i/>
        <strike/>
        <sz val="7"/>
        <color rgb="FFFF0000"/>
        <rFont val="Arial"/>
        <family val="2"/>
      </rPr>
      <t xml:space="preserve"> (vegan &amp; made with organic grapes)</t>
    </r>
    <r>
      <rPr>
        <b/>
        <sz val="8"/>
        <color rgb="FFFF0000"/>
        <rFont val="Arial"/>
        <family val="2"/>
      </rPr>
      <t xml:space="preserve">  - - - SOLD OUT</t>
    </r>
  </si>
  <si>
    <t>RDTFOS2023C</t>
  </si>
  <si>
    <t>91 WE</t>
  </si>
  <si>
    <t xml:space="preserve">1 on 10 </t>
  </si>
  <si>
    <r>
      <t>PROSECCO SUPERIORE - VALDOBBIADENE DOCG BRUT 2023</t>
    </r>
    <r>
      <rPr>
        <b/>
        <sz val="8"/>
        <color rgb="FFFF0000"/>
        <rFont val="Arial"/>
        <family val="2"/>
      </rPr>
      <t xml:space="preserve">    SOLD OUT</t>
    </r>
  </si>
  <si>
    <r>
      <t xml:space="preserve">ETNA ROSSO DOC 2022 </t>
    </r>
    <r>
      <rPr>
        <i/>
        <strike/>
        <sz val="7"/>
        <color rgb="FFFF0000"/>
        <rFont val="Arial"/>
        <family val="2"/>
      </rPr>
      <t>(100% Nerello Mascalese)</t>
    </r>
    <r>
      <rPr>
        <strike/>
        <sz val="7"/>
        <color rgb="FFFF0000"/>
        <rFont val="Arial"/>
        <family val="2"/>
      </rPr>
      <t xml:space="preserve">  </t>
    </r>
    <r>
      <rPr>
        <b/>
        <sz val="8"/>
        <color rgb="FFFF0000"/>
        <rFont val="Arial"/>
        <family val="2"/>
      </rPr>
      <t xml:space="preserve">   SOLD OUT</t>
    </r>
  </si>
  <si>
    <t>aavialble State-side December</t>
  </si>
  <si>
    <r>
      <rPr>
        <b/>
        <i/>
        <sz val="8"/>
        <color rgb="FFFF0000"/>
        <rFont val="Calibri"/>
        <family val="2"/>
      </rPr>
      <t>SUPPORT:  $15/case BTG</t>
    </r>
    <r>
      <rPr>
        <b/>
        <i/>
        <sz val="8"/>
        <color rgb="FF008000"/>
        <rFont val="Calibri"/>
        <family val="2"/>
      </rPr>
      <t xml:space="preserve"> </t>
    </r>
  </si>
  <si>
    <r>
      <t xml:space="preserve">VERMENTINO TOSCANA IGT 2024 </t>
    </r>
    <r>
      <rPr>
        <b/>
        <i/>
        <strike/>
        <sz val="7"/>
        <color rgb="FFFF0000"/>
        <rFont val="Arial"/>
        <family val="2"/>
      </rPr>
      <t>(vegan &amp; made with organic grapes)</t>
    </r>
    <r>
      <rPr>
        <b/>
        <sz val="8"/>
        <color rgb="FFFF0000"/>
        <rFont val="Arial"/>
        <family val="2"/>
      </rPr>
      <t xml:space="preserve"> - - - SOLD OUT!</t>
    </r>
  </si>
  <si>
    <t>only 1 magnum left for vintage</t>
  </si>
  <si>
    <t>CPIFAB2024</t>
  </si>
  <si>
    <t>CPIATO2024</t>
  </si>
  <si>
    <r>
      <t xml:space="preserve">SANT'ANTIMO DOC </t>
    </r>
    <r>
      <rPr>
        <b/>
        <i/>
        <sz val="8"/>
        <color theme="1"/>
        <rFont val="Arial"/>
        <family val="2"/>
      </rPr>
      <t xml:space="preserve">FABIVS </t>
    </r>
    <r>
      <rPr>
        <sz val="8"/>
        <color theme="1"/>
        <rFont val="Arial"/>
        <family val="2"/>
      </rPr>
      <t xml:space="preserve"> 2024 </t>
    </r>
    <r>
      <rPr>
        <i/>
        <sz val="7"/>
        <color theme="1"/>
        <rFont val="Arial"/>
        <family val="2"/>
      </rPr>
      <t>(100% Syrah)</t>
    </r>
  </si>
  <si>
    <r>
      <t xml:space="preserve">SANT'ANTIMO DOC </t>
    </r>
    <r>
      <rPr>
        <b/>
        <i/>
        <sz val="8"/>
        <color theme="1"/>
        <rFont val="Arial"/>
        <family val="2"/>
      </rPr>
      <t xml:space="preserve">ATEO </t>
    </r>
    <r>
      <rPr>
        <sz val="8"/>
        <color theme="1"/>
        <rFont val="Arial"/>
        <family val="2"/>
      </rPr>
      <t>2024</t>
    </r>
    <r>
      <rPr>
        <i/>
        <sz val="8"/>
        <color theme="1"/>
        <rFont val="Arial"/>
        <family val="2"/>
      </rPr>
      <t xml:space="preserve"> </t>
    </r>
    <r>
      <rPr>
        <i/>
        <sz val="7"/>
        <color theme="1"/>
        <rFont val="Arial"/>
        <family val="2"/>
      </rPr>
      <t>(50% Caberbnet Sauvignon, 50% Merlot)</t>
    </r>
  </si>
  <si>
    <r>
      <t>CHARDONNAY 2023</t>
    </r>
    <r>
      <rPr>
        <i/>
        <strike/>
        <sz val="7"/>
        <color rgb="FFFF0000"/>
        <rFont val="Arial"/>
        <family val="2"/>
      </rPr>
      <t xml:space="preserve"> (100% Chardonnay)</t>
    </r>
    <r>
      <rPr>
        <strike/>
        <sz val="8"/>
        <color rgb="FFFF0000"/>
        <rFont val="Arial"/>
        <family val="2"/>
      </rPr>
      <t xml:space="preserve"> </t>
    </r>
    <r>
      <rPr>
        <b/>
        <sz val="8"/>
        <color rgb="FFFF0000"/>
        <rFont val="Arial"/>
        <family val="2"/>
      </rPr>
      <t xml:space="preserve"> SOLD OUT</t>
    </r>
  </si>
  <si>
    <r>
      <t xml:space="preserve">PAS DOSÉ </t>
    </r>
    <r>
      <rPr>
        <b/>
        <i/>
        <sz val="8"/>
        <color rgb="FF0000FF"/>
        <rFont val="Arial"/>
        <family val="2"/>
      </rPr>
      <t xml:space="preserve">MILLESIMATO </t>
    </r>
    <r>
      <rPr>
        <sz val="8"/>
        <color rgb="FF0000FF"/>
        <rFont val="Arial"/>
        <family val="2"/>
      </rPr>
      <t xml:space="preserve"> ALTA LANGA DOCG 2022 1500ml </t>
    </r>
    <r>
      <rPr>
        <b/>
        <i/>
        <sz val="7"/>
        <color rgb="FF008000"/>
        <rFont val="Arial"/>
        <family val="2"/>
      </rPr>
      <t xml:space="preserve"> (vegan &amp; made with organic grapes)</t>
    </r>
  </si>
  <si>
    <r>
      <t xml:space="preserve">PAS DOSÉ </t>
    </r>
    <r>
      <rPr>
        <b/>
        <i/>
        <sz val="8"/>
        <color rgb="FF0000FF"/>
        <rFont val="Arial"/>
        <family val="2"/>
      </rPr>
      <t xml:space="preserve">MILLESIMATO  </t>
    </r>
    <r>
      <rPr>
        <sz val="8"/>
        <color rgb="FF0000FF"/>
        <rFont val="Arial"/>
        <family val="2"/>
      </rPr>
      <t xml:space="preserve">ALTA LANGA DOCG 2022 3000ml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</si>
  <si>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PAS DOSÉ </t>
    </r>
    <r>
      <rPr>
        <b/>
        <i/>
        <sz val="8"/>
        <color rgb="FF0000FF"/>
        <rFont val="Arial"/>
        <family val="2"/>
      </rPr>
      <t xml:space="preserve">MILLESIMATO </t>
    </r>
    <r>
      <rPr>
        <sz val="8"/>
        <color rgb="FF0000FF"/>
        <rFont val="Arial"/>
        <family val="2"/>
      </rPr>
      <t xml:space="preserve"> ALTA LANGA DOCG 2022 6000ml </t>
    </r>
    <r>
      <rPr>
        <b/>
        <i/>
        <sz val="7"/>
        <color rgb="FF008000"/>
        <rFont val="Arial"/>
        <family val="2"/>
      </rPr>
      <t>(vegan &amp; made with organic grapes)</t>
    </r>
  </si>
  <si>
    <t>CTOMLO2022C</t>
  </si>
  <si>
    <t>CTOMLO2022F</t>
  </si>
  <si>
    <t>CTOMLO2022D</t>
  </si>
  <si>
    <t>CTOMLO2022</t>
  </si>
  <si>
    <r>
      <t xml:space="preserve">PAS DOSÉ </t>
    </r>
    <r>
      <rPr>
        <b/>
        <i/>
        <sz val="8"/>
        <rFont val="Arial"/>
        <family val="2"/>
      </rPr>
      <t xml:space="preserve">MILLESIMATO  </t>
    </r>
    <r>
      <rPr>
        <sz val="8"/>
        <rFont val="Arial"/>
        <family val="2"/>
      </rPr>
      <t xml:space="preserve">ALTA LANGA DOCG 2022 </t>
    </r>
    <r>
      <rPr>
        <b/>
        <i/>
        <sz val="7"/>
        <color rgb="FF008000"/>
        <rFont val="Arial"/>
        <family val="2"/>
      </rPr>
      <t>(vegan &amp; made with organic grapes)</t>
    </r>
  </si>
  <si>
    <t>LSABBI2023C</t>
  </si>
  <si>
    <r>
      <t xml:space="preserve">BARBARESCO DOCG </t>
    </r>
    <r>
      <rPr>
        <b/>
        <i/>
        <sz val="8"/>
        <color rgb="FF0000FF"/>
        <rFont val="Arial"/>
        <family val="2"/>
      </rPr>
      <t xml:space="preserve">BORDINI </t>
    </r>
    <r>
      <rPr>
        <sz val="8"/>
        <color rgb="FF0000FF"/>
        <rFont val="Arial"/>
        <family val="2"/>
      </rPr>
      <t>2023 1500ml</t>
    </r>
    <r>
      <rPr>
        <b/>
        <i/>
        <sz val="7"/>
        <color rgb="FFFF0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</si>
  <si>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r>
      <t>PROSECCO DOC BRUT 2023</t>
    </r>
    <r>
      <rPr>
        <b/>
        <sz val="8"/>
        <color rgb="FFFF0000"/>
        <rFont val="Arial"/>
        <family val="2"/>
      </rPr>
      <t xml:space="preserve">   SOLD OUT</t>
    </r>
  </si>
  <si>
    <r>
      <rPr>
        <strike/>
        <sz val="8"/>
        <color rgb="FFFF0000"/>
        <rFont val="Arial"/>
        <family val="2"/>
      </rPr>
      <t>NERO D'AVOLA IGT 2022</t>
    </r>
    <r>
      <rPr>
        <sz val="8"/>
        <color rgb="FFFF0000"/>
        <rFont val="Arial"/>
        <family val="2"/>
      </rPr>
      <t xml:space="preserve">   </t>
    </r>
    <r>
      <rPr>
        <b/>
        <sz val="8"/>
        <color rgb="FFFF0000"/>
        <rFont val="Arial"/>
        <family val="2"/>
      </rPr>
      <t>SOLD OUT</t>
    </r>
  </si>
  <si>
    <t>CPIBDM2021</t>
  </si>
  <si>
    <t>BRUNELLO DI MONTALCINO DOCG 2021</t>
  </si>
  <si>
    <t>CPIBDM2021A</t>
  </si>
  <si>
    <t>BRUNELLO DI MONTALCINO DOCG 2021 375ml</t>
  </si>
  <si>
    <t xml:space="preserve">NJ PRICE INCREASE </t>
  </si>
  <si>
    <t>CPIBVP2021</t>
  </si>
  <si>
    <r>
      <t xml:space="preserve">BRUNELLO DI MONTALCINO DOCG </t>
    </r>
    <r>
      <rPr>
        <b/>
        <i/>
        <sz val="8"/>
        <rFont val="Arial"/>
        <family val="2"/>
      </rPr>
      <t>PIANROSSO</t>
    </r>
    <r>
      <rPr>
        <sz val="8"/>
        <rFont val="Arial"/>
        <family val="2"/>
      </rPr>
      <t xml:space="preserve"> 2021</t>
    </r>
  </si>
  <si>
    <t>CPIBVP2021C</t>
  </si>
  <si>
    <t>BRUNELLO DI MONTALCINO DOCG PIANROSSO 2021 1500ml</t>
  </si>
  <si>
    <t>NJ PRICE INCREASE</t>
  </si>
  <si>
    <t>CPIBVP2021D</t>
  </si>
  <si>
    <r>
      <t>BRUNELLO DI MONTALCINO DOCG</t>
    </r>
    <r>
      <rPr>
        <b/>
        <i/>
        <sz val="8"/>
        <color rgb="FF0000FF"/>
        <rFont val="Arial"/>
        <family val="2"/>
      </rPr>
      <t xml:space="preserve"> PIANROSSO</t>
    </r>
    <r>
      <rPr>
        <sz val="8"/>
        <color rgb="FF0000FF"/>
        <rFont val="Arial"/>
        <family val="2"/>
      </rPr>
      <t xml:space="preserve"> 2021 3000ml</t>
    </r>
  </si>
  <si>
    <t>CPIBVP2021E</t>
  </si>
  <si>
    <r>
      <t xml:space="preserve">BRUNELLO DI MONTALCINO DOCG </t>
    </r>
    <r>
      <rPr>
        <b/>
        <i/>
        <sz val="8"/>
        <color rgb="FF0000FF"/>
        <rFont val="Arial"/>
        <family val="2"/>
      </rPr>
      <t>PIANROSSO</t>
    </r>
    <r>
      <rPr>
        <sz val="8"/>
        <color rgb="FF0000FF"/>
        <rFont val="Arial"/>
        <family val="2"/>
      </rPr>
      <t xml:space="preserve"> 2021 5000ml</t>
    </r>
  </si>
  <si>
    <t>CPIBRA2020</t>
  </si>
  <si>
    <r>
      <rPr>
        <sz val="8"/>
        <color theme="1"/>
        <rFont val="Arial"/>
        <family val="2"/>
      </rPr>
      <t xml:space="preserve">BRUNELLO DI MONTALCINO RISERVA DOCG </t>
    </r>
    <r>
      <rPr>
        <b/>
        <i/>
        <sz val="8"/>
        <color theme="1"/>
        <rFont val="Arial"/>
        <family val="2"/>
      </rPr>
      <t>PIANROSSO - SANTA CATERINA D'ORO</t>
    </r>
    <r>
      <rPr>
        <sz val="8"/>
        <color theme="1"/>
        <rFont val="Arial"/>
        <family val="2"/>
      </rPr>
      <t xml:space="preserve"> 2020</t>
    </r>
    <r>
      <rPr>
        <sz val="8"/>
        <color rgb="FF0000FF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>(wood box)</t>
    </r>
  </si>
  <si>
    <t>CPIBRA2020C</t>
  </si>
  <si>
    <r>
      <t>BRUNELLO DI MONTALCINO RISERVA DOCG</t>
    </r>
    <r>
      <rPr>
        <b/>
        <i/>
        <sz val="8"/>
        <color rgb="FF0000FF"/>
        <rFont val="Arial"/>
        <family val="2"/>
      </rPr>
      <t xml:space="preserve"> PIANROSSO - SANTA CATERINA D'ORO</t>
    </r>
    <r>
      <rPr>
        <sz val="8"/>
        <color rgb="FF0000FF"/>
        <rFont val="Arial"/>
        <family val="2"/>
      </rPr>
      <t xml:space="preserve"> 2020 1.5L </t>
    </r>
    <r>
      <rPr>
        <i/>
        <sz val="6"/>
        <color rgb="FFC00000"/>
        <rFont val="Arial"/>
        <family val="2"/>
      </rPr>
      <t>(wood box)</t>
    </r>
  </si>
  <si>
    <r>
      <rPr>
        <b/>
        <i/>
        <sz val="8"/>
        <color rgb="FFC00000"/>
        <rFont val="Calibri"/>
        <family val="2"/>
      </rPr>
      <t>42 cases and 1 bottle left at this price</t>
    </r>
    <r>
      <rPr>
        <b/>
        <i/>
        <sz val="8"/>
        <color rgb="FF008000"/>
        <rFont val="Calibri"/>
        <family val="2"/>
      </rPr>
      <t xml:space="preserve"> </t>
    </r>
  </si>
  <si>
    <t>LUCTMO2024</t>
  </si>
  <si>
    <r>
      <t xml:space="preserve">TIMORASSO COLLI TORTONESI DOC </t>
    </r>
    <r>
      <rPr>
        <b/>
        <i/>
        <sz val="8"/>
        <rFont val="Arial"/>
        <family val="2"/>
      </rPr>
      <t>DERTHONA</t>
    </r>
    <r>
      <rPr>
        <sz val="8"/>
        <rFont val="Arial"/>
        <family val="2"/>
      </rPr>
      <t xml:space="preserve"> 2024</t>
    </r>
    <r>
      <rPr>
        <b/>
        <i/>
        <sz val="7"/>
        <color rgb="FFFF0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</si>
  <si>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t>CPIRDM2024</t>
  </si>
  <si>
    <t>ROSSO DI MONTALCINO DOC 2024</t>
  </si>
  <si>
    <t>CPIROS2024</t>
  </si>
  <si>
    <r>
      <t xml:space="preserve">ROSSO DI MONTLCINO DOC </t>
    </r>
    <r>
      <rPr>
        <b/>
        <i/>
        <sz val="8"/>
        <rFont val="Arial"/>
        <family val="2"/>
      </rPr>
      <t xml:space="preserve">ROSSOFONTE </t>
    </r>
    <r>
      <rPr>
        <sz val="8"/>
        <rFont val="Arial"/>
        <family val="2"/>
      </rPr>
      <t>2024</t>
    </r>
  </si>
  <si>
    <r>
      <t xml:space="preserve">BRUNELLO DI MONTALCINO DOCG </t>
    </r>
    <r>
      <rPr>
        <b/>
        <i/>
        <strike/>
        <sz val="8"/>
        <color rgb="FFFF0000"/>
        <rFont val="Arial"/>
        <family val="2"/>
      </rPr>
      <t>PIANROSSO</t>
    </r>
    <r>
      <rPr>
        <strike/>
        <sz val="8"/>
        <color rgb="FFFF0000"/>
        <rFont val="Arial"/>
        <family val="2"/>
      </rPr>
      <t xml:space="preserve"> 2020 5000ml</t>
    </r>
  </si>
  <si>
    <t>EPADAB2025</t>
  </si>
  <si>
    <r>
      <t xml:space="preserve">DOLCETTO D'ALBA DOC 2025 </t>
    </r>
    <r>
      <rPr>
        <b/>
        <i/>
        <sz val="7"/>
        <color rgb="FF008000"/>
        <rFont val="Arial"/>
        <family val="2"/>
      </rPr>
      <t xml:space="preserve">(made with organic grapes) </t>
    </r>
  </si>
  <si>
    <t>EPABAB2024</t>
  </si>
  <si>
    <r>
      <t xml:space="preserve">BARBERA D'ALBA SUPERIORE DOC 2024 </t>
    </r>
    <r>
      <rPr>
        <b/>
        <i/>
        <sz val="7"/>
        <color rgb="FF008000"/>
        <rFont val="Arial"/>
        <family val="2"/>
      </rPr>
      <t>(made with organic grapes)</t>
    </r>
  </si>
  <si>
    <t>EPALNO2024</t>
  </si>
  <si>
    <t>LANGHE NEBBIOLO DOC 2024</t>
  </si>
  <si>
    <t>EPABCI2022</t>
  </si>
  <si>
    <r>
      <t xml:space="preserve">BAROLO DOCG </t>
    </r>
    <r>
      <rPr>
        <b/>
        <i/>
        <sz val="8"/>
        <rFont val="Arial"/>
        <family val="2"/>
      </rPr>
      <t xml:space="preserve">CANNUBI </t>
    </r>
    <r>
      <rPr>
        <sz val="8"/>
        <rFont val="Arial"/>
        <family val="2"/>
      </rPr>
      <t xml:space="preserve">2022 </t>
    </r>
    <r>
      <rPr>
        <b/>
        <i/>
        <sz val="7"/>
        <color rgb="FF008000"/>
        <rFont val="Arial"/>
        <family val="2"/>
      </rPr>
      <t xml:space="preserve">(made with organic grapes) </t>
    </r>
  </si>
  <si>
    <t>EPABCI2022C</t>
  </si>
  <si>
    <r>
      <t xml:space="preserve">BAROLO DOCG </t>
    </r>
    <r>
      <rPr>
        <b/>
        <i/>
        <sz val="8"/>
        <color rgb="FF0131FF"/>
        <rFont val="Arial"/>
        <family val="2"/>
      </rPr>
      <t xml:space="preserve">CANNUBI </t>
    </r>
    <r>
      <rPr>
        <sz val="8"/>
        <color rgb="FF0131FF"/>
        <rFont val="Arial"/>
        <family val="2"/>
      </rPr>
      <t xml:space="preserve">2022 1500ml </t>
    </r>
    <r>
      <rPr>
        <b/>
        <i/>
        <sz val="7"/>
        <color rgb="FF008000"/>
        <rFont val="Arial"/>
        <family val="2"/>
      </rPr>
      <t>(made with organic grapes)</t>
    </r>
  </si>
  <si>
    <t>EPABMI2022</t>
  </si>
  <si>
    <r>
      <t xml:space="preserve">BAROLO DOCG </t>
    </r>
    <r>
      <rPr>
        <b/>
        <i/>
        <sz val="8"/>
        <rFont val="Arial"/>
        <family val="2"/>
      </rPr>
      <t xml:space="preserve">MOSCONI </t>
    </r>
    <r>
      <rPr>
        <sz val="8"/>
        <rFont val="Arial"/>
        <family val="2"/>
      </rPr>
      <t xml:space="preserve">2022 </t>
    </r>
    <r>
      <rPr>
        <b/>
        <i/>
        <sz val="7"/>
        <color rgb="FF008000"/>
        <rFont val="Arial"/>
        <family val="2"/>
      </rPr>
      <t>(made with organic grapes)</t>
    </r>
  </si>
  <si>
    <t>EPABMI2022C</t>
  </si>
  <si>
    <r>
      <t>BAROLO DOCG</t>
    </r>
    <r>
      <rPr>
        <b/>
        <i/>
        <sz val="8"/>
        <color rgb="FF0000FF"/>
        <rFont val="Arial"/>
        <family val="2"/>
      </rPr>
      <t xml:space="preserve"> MOSCONI</t>
    </r>
    <r>
      <rPr>
        <sz val="8"/>
        <color rgb="FF0000FF"/>
        <rFont val="Arial"/>
        <family val="2"/>
      </rPr>
      <t xml:space="preserve"> 2022 1500ml </t>
    </r>
    <r>
      <rPr>
        <b/>
        <i/>
        <sz val="7"/>
        <color rgb="FF008000"/>
        <rFont val="Arial"/>
        <family val="2"/>
      </rPr>
      <t>(made with organic grapes)</t>
    </r>
  </si>
  <si>
    <t>EPABMI2022D</t>
  </si>
  <si>
    <r>
      <t>BAROLO DOCG</t>
    </r>
    <r>
      <rPr>
        <b/>
        <i/>
        <sz val="8"/>
        <color rgb="FF0000FF"/>
        <rFont val="Arial"/>
        <family val="2"/>
      </rPr>
      <t xml:space="preserve"> MOSCONI </t>
    </r>
    <r>
      <rPr>
        <sz val="8"/>
        <color rgb="FF0000FF"/>
        <rFont val="Arial"/>
        <family val="2"/>
      </rPr>
      <t xml:space="preserve">2022 3000ml </t>
    </r>
    <r>
      <rPr>
        <b/>
        <i/>
        <sz val="7"/>
        <color rgb="FF008000"/>
        <rFont val="Arial"/>
        <family val="2"/>
      </rPr>
      <t>(made with organic grapes)</t>
    </r>
  </si>
  <si>
    <t>EPABMI2022E</t>
  </si>
  <si>
    <r>
      <t xml:space="preserve">BAROLO DOCG </t>
    </r>
    <r>
      <rPr>
        <b/>
        <i/>
        <sz val="8"/>
        <color rgb="FF0000FF"/>
        <rFont val="Arial"/>
        <family val="2"/>
      </rPr>
      <t xml:space="preserve">MOSCONI </t>
    </r>
    <r>
      <rPr>
        <sz val="8"/>
        <color rgb="FF0000FF"/>
        <rFont val="Arial"/>
        <family val="2"/>
      </rPr>
      <t xml:space="preserve">2022 5000ml </t>
    </r>
    <r>
      <rPr>
        <b/>
        <i/>
        <sz val="7"/>
        <color rgb="FF008000"/>
        <rFont val="Arial"/>
        <family val="2"/>
      </rPr>
      <t>(made with organic grapes)</t>
    </r>
  </si>
  <si>
    <r>
      <t xml:space="preserve">BAROLO DOCG </t>
    </r>
    <r>
      <rPr>
        <b/>
        <i/>
        <sz val="8"/>
        <rFont val="Arial"/>
        <family val="2"/>
      </rPr>
      <t>VIA NUOVA</t>
    </r>
    <r>
      <rPr>
        <sz val="8"/>
        <rFont val="Arial"/>
        <family val="2"/>
      </rPr>
      <t xml:space="preserve"> 2022 </t>
    </r>
    <r>
      <rPr>
        <b/>
        <i/>
        <sz val="7"/>
        <color rgb="FF008000"/>
        <rFont val="Arial"/>
        <family val="2"/>
      </rPr>
      <t>(made with organic grapes)</t>
    </r>
  </si>
  <si>
    <t>EPABVN2022</t>
  </si>
  <si>
    <t>EPABVN2022C</t>
  </si>
  <si>
    <r>
      <t xml:space="preserve">BAROLO DOCG </t>
    </r>
    <r>
      <rPr>
        <b/>
        <i/>
        <sz val="8"/>
        <color rgb="FF0000FF"/>
        <rFont val="Arial"/>
        <family val="2"/>
      </rPr>
      <t xml:space="preserve">VIA NUOVA </t>
    </r>
    <r>
      <rPr>
        <sz val="8"/>
        <color rgb="FF0000FF"/>
        <rFont val="Arial"/>
        <family val="2"/>
      </rPr>
      <t xml:space="preserve">2022 1500ml </t>
    </r>
    <r>
      <rPr>
        <b/>
        <i/>
        <sz val="7"/>
        <color rgb="FF008000"/>
        <rFont val="Arial"/>
        <family val="2"/>
      </rPr>
      <t>(made with organic grapes)</t>
    </r>
  </si>
  <si>
    <t>EPABVN2022D</t>
  </si>
  <si>
    <r>
      <t xml:space="preserve">BAROLO DOCG </t>
    </r>
    <r>
      <rPr>
        <b/>
        <i/>
        <sz val="8"/>
        <color rgb="FF0000FF"/>
        <rFont val="Arial"/>
        <family val="2"/>
      </rPr>
      <t>VIA NUOVA</t>
    </r>
    <r>
      <rPr>
        <sz val="8"/>
        <color rgb="FF0000FF"/>
        <rFont val="Arial"/>
        <family val="2"/>
      </rPr>
      <t xml:space="preserve"> 2022 3000ml </t>
    </r>
    <r>
      <rPr>
        <b/>
        <i/>
        <sz val="7"/>
        <color rgb="FF008000"/>
        <rFont val="Arial"/>
        <family val="2"/>
      </rPr>
      <t>(made with organic grapes)</t>
    </r>
  </si>
  <si>
    <t>EPABVN2022E</t>
  </si>
  <si>
    <r>
      <t xml:space="preserve">BAROLO DOCG </t>
    </r>
    <r>
      <rPr>
        <b/>
        <i/>
        <sz val="8"/>
        <color rgb="FF0000FF"/>
        <rFont val="Arial"/>
        <family val="2"/>
      </rPr>
      <t>VIA NUOVA</t>
    </r>
    <r>
      <rPr>
        <sz val="8"/>
        <color rgb="FF0000FF"/>
        <rFont val="Arial"/>
        <family val="2"/>
      </rPr>
      <t xml:space="preserve"> 2022 5000ml </t>
    </r>
    <r>
      <rPr>
        <b/>
        <i/>
        <sz val="7"/>
        <color rgb="FF008000"/>
        <rFont val="Arial"/>
        <family val="2"/>
      </rPr>
      <t>(made with organic grapes)</t>
    </r>
  </si>
  <si>
    <t>RDTCJA2019C</t>
  </si>
  <si>
    <t>SBAVPIN2025</t>
  </si>
  <si>
    <r>
      <t xml:space="preserve">VERDICCHIO DEI CASTELLI DI JESI DOC </t>
    </r>
    <r>
      <rPr>
        <b/>
        <i/>
        <sz val="8"/>
        <rFont val="Arial"/>
        <family val="2"/>
      </rPr>
      <t>PIGNOCCO</t>
    </r>
    <r>
      <rPr>
        <sz val="8"/>
        <rFont val="Arial"/>
        <family val="2"/>
      </rPr>
      <t xml:space="preserve"> 2025</t>
    </r>
    <r>
      <rPr>
        <sz val="8"/>
        <color rgb="FFC00000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 xml:space="preserve">(screw cap)  </t>
    </r>
    <r>
      <rPr>
        <i/>
        <sz val="8"/>
        <rFont val="Arial"/>
        <family val="2"/>
      </rPr>
      <t xml:space="preserve">  </t>
    </r>
    <r>
      <rPr>
        <sz val="8"/>
        <rFont val="Arial"/>
        <family val="2"/>
      </rPr>
      <t xml:space="preserve">      </t>
    </r>
  </si>
  <si>
    <t>SBAANF2024</t>
  </si>
  <si>
    <t>SBAANF2025</t>
  </si>
  <si>
    <r>
      <t xml:space="preserve">VERDICCHIO DEI CASTELLI DI JESI DOC </t>
    </r>
    <r>
      <rPr>
        <b/>
        <i/>
        <sz val="8"/>
        <rFont val="Arial"/>
        <family val="2"/>
      </rPr>
      <t xml:space="preserve">ANFORA </t>
    </r>
    <r>
      <rPr>
        <sz val="8"/>
        <rFont val="Arial"/>
        <family val="2"/>
      </rPr>
      <t xml:space="preserve">2025 </t>
    </r>
    <r>
      <rPr>
        <i/>
        <sz val="7"/>
        <color rgb="FFC00000"/>
        <rFont val="Arial"/>
        <family val="2"/>
      </rPr>
      <t>(anfora shaped bottle)</t>
    </r>
  </si>
  <si>
    <t>SBALEV2025A</t>
  </si>
  <si>
    <r>
      <t xml:space="preserve">VERDICCHIO DEI CASTELLI DI JESI CLASSICO DOC </t>
    </r>
    <r>
      <rPr>
        <b/>
        <i/>
        <sz val="8"/>
        <color rgb="FF0131FF"/>
        <rFont val="Arial"/>
        <family val="2"/>
      </rPr>
      <t xml:space="preserve">LE VAGLIE </t>
    </r>
    <r>
      <rPr>
        <sz val="8"/>
        <color rgb="FF0131FF"/>
        <rFont val="Arial"/>
        <family val="2"/>
      </rPr>
      <t>2025 375ml</t>
    </r>
  </si>
  <si>
    <t>SBAVDO2023</t>
  </si>
  <si>
    <r>
      <t xml:space="preserve">VERDICCHIO DEI CASTELLI DI JESI CLASSICO SUPERIORE DOC </t>
    </r>
    <r>
      <rPr>
        <b/>
        <i/>
        <sz val="8"/>
        <rFont val="Arial"/>
        <family val="2"/>
      </rPr>
      <t>STEFANO ANTONUCCI</t>
    </r>
    <r>
      <rPr>
        <sz val="8"/>
        <rFont val="Arial"/>
        <family val="2"/>
      </rPr>
      <t xml:space="preserve"> 2023</t>
    </r>
  </si>
  <si>
    <t>SBAPEC2025</t>
  </si>
  <si>
    <t>SBALINA2024</t>
  </si>
  <si>
    <r>
      <t xml:space="preserve">VERDICCHIO DEI CASTELLI DI JESI PASSITO DOC </t>
    </r>
    <r>
      <rPr>
        <b/>
        <i/>
        <sz val="8"/>
        <color rgb="FF0131FF"/>
        <rFont val="Arial"/>
        <family val="2"/>
      </rPr>
      <t>LINA</t>
    </r>
    <r>
      <rPr>
        <sz val="8"/>
        <color rgb="FF0131FF"/>
        <rFont val="Arial"/>
        <family val="2"/>
      </rPr>
      <t xml:space="preserve"> 2024</t>
    </r>
  </si>
  <si>
    <t>SBASTE2025</t>
  </si>
  <si>
    <t>SBALEV2025</t>
  </si>
  <si>
    <r>
      <t xml:space="preserve">VERDICCHIO DEI CASTELLI DI JESI CLASSICO DOC </t>
    </r>
    <r>
      <rPr>
        <b/>
        <i/>
        <sz val="8"/>
        <rFont val="Arial"/>
        <family val="2"/>
      </rPr>
      <t>LE VAGLIE</t>
    </r>
    <r>
      <rPr>
        <sz val="8"/>
        <rFont val="Arial"/>
        <family val="2"/>
      </rPr>
      <t xml:space="preserve"> 2025 </t>
    </r>
  </si>
  <si>
    <t>SBASTE2025A</t>
  </si>
  <si>
    <t>SBAMAR2023</t>
  </si>
  <si>
    <t>SBAMAS2023</t>
  </si>
  <si>
    <t>SBAPAT2022</t>
  </si>
  <si>
    <t xml:space="preserve"> </t>
  </si>
  <si>
    <r>
      <t xml:space="preserve">DOLCETTO D'ALBA DOC 2024 </t>
    </r>
    <r>
      <rPr>
        <b/>
        <i/>
        <sz val="7"/>
        <color rgb="FF008000"/>
        <rFont val="Arial"/>
        <family val="2"/>
      </rPr>
      <t xml:space="preserve">(made with organic grapes) </t>
    </r>
  </si>
  <si>
    <t xml:space="preserve">PRICE INCREASE, May Release </t>
  </si>
  <si>
    <t>EPABCI2022D</t>
  </si>
  <si>
    <r>
      <t>BAROLO DOCG</t>
    </r>
    <r>
      <rPr>
        <b/>
        <i/>
        <sz val="8"/>
        <color rgb="FF0131FF"/>
        <rFont val="Arial"/>
        <family val="2"/>
      </rPr>
      <t xml:space="preserve"> CANNUBI</t>
    </r>
    <r>
      <rPr>
        <sz val="8"/>
        <color rgb="FF0131FF"/>
        <rFont val="Arial"/>
        <family val="2"/>
      </rPr>
      <t xml:space="preserve"> 2022 3000ml </t>
    </r>
    <r>
      <rPr>
        <b/>
        <i/>
        <sz val="7"/>
        <color rgb="FF008000"/>
        <rFont val="Arial"/>
        <family val="2"/>
      </rPr>
      <t>(made with organic grapes)</t>
    </r>
  </si>
  <si>
    <t>EPABCI2022E</t>
  </si>
  <si>
    <r>
      <t xml:space="preserve">BAROLO DOCG </t>
    </r>
    <r>
      <rPr>
        <b/>
        <i/>
        <sz val="8"/>
        <color rgb="FF0131FF"/>
        <rFont val="Arial"/>
        <family val="2"/>
      </rPr>
      <t>CANNUBI</t>
    </r>
    <r>
      <rPr>
        <sz val="8"/>
        <color rgb="FF0131FF"/>
        <rFont val="Arial"/>
        <family val="2"/>
      </rPr>
      <t xml:space="preserve"> 2022 5000ml </t>
    </r>
    <r>
      <rPr>
        <b/>
        <i/>
        <sz val="7"/>
        <color rgb="FF008000"/>
        <rFont val="Arial"/>
        <family val="2"/>
      </rPr>
      <t>(made with organic grapes)</t>
    </r>
  </si>
  <si>
    <t xml:space="preserve">PRICE INCREASE,  Stateside late March </t>
  </si>
  <si>
    <t>SPECIAL PROGRAM - $263 FOR 10+ CASES</t>
  </si>
  <si>
    <r>
      <t xml:space="preserve">BARBERA D'ALBA SUPERIORE DOC 2023 </t>
    </r>
    <r>
      <rPr>
        <b/>
        <i/>
        <strike/>
        <sz val="7"/>
        <color rgb="FFFF0000"/>
        <rFont val="Arial"/>
        <family val="2"/>
      </rPr>
      <t>(made with organic grapes)</t>
    </r>
    <r>
      <rPr>
        <sz val="8"/>
        <color rgb="FFFF0000"/>
        <rFont val="Arial"/>
        <family val="2"/>
      </rPr>
      <t xml:space="preserve">        </t>
    </r>
    <r>
      <rPr>
        <b/>
        <sz val="8"/>
        <color rgb="FFFF0000"/>
        <rFont val="Arial"/>
        <family val="2"/>
      </rPr>
      <t>SOLD OUT</t>
    </r>
  </si>
  <si>
    <r>
      <t>BRUNELLO DI MONTALCINO DOCG</t>
    </r>
    <r>
      <rPr>
        <b/>
        <i/>
        <strike/>
        <sz val="8"/>
        <color rgb="FFFF0000"/>
        <rFont val="Arial"/>
        <family val="2"/>
      </rPr>
      <t xml:space="preserve"> PIANROSSO</t>
    </r>
    <r>
      <rPr>
        <strike/>
        <sz val="8"/>
        <color rgb="FFFF0000"/>
        <rFont val="Arial"/>
        <family val="2"/>
      </rPr>
      <t xml:space="preserve"> 2020 3000ml</t>
    </r>
  </si>
  <si>
    <r>
      <t xml:space="preserve">PRICE INCREASE - stateside special order  </t>
    </r>
    <r>
      <rPr>
        <b/>
        <i/>
        <sz val="8"/>
        <color rgb="FFFF0000"/>
        <rFont val="Calibri (Body)"/>
      </rPr>
      <t>(only 2 bottles available)</t>
    </r>
  </si>
  <si>
    <t>98 JS</t>
  </si>
  <si>
    <t>96 JS</t>
  </si>
  <si>
    <t>95 JS</t>
  </si>
  <si>
    <t xml:space="preserve">TARIFF </t>
  </si>
  <si>
    <t>6% tariff support fom winery– reduction of DI price</t>
  </si>
  <si>
    <t>7.5% tariff support fom winery– reduction of DI price</t>
  </si>
  <si>
    <r>
      <rPr>
        <strike/>
        <sz val="8"/>
        <color rgb="FFFF0000"/>
        <rFont val="Arial"/>
        <family val="2"/>
      </rPr>
      <t xml:space="preserve">BARBARESCO RISERVA DOCG </t>
    </r>
    <r>
      <rPr>
        <b/>
        <i/>
        <strike/>
        <sz val="8"/>
        <color rgb="FFFF0000"/>
        <rFont val="Arial"/>
        <family val="2"/>
      </rPr>
      <t>BALUCHIN</t>
    </r>
    <r>
      <rPr>
        <strike/>
        <sz val="8"/>
        <color rgb="FFFF0000"/>
        <rFont val="Arial"/>
        <family val="2"/>
      </rPr>
      <t xml:space="preserve"> 2016 </t>
    </r>
    <r>
      <rPr>
        <sz val="8"/>
        <color rgb="FFFF0000"/>
        <rFont val="Arial"/>
        <family val="2"/>
      </rPr>
      <t xml:space="preserve">    SOLD OUT</t>
    </r>
  </si>
  <si>
    <t>(for NJ orders only) - 2on10 free goods program</t>
  </si>
  <si>
    <t>10% tariff support fom winery– reduction of DI price</t>
  </si>
  <si>
    <t>expires June 30th - then goes to 3.25% support</t>
  </si>
  <si>
    <t>(for NJ orders only) - 1on10 free goods program</t>
  </si>
  <si>
    <r>
      <t>(for NJ orders only) - 1on10 free goods program -</t>
    </r>
    <r>
      <rPr>
        <b/>
        <i/>
        <sz val="8"/>
        <color rgb="FF0000FF"/>
        <rFont val="Calibri"/>
        <family val="2"/>
      </rPr>
      <t xml:space="preserve"> PRICE INCREASE</t>
    </r>
  </si>
  <si>
    <r>
      <rPr>
        <b/>
        <i/>
        <sz val="8"/>
        <color rgb="FFFF0000"/>
        <rFont val="Calibri"/>
        <family val="2"/>
      </rPr>
      <t xml:space="preserve">(for NJ orders only) - 1on10 free goods program, </t>
    </r>
    <r>
      <rPr>
        <b/>
        <i/>
        <sz val="8"/>
        <color rgb="FF0000FF"/>
        <rFont val="Calibri"/>
        <family val="2"/>
      </rPr>
      <t>PRICE INCREASE</t>
    </r>
  </si>
  <si>
    <r>
      <t xml:space="preserve">(for NJ orders only) - 1on10 free goods program, </t>
    </r>
    <r>
      <rPr>
        <b/>
        <i/>
        <sz val="8"/>
        <color rgb="FF0131FF"/>
        <rFont val="Calibri"/>
        <family val="2"/>
      </rPr>
      <t xml:space="preserve">PRICE INCREASE </t>
    </r>
  </si>
  <si>
    <r>
      <rPr>
        <b/>
        <i/>
        <sz val="8"/>
        <color rgb="FF0000FF"/>
        <rFont val="Calibri"/>
        <family val="2"/>
      </rPr>
      <t>PRICE INCREASE</t>
    </r>
    <r>
      <rPr>
        <b/>
        <i/>
        <sz val="8"/>
        <color rgb="FF008000"/>
        <rFont val="Calibri"/>
        <family val="2"/>
      </rPr>
      <t xml:space="preserve"> - </t>
    </r>
    <r>
      <rPr>
        <b/>
        <i/>
        <sz val="8"/>
        <color rgb="FF0000FF"/>
        <rFont val="Calibri"/>
        <family val="2"/>
      </rPr>
      <t xml:space="preserve">min DI order 120cs </t>
    </r>
  </si>
  <si>
    <r>
      <t xml:space="preserve">BARBARESCO DOCG </t>
    </r>
    <r>
      <rPr>
        <b/>
        <i/>
        <strike/>
        <sz val="8"/>
        <color rgb="FFFF0000"/>
        <rFont val="Calibri"/>
        <family val="2"/>
        <scheme val="minor"/>
      </rPr>
      <t xml:space="preserve">BORDINI </t>
    </r>
    <r>
      <rPr>
        <strike/>
        <sz val="8"/>
        <color rgb="FFFF0000"/>
        <rFont val="Calibri"/>
        <family val="2"/>
        <scheme val="minor"/>
      </rPr>
      <t xml:space="preserve">2021 375ml </t>
    </r>
    <r>
      <rPr>
        <b/>
        <i/>
        <strike/>
        <sz val="7"/>
        <color rgb="FFFF0000"/>
        <rFont val="Calibri"/>
        <family val="2"/>
        <scheme val="minor"/>
      </rPr>
      <t>(made with organic grapes)</t>
    </r>
  </si>
  <si>
    <r>
      <rPr>
        <sz val="8"/>
        <rFont val="Arial"/>
        <family val="2"/>
      </rPr>
      <t xml:space="preserve">TOSCANA ROSSO IGT 2024 </t>
    </r>
    <r>
      <rPr>
        <sz val="8"/>
        <color rgb="FF0000FF"/>
        <rFont val="Arial"/>
        <family val="2"/>
      </rPr>
      <t xml:space="preserve"> </t>
    </r>
    <r>
      <rPr>
        <i/>
        <sz val="8"/>
        <color rgb="FFC00000"/>
        <rFont val="Arial"/>
        <family val="2"/>
      </rPr>
      <t>(75% Sangiovese, 25% Merlot, Cabernet Sauvignon, Syrah)</t>
    </r>
  </si>
  <si>
    <r>
      <t xml:space="preserve">TOSCANA ROSSO </t>
    </r>
    <r>
      <rPr>
        <b/>
        <i/>
        <sz val="8"/>
        <rFont val="Arial"/>
        <family val="2"/>
      </rPr>
      <t xml:space="preserve">PRINCIPIO </t>
    </r>
    <r>
      <rPr>
        <sz val="8"/>
        <rFont val="Arial"/>
        <family val="2"/>
      </rPr>
      <t xml:space="preserve">IGT 2018   	 </t>
    </r>
    <r>
      <rPr>
        <i/>
        <sz val="8"/>
        <color rgb="FFC00000"/>
        <rFont val="Arial"/>
        <family val="2"/>
      </rPr>
      <t>(85% Sangiovese, 7%Canaiolo 5% Cabernet Franc 3% Colorino)</t>
    </r>
  </si>
  <si>
    <r>
      <t xml:space="preserve">COLLIO BIANCO DOC </t>
    </r>
    <r>
      <rPr>
        <b/>
        <i/>
        <sz val="8"/>
        <rFont val="Arial"/>
        <family val="2"/>
      </rPr>
      <t xml:space="preserve">FOSARIN </t>
    </r>
    <r>
      <rPr>
        <sz val="8"/>
        <rFont val="Arial"/>
        <family val="2"/>
      </rPr>
      <t>2023</t>
    </r>
    <r>
      <rPr>
        <i/>
        <sz val="7.5"/>
        <color rgb="FFC00000"/>
        <rFont val="Arial"/>
        <family val="2"/>
      </rPr>
      <t xml:space="preserve">   (40% Pinot Bianco, 40% Tocai Friulano, 20% Malvasia Istriana)</t>
    </r>
  </si>
  <si>
    <r>
      <t xml:space="preserve">COLLIO BIANCO DOC </t>
    </r>
    <r>
      <rPr>
        <b/>
        <i/>
        <sz val="8"/>
        <color rgb="FF0000FF"/>
        <rFont val="Arial"/>
        <family val="2"/>
      </rPr>
      <t xml:space="preserve">FOSARIN </t>
    </r>
    <r>
      <rPr>
        <sz val="8"/>
        <color rgb="FF0000FF"/>
        <rFont val="Arial"/>
        <family val="2"/>
      </rPr>
      <t>2023</t>
    </r>
    <r>
      <rPr>
        <i/>
        <sz val="7.5"/>
        <color rgb="FF0000FF"/>
        <rFont val="Arial"/>
        <family val="2"/>
      </rPr>
      <t xml:space="preserve"> 1500ml   </t>
    </r>
    <r>
      <rPr>
        <i/>
        <sz val="7.5"/>
        <color rgb="FFC00000"/>
        <rFont val="Arial"/>
        <family val="2"/>
      </rPr>
      <t>(40% Pinot Bianco, 40% Tocai Friulano, 20% Malvasia Istriana)</t>
    </r>
  </si>
  <si>
    <r>
      <t xml:space="preserve">COLLIO ROSSO RISERVA DOC </t>
    </r>
    <r>
      <rPr>
        <b/>
        <i/>
        <sz val="8"/>
        <rFont val="Arial"/>
        <family val="2"/>
      </rPr>
      <t xml:space="preserve">CJARANDON </t>
    </r>
    <r>
      <rPr>
        <sz val="8"/>
        <rFont val="Arial"/>
        <family val="2"/>
      </rPr>
      <t xml:space="preserve">2020   </t>
    </r>
    <r>
      <rPr>
        <i/>
        <sz val="8"/>
        <color rgb="FFC00000"/>
        <rFont val="Arial"/>
        <family val="2"/>
      </rPr>
      <t xml:space="preserve"> (60% Merlot. 30% Cabernet Sauvignon, 10% Cabernet Franc)</t>
    </r>
  </si>
  <si>
    <r>
      <t xml:space="preserve">COLLIO ROSSO RISERVA DOC </t>
    </r>
    <r>
      <rPr>
        <b/>
        <i/>
        <sz val="8"/>
        <color rgb="FF0000FF"/>
        <rFont val="Arial"/>
        <family val="2"/>
      </rPr>
      <t xml:space="preserve">CJARANDON </t>
    </r>
    <r>
      <rPr>
        <sz val="8"/>
        <color rgb="FF0000FF"/>
        <rFont val="Arial"/>
        <family val="2"/>
      </rPr>
      <t xml:space="preserve">2019 1500ml  </t>
    </r>
    <r>
      <rPr>
        <i/>
        <sz val="8"/>
        <color rgb="FF0000FF"/>
        <rFont val="Arial"/>
        <family val="2"/>
      </rPr>
      <t xml:space="preserve"> </t>
    </r>
    <r>
      <rPr>
        <i/>
        <sz val="8"/>
        <color rgb="FFC00000"/>
        <rFont val="Arial"/>
        <family val="2"/>
      </rPr>
      <t>(60% Merlot. 30% Cabernet Sauvignon, 10% Cabernet Franc)</t>
    </r>
  </si>
  <si>
    <r>
      <t xml:space="preserve">MONTECUCCO SANGIOVESE DOCG 2019  </t>
    </r>
    <r>
      <rPr>
        <i/>
        <sz val="8"/>
        <color rgb="FFC00000"/>
        <rFont val="Arial"/>
        <family val="2"/>
      </rPr>
      <t>(100% Sangiovese)</t>
    </r>
  </si>
  <si>
    <t>11cs increments</t>
  </si>
  <si>
    <t>12cs increments</t>
  </si>
  <si>
    <t>21cs increments</t>
  </si>
  <si>
    <t>97+ Gardini Notes, 97 Falstaff, 97 JS (TOP 100) , 96 WA, 95 WE, 94 VM, 94 WS, 92 Decanter</t>
  </si>
  <si>
    <r>
      <t xml:space="preserve">BAROLO CHINATO DOCG  </t>
    </r>
    <r>
      <rPr>
        <b/>
        <i/>
        <sz val="8"/>
        <color rgb="FF0000FF"/>
        <rFont val="Arial"/>
        <family val="2"/>
      </rPr>
      <t>BEATRICE BOSCHIS</t>
    </r>
    <r>
      <rPr>
        <sz val="8"/>
        <color rgb="FF0000FF"/>
        <rFont val="Arial"/>
        <family val="2"/>
      </rPr>
      <t xml:space="preserve"> - 500ml   </t>
    </r>
    <r>
      <rPr>
        <sz val="8"/>
        <color rgb="FF008F00"/>
        <rFont val="Arial"/>
        <family val="2"/>
      </rPr>
      <t>(made with organic grapes)</t>
    </r>
  </si>
  <si>
    <r>
      <t xml:space="preserve">               BRUNELLO DI MONTALCINO DOCG </t>
    </r>
    <r>
      <rPr>
        <b/>
        <i/>
        <sz val="8"/>
        <rFont val="Arial"/>
        <family val="2"/>
      </rPr>
      <t xml:space="preserve">PIANROSSO - GIRO D'ITALIA </t>
    </r>
    <r>
      <rPr>
        <sz val="8"/>
        <rFont val="Arial"/>
        <family val="2"/>
      </rPr>
      <t xml:space="preserve">2017   </t>
    </r>
  </si>
  <si>
    <r>
      <t xml:space="preserve">               BRUNELLO DI MONTALCINO DOCG </t>
    </r>
    <r>
      <rPr>
        <b/>
        <i/>
        <sz val="8"/>
        <rFont val="Arial"/>
        <family val="2"/>
      </rPr>
      <t xml:space="preserve">PIANROSSO - GIRO D'ITALIA </t>
    </r>
    <r>
      <rPr>
        <sz val="8"/>
        <rFont val="Arial"/>
        <family val="2"/>
      </rPr>
      <t>2018</t>
    </r>
  </si>
  <si>
    <r>
      <t xml:space="preserve">DI QTY </t>
    </r>
    <r>
      <rPr>
        <b/>
        <sz val="9"/>
        <rFont val="Calibri"/>
        <family val="2"/>
      </rPr>
      <t xml:space="preserve">requirments </t>
    </r>
  </si>
  <si>
    <r>
      <t xml:space="preserve">PECORINO OFFIDA DOCG 2025 </t>
    </r>
    <r>
      <rPr>
        <i/>
        <sz val="8"/>
        <color rgb="FFC00000"/>
        <rFont val="Arial"/>
        <family val="2"/>
      </rPr>
      <t>(100% Pecorino)</t>
    </r>
  </si>
  <si>
    <r>
      <t>SAUVIGNON BLANC</t>
    </r>
    <r>
      <rPr>
        <b/>
        <i/>
        <sz val="8"/>
        <rFont val="Arial"/>
        <family val="2"/>
      </rPr>
      <t xml:space="preserve"> ANIMALE CELESTE</t>
    </r>
    <r>
      <rPr>
        <sz val="8"/>
        <rFont val="Arial"/>
        <family val="2"/>
      </rPr>
      <t xml:space="preserve"> 2021 </t>
    </r>
    <r>
      <rPr>
        <i/>
        <sz val="8"/>
        <color rgb="FFC00000"/>
        <rFont val="Arial"/>
        <family val="2"/>
      </rPr>
      <t>(100% Sauvignon Blanc)</t>
    </r>
  </si>
  <si>
    <r>
      <t xml:space="preserve">ROSSO PICENO DOC </t>
    </r>
    <r>
      <rPr>
        <b/>
        <i/>
        <sz val="8"/>
        <rFont val="Arial"/>
        <family val="2"/>
      </rPr>
      <t>STÈ</t>
    </r>
    <r>
      <rPr>
        <sz val="8"/>
        <rFont val="Arial"/>
        <family val="2"/>
      </rPr>
      <t xml:space="preserve"> 2023 </t>
    </r>
    <r>
      <rPr>
        <sz val="8"/>
        <color rgb="FFC00000"/>
        <rFont val="Arial"/>
        <family val="2"/>
      </rPr>
      <t>(</t>
    </r>
    <r>
      <rPr>
        <i/>
        <sz val="8"/>
        <color rgb="FFC00000"/>
        <rFont val="Arial"/>
        <family val="2"/>
      </rPr>
      <t>70% Montepulciano, 30% Sangiovese) screw cap</t>
    </r>
  </si>
  <si>
    <r>
      <t xml:space="preserve">ROSSO PICENO DOC </t>
    </r>
    <r>
      <rPr>
        <b/>
        <i/>
        <sz val="8"/>
        <rFont val="Arial"/>
        <family val="2"/>
      </rPr>
      <t>STÈ</t>
    </r>
    <r>
      <rPr>
        <sz val="8"/>
        <rFont val="Arial"/>
        <family val="2"/>
      </rPr>
      <t xml:space="preserve"> 2025 </t>
    </r>
    <r>
      <rPr>
        <sz val="8"/>
        <color rgb="FFC00000"/>
        <rFont val="Arial"/>
        <family val="2"/>
      </rPr>
      <t>(</t>
    </r>
    <r>
      <rPr>
        <i/>
        <sz val="8"/>
        <color rgb="FFC00000"/>
        <rFont val="Arial"/>
        <family val="2"/>
      </rPr>
      <t>70% Montepulciano, 30% Sangiovese) screw cap</t>
    </r>
  </si>
  <si>
    <r>
      <t xml:space="preserve">LACRIMA DI MORRO D'ALBA DOC </t>
    </r>
    <r>
      <rPr>
        <b/>
        <i/>
        <sz val="8"/>
        <rFont val="Arial"/>
        <family val="2"/>
      </rPr>
      <t xml:space="preserve">PIGNOCCO </t>
    </r>
    <r>
      <rPr>
        <sz val="8"/>
        <rFont val="Arial"/>
        <family val="2"/>
      </rPr>
      <t xml:space="preserve">2023 </t>
    </r>
    <r>
      <rPr>
        <i/>
        <sz val="8"/>
        <color rgb="FFC00000"/>
        <rFont val="Arial"/>
        <family val="2"/>
      </rPr>
      <t>(100% Lacrima)</t>
    </r>
  </si>
  <si>
    <r>
      <t xml:space="preserve">ROSSO PICENO DOC </t>
    </r>
    <r>
      <rPr>
        <b/>
        <i/>
        <sz val="8"/>
        <rFont val="Arial"/>
        <family val="2"/>
      </rPr>
      <t>IL MASCHIO DA MONTE</t>
    </r>
    <r>
      <rPr>
        <sz val="8"/>
        <rFont val="Arial"/>
        <family val="2"/>
      </rPr>
      <t xml:space="preserve"> 2022 </t>
    </r>
    <r>
      <rPr>
        <i/>
        <sz val="8"/>
        <color rgb="FFC00000"/>
        <rFont val="Arial"/>
        <family val="2"/>
      </rPr>
      <t>(85% Montepulciano, 15% Sangiovese) wood box</t>
    </r>
  </si>
  <si>
    <r>
      <t xml:space="preserve">ROSSO PICENO DOC </t>
    </r>
    <r>
      <rPr>
        <b/>
        <i/>
        <sz val="8"/>
        <rFont val="Arial"/>
        <family val="2"/>
      </rPr>
      <t>IL MASCHIO DA MONTE</t>
    </r>
    <r>
      <rPr>
        <sz val="8"/>
        <rFont val="Arial"/>
        <family val="2"/>
      </rPr>
      <t xml:space="preserve"> 2023 </t>
    </r>
    <r>
      <rPr>
        <i/>
        <sz val="8"/>
        <color rgb="FFC00000"/>
        <rFont val="Arial"/>
        <family val="2"/>
      </rPr>
      <t>(85% Montepulciano, 15% Sangiovese) wood box</t>
    </r>
  </si>
  <si>
    <r>
      <t xml:space="preserve">MARCHE ROSSO IGT </t>
    </r>
    <r>
      <rPr>
        <b/>
        <i/>
        <sz val="8"/>
        <rFont val="Arial"/>
        <family val="2"/>
      </rPr>
      <t>PATHOS</t>
    </r>
    <r>
      <rPr>
        <sz val="8"/>
        <rFont val="Arial"/>
        <family val="2"/>
      </rPr>
      <t xml:space="preserve"> 2018 </t>
    </r>
    <r>
      <rPr>
        <i/>
        <sz val="8"/>
        <color rgb="FFC00000"/>
        <rFont val="Arial"/>
        <family val="2"/>
      </rPr>
      <t>(33% Cabernet Sauvignon, 33% Merlot, 33% Syrah)</t>
    </r>
  </si>
  <si>
    <r>
      <t xml:space="preserve">MARCHE ROSSO IGT </t>
    </r>
    <r>
      <rPr>
        <b/>
        <i/>
        <sz val="8"/>
        <rFont val="Arial"/>
        <family val="2"/>
      </rPr>
      <t>PATHOS</t>
    </r>
    <r>
      <rPr>
        <sz val="8"/>
        <rFont val="Arial"/>
        <family val="2"/>
      </rPr>
      <t xml:space="preserve"> 2021 </t>
    </r>
    <r>
      <rPr>
        <i/>
        <sz val="8"/>
        <color rgb="FFC00000"/>
        <rFont val="Arial"/>
        <family val="2"/>
      </rPr>
      <t>(33% Cabernet Sauvignon, 33% Merlot, 33% Syrah)</t>
    </r>
  </si>
  <si>
    <r>
      <t xml:space="preserve">MARCHE ROSSO IGT </t>
    </r>
    <r>
      <rPr>
        <b/>
        <i/>
        <sz val="8"/>
        <rFont val="Arial"/>
        <family val="2"/>
      </rPr>
      <t>PATHOS</t>
    </r>
    <r>
      <rPr>
        <sz val="8"/>
        <rFont val="Arial"/>
        <family val="2"/>
      </rPr>
      <t xml:space="preserve"> 2022 </t>
    </r>
    <r>
      <rPr>
        <i/>
        <sz val="8"/>
        <color rgb="FFC00000"/>
        <rFont val="Arial"/>
        <family val="2"/>
      </rPr>
      <t>(33% Cabernet Sauvignon, 33% Merlot, 33% Syrah)</t>
    </r>
  </si>
  <si>
    <r>
      <t xml:space="preserve">MARCHE ROSSO IGT </t>
    </r>
    <r>
      <rPr>
        <b/>
        <i/>
        <sz val="8"/>
        <rFont val="Arial"/>
        <family val="2"/>
      </rPr>
      <t>MOSSONE</t>
    </r>
    <r>
      <rPr>
        <i/>
        <sz val="8"/>
        <rFont val="Arial"/>
        <family val="2"/>
      </rPr>
      <t xml:space="preserve"> 2018 </t>
    </r>
    <r>
      <rPr>
        <i/>
        <sz val="8"/>
        <color rgb="FFC00000"/>
        <rFont val="Arial"/>
        <family val="2"/>
      </rPr>
      <t>(100% Merlot)</t>
    </r>
  </si>
  <si>
    <r>
      <t xml:space="preserve">MARCHE ROSSO IGT </t>
    </r>
    <r>
      <rPr>
        <b/>
        <i/>
        <sz val="8"/>
        <rFont val="Arial"/>
        <family val="2"/>
      </rPr>
      <t>MOSSONE</t>
    </r>
    <r>
      <rPr>
        <i/>
        <sz val="8"/>
        <rFont val="Arial"/>
        <family val="2"/>
      </rPr>
      <t xml:space="preserve"> 2019 </t>
    </r>
    <r>
      <rPr>
        <i/>
        <sz val="8"/>
        <color rgb="FFC00000"/>
        <rFont val="Arial"/>
        <family val="2"/>
      </rPr>
      <t>(100% Merlot)</t>
    </r>
  </si>
  <si>
    <r>
      <t xml:space="preserve">MARCHE ROSSO IGT </t>
    </r>
    <r>
      <rPr>
        <b/>
        <i/>
        <sz val="8"/>
        <rFont val="Arial"/>
        <family val="2"/>
      </rPr>
      <t xml:space="preserve">STEFANO ANTONUCCI </t>
    </r>
    <r>
      <rPr>
        <sz val="8"/>
        <rFont val="Arial"/>
        <family val="2"/>
      </rPr>
      <t xml:space="preserve">2023  </t>
    </r>
    <r>
      <rPr>
        <i/>
        <sz val="8"/>
        <color rgb="FFC00000"/>
        <rFont val="Arial"/>
        <family val="2"/>
      </rPr>
      <t>(20% Montepulciano, 40% Cab Sauv, 40% Merlot)</t>
    </r>
  </si>
  <si>
    <r>
      <t xml:space="preserve">MARCHE ROSSO IGT </t>
    </r>
    <r>
      <rPr>
        <b/>
        <i/>
        <sz val="8"/>
        <rFont val="Arial"/>
        <family val="2"/>
      </rPr>
      <t xml:space="preserve">STEFANO ANTONUCCI </t>
    </r>
    <r>
      <rPr>
        <sz val="8"/>
        <rFont val="Arial"/>
        <family val="2"/>
      </rPr>
      <t xml:space="preserve">2017  </t>
    </r>
    <r>
      <rPr>
        <sz val="8"/>
        <color rgb="FFC00000"/>
        <rFont val="Arial"/>
        <family val="2"/>
      </rPr>
      <t xml:space="preserve"> </t>
    </r>
    <r>
      <rPr>
        <i/>
        <sz val="8"/>
        <color rgb="FFC00000"/>
        <rFont val="Arial"/>
        <family val="2"/>
      </rPr>
      <t>(20% Montepulciano, 40% Cab Sauv, 40% Merlot)</t>
    </r>
  </si>
  <si>
    <r>
      <rPr>
        <sz val="8"/>
        <color rgb="FF0000FF"/>
        <rFont val="Arial"/>
        <family val="2"/>
      </rPr>
      <t xml:space="preserve">ROSSO PICENO DOC </t>
    </r>
    <r>
      <rPr>
        <b/>
        <i/>
        <sz val="8"/>
        <color rgb="FF0000FF"/>
        <rFont val="Arial"/>
        <family val="2"/>
      </rPr>
      <t xml:space="preserve">STÈ </t>
    </r>
    <r>
      <rPr>
        <sz val="8"/>
        <color rgb="FF0000FF"/>
        <rFont val="Arial"/>
        <family val="2"/>
      </rPr>
      <t xml:space="preserve">2025 375ml </t>
    </r>
    <r>
      <rPr>
        <i/>
        <sz val="8"/>
        <color rgb="FFC00000"/>
        <rFont val="Arial"/>
        <family val="2"/>
      </rPr>
      <t>(70% Montepulciano, 30% Sangiovese) screw cap</t>
    </r>
  </si>
  <si>
    <r>
      <t xml:space="preserve">                      </t>
    </r>
    <r>
      <rPr>
        <b/>
        <i/>
        <sz val="8"/>
        <color rgb="FF521B93"/>
        <rFont val="Calibri"/>
        <family val="2"/>
      </rPr>
      <t>SPECIAL COMMEMORATIVE LABEL</t>
    </r>
    <r>
      <rPr>
        <b/>
        <i/>
        <sz val="8"/>
        <color rgb="FFFF0000"/>
        <rFont val="Calibri"/>
        <family val="2"/>
      </rPr>
      <t xml:space="preserve"> - VERY LIMITED</t>
    </r>
  </si>
  <si>
    <t>LSAMBQ2025</t>
  </si>
  <si>
    <t>LSAMBQ2025A</t>
  </si>
  <si>
    <r>
      <t xml:space="preserve">MOSCATO D'ASTI DOCG </t>
    </r>
    <r>
      <rPr>
        <b/>
        <i/>
        <sz val="8"/>
        <rFont val="Arial"/>
        <family val="2"/>
      </rPr>
      <t xml:space="preserve">BRICCO QUAGLIA </t>
    </r>
    <r>
      <rPr>
        <sz val="8"/>
        <rFont val="Arial"/>
        <family val="2"/>
      </rPr>
      <t>2025</t>
    </r>
    <r>
      <rPr>
        <sz val="8"/>
        <color rgb="FF008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</si>
  <si>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MOSCATO D'ASTI DOCG </t>
    </r>
    <r>
      <rPr>
        <b/>
        <i/>
        <sz val="8"/>
        <color rgb="FF0000FF"/>
        <rFont val="Arial"/>
        <family val="2"/>
      </rPr>
      <t xml:space="preserve">BRICCO QUAGLIA </t>
    </r>
    <r>
      <rPr>
        <sz val="8"/>
        <color rgb="FF0000FF"/>
        <rFont val="Arial"/>
        <family val="2"/>
      </rPr>
      <t xml:space="preserve">2025 375ml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</si>
  <si>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MOSCATO D'ASTI DOCG </t>
    </r>
    <r>
      <rPr>
        <b/>
        <i/>
        <strike/>
        <sz val="8"/>
        <color rgb="FF0000FF"/>
        <rFont val="Arial"/>
        <family val="2"/>
      </rPr>
      <t xml:space="preserve">BRICCO QUAGLIA </t>
    </r>
    <r>
      <rPr>
        <strike/>
        <sz val="8"/>
        <color rgb="FF0000FF"/>
        <rFont val="Arial"/>
        <family val="2"/>
      </rPr>
      <t xml:space="preserve">2024 375ml </t>
    </r>
    <r>
      <rPr>
        <b/>
        <i/>
        <strike/>
        <sz val="7"/>
        <color rgb="FF008000"/>
        <rFont val="Arial"/>
        <family val="2"/>
      </rPr>
      <t>(vegan &amp; made with organic grapes)</t>
    </r>
    <r>
      <rPr>
        <strike/>
        <sz val="8"/>
        <color rgb="FF0000FF"/>
        <rFont val="Arial"/>
        <family val="2"/>
      </rPr>
      <t xml:space="preserve"> - </t>
    </r>
    <r>
      <rPr>
        <b/>
        <sz val="8"/>
        <color rgb="FFFF0000"/>
        <rFont val="Arial"/>
        <family val="2"/>
      </rPr>
      <t>SOLD OUT</t>
    </r>
  </si>
  <si>
    <t>6% tariff billback to Indigenous Selections</t>
  </si>
  <si>
    <t>7cs</t>
  </si>
  <si>
    <r>
      <t xml:space="preserve">(for NJ orders only) - 2on10 free goods program </t>
    </r>
    <r>
      <rPr>
        <b/>
        <i/>
        <sz val="8"/>
        <color rgb="FF0000FF"/>
        <rFont val="Calibri"/>
        <family val="2"/>
        <scheme val="minor"/>
      </rPr>
      <t>PRICE INCREASE</t>
    </r>
  </si>
  <si>
    <t>CTOBDB2022</t>
  </si>
  <si>
    <r>
      <t xml:space="preserve">BLANC DE BLANCS PAS DOSÉ ALTA LANGA DOCG 2022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</si>
  <si>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Beginning of March release, Stateside ETA April, 2026 - </t>
    </r>
    <r>
      <rPr>
        <b/>
        <i/>
        <sz val="8"/>
        <color rgb="FFFF0000"/>
        <rFont val="Calibri"/>
        <family val="2"/>
        <scheme val="minor"/>
      </rPr>
      <t xml:space="preserve">SUPPORT:  $5/cs BTG </t>
    </r>
  </si>
  <si>
    <t>EPABCBNV</t>
  </si>
  <si>
    <r>
      <t>(special offer -  2on20 FG EQ on 224+cs )  -</t>
    </r>
    <r>
      <rPr>
        <b/>
        <i/>
        <sz val="8"/>
        <color rgb="FFFF0000"/>
        <rFont val="Calibri"/>
        <family val="2"/>
      </rPr>
      <t xml:space="preserve"> ( NJ orders only) - 1on10 free goods program - </t>
    </r>
    <r>
      <rPr>
        <b/>
        <i/>
        <sz val="8"/>
        <color rgb="FF0000FF"/>
        <rFont val="Calibri"/>
        <family val="2"/>
      </rPr>
      <t>PRICE INCREASE</t>
    </r>
  </si>
  <si>
    <t>LSAROE2025C</t>
  </si>
  <si>
    <r>
      <rPr>
        <sz val="8"/>
        <color rgb="FF0000FF"/>
        <rFont val="Arial"/>
        <family val="2"/>
      </rPr>
      <t xml:space="preserve">(ROSÉ) -  </t>
    </r>
    <r>
      <rPr>
        <b/>
        <i/>
        <sz val="8"/>
        <color rgb="FF0000FF"/>
        <rFont val="Arial"/>
        <family val="2"/>
      </rPr>
      <t>IL ROSÉ DI CASANOVA</t>
    </r>
    <r>
      <rPr>
        <sz val="8"/>
        <color rgb="FF0000FF"/>
        <rFont val="Arial"/>
        <family val="2"/>
      </rPr>
      <t xml:space="preserve"> TOSCANA IGT 2025 1500ml</t>
    </r>
    <r>
      <rPr>
        <sz val="8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(made with organic grapes)</t>
    </r>
  </si>
  <si>
    <t>LSAVMO2025C</t>
  </si>
  <si>
    <r>
      <rPr>
        <sz val="8"/>
        <color rgb="FF0131FF"/>
        <rFont val="Arial"/>
        <family val="2"/>
      </rPr>
      <t xml:space="preserve">VERMENTINO TOSCANA IGT 2025 1500 ml </t>
    </r>
    <r>
      <rPr>
        <b/>
        <i/>
        <sz val="7"/>
        <color rgb="FF008000"/>
        <rFont val="Arial"/>
        <family val="2"/>
      </rPr>
      <t>(vegan &amp; made with organic grapes)</t>
    </r>
  </si>
  <si>
    <t>LSANCA2022</t>
  </si>
  <si>
    <t>LSANCA2021C</t>
  </si>
  <si>
    <r>
      <t xml:space="preserve">TOSCANA SANGIOVESE IGT  </t>
    </r>
    <r>
      <rPr>
        <b/>
        <i/>
        <sz val="8"/>
        <color rgb="FF0000FF"/>
        <rFont val="Arial"/>
        <family val="2"/>
      </rPr>
      <t>IL NERO DI CASANOVA</t>
    </r>
    <r>
      <rPr>
        <sz val="8"/>
        <color rgb="FF0000FF"/>
        <rFont val="Arial"/>
        <family val="2"/>
      </rPr>
      <t xml:space="preserve"> 2021 1500ml</t>
    </r>
  </si>
  <si>
    <r>
      <rPr>
        <sz val="8"/>
        <rFont val="Arial"/>
        <family val="2"/>
      </rPr>
      <t>TOSCANA SANGIOVESE IGT</t>
    </r>
    <r>
      <rPr>
        <i/>
        <sz val="8"/>
        <rFont val="Arial"/>
        <family val="2"/>
      </rPr>
      <t xml:space="preserve"> </t>
    </r>
    <r>
      <rPr>
        <b/>
        <i/>
        <sz val="8"/>
        <rFont val="Arial"/>
        <family val="2"/>
      </rPr>
      <t xml:space="preserve">IL NERO DI CASANOVA </t>
    </r>
    <r>
      <rPr>
        <i/>
        <sz val="8"/>
        <rFont val="Arial"/>
        <family val="2"/>
      </rPr>
      <t xml:space="preserve">2022 </t>
    </r>
    <r>
      <rPr>
        <b/>
        <i/>
        <sz val="8"/>
        <rFont val="Arial"/>
        <family val="2"/>
      </rPr>
      <t xml:space="preserve"> </t>
    </r>
    <r>
      <rPr>
        <b/>
        <i/>
        <sz val="8"/>
        <color rgb="FF008F00"/>
        <rFont val="Arial"/>
        <family val="2"/>
      </rPr>
      <t>(vegan &amp; made with organic grapes)</t>
    </r>
  </si>
  <si>
    <t>LSACRA2021</t>
  </si>
  <si>
    <r>
      <t xml:space="preserve">CHIANTI RISERVA DOCG </t>
    </r>
    <r>
      <rPr>
        <b/>
        <i/>
        <sz val="8"/>
        <rFont val="Arial"/>
        <family val="2"/>
      </rPr>
      <t xml:space="preserve">CASANOVA </t>
    </r>
    <r>
      <rPr>
        <sz val="8"/>
        <rFont val="Arial"/>
        <family val="2"/>
      </rPr>
      <t xml:space="preserve">2021 </t>
    </r>
  </si>
  <si>
    <r>
      <t xml:space="preserve">CHIANTI RISERVA DOCG </t>
    </r>
    <r>
      <rPr>
        <b/>
        <i/>
        <sz val="8"/>
        <color rgb="FF0000FF"/>
        <rFont val="Arial"/>
        <family val="2"/>
      </rPr>
      <t xml:space="preserve">CASANOVA </t>
    </r>
    <r>
      <rPr>
        <sz val="8"/>
        <color rgb="FF0000FF"/>
        <rFont val="Arial"/>
        <family val="2"/>
      </rPr>
      <t>2018 1500ml</t>
    </r>
  </si>
  <si>
    <t>LSACRA2019C</t>
  </si>
  <si>
    <r>
      <t xml:space="preserve">CHIANTI RISERVA DOCG </t>
    </r>
    <r>
      <rPr>
        <b/>
        <i/>
        <sz val="8"/>
        <color rgb="FF0000FF"/>
        <rFont val="Arial"/>
        <family val="2"/>
      </rPr>
      <t xml:space="preserve">CASANOVA </t>
    </r>
    <r>
      <rPr>
        <sz val="8"/>
        <color rgb="FF0000FF"/>
        <rFont val="Arial"/>
        <family val="2"/>
      </rPr>
      <t>2019 1500ml</t>
    </r>
  </si>
  <si>
    <t>LSAGEN2022</t>
  </si>
  <si>
    <r>
      <t>TOSCANA ROSSO IGT</t>
    </r>
    <r>
      <rPr>
        <i/>
        <sz val="8"/>
        <rFont val="Arial"/>
        <family val="2"/>
      </rPr>
      <t xml:space="preserve"> </t>
    </r>
    <r>
      <rPr>
        <b/>
        <i/>
        <sz val="8"/>
        <rFont val="Arial"/>
        <family val="2"/>
      </rPr>
      <t xml:space="preserve">IL GENTILE DI CASANOVA </t>
    </r>
    <r>
      <rPr>
        <sz val="8"/>
        <rFont val="Arial"/>
        <family val="2"/>
      </rPr>
      <t xml:space="preserve">2022 </t>
    </r>
    <r>
      <rPr>
        <i/>
        <sz val="8"/>
        <color rgb="FFC00000"/>
        <rFont val="Arial"/>
        <family val="2"/>
      </rPr>
      <t>(100% Prugnolo Gentile)</t>
    </r>
    <r>
      <rPr>
        <sz val="8"/>
        <rFont val="Arial"/>
        <family val="2"/>
      </rPr>
      <t xml:space="preserve"> </t>
    </r>
    <r>
      <rPr>
        <b/>
        <i/>
        <sz val="8"/>
        <color rgb="FF008F00"/>
        <rFont val="Arial"/>
        <family val="2"/>
      </rPr>
      <t>(vegan &amp; made with organic grapes)</t>
    </r>
  </si>
  <si>
    <t xml:space="preserve">27 caases and 7 bottles lest at this price </t>
  </si>
  <si>
    <t xml:space="preserve">9 cases and 8 bottles at this price </t>
  </si>
  <si>
    <t>LSAORO2017B</t>
  </si>
  <si>
    <r>
      <t xml:space="preserve">MOSCATO </t>
    </r>
    <r>
      <rPr>
        <b/>
        <i/>
        <sz val="8"/>
        <color rgb="FF0000FF"/>
        <rFont val="Arial"/>
        <family val="2"/>
      </rPr>
      <t>PASSITO ORO</t>
    </r>
    <r>
      <rPr>
        <sz val="8"/>
        <color rgb="FF0000FF"/>
        <rFont val="Arial"/>
        <family val="2"/>
      </rPr>
      <t xml:space="preserve"> DOC 2017 500ml</t>
    </r>
  </si>
  <si>
    <t xml:space="preserve">1 case left at this price </t>
  </si>
  <si>
    <t>LSABAG2022</t>
  </si>
  <si>
    <r>
      <t xml:space="preserve">BARBERA D'ALBA SUPERIORE DOC </t>
    </r>
    <r>
      <rPr>
        <b/>
        <i/>
        <sz val="8"/>
        <rFont val="Arial"/>
        <family val="2"/>
      </rPr>
      <t xml:space="preserve">GALLINA </t>
    </r>
    <r>
      <rPr>
        <sz val="8"/>
        <rFont val="Arial"/>
        <family val="2"/>
      </rPr>
      <t>2022</t>
    </r>
    <r>
      <rPr>
        <b/>
        <i/>
        <sz val="7"/>
        <color rgb="FF008000"/>
        <rFont val="Arial"/>
        <family val="2"/>
      </rPr>
      <t xml:space="preserve"> (vegan &amp; made with organic grapes)</t>
    </r>
  </si>
  <si>
    <t xml:space="preserve">10 cases left at this price </t>
  </si>
  <si>
    <t xml:space="preserve">8 cases and 7 bottles left at this price </t>
  </si>
  <si>
    <t>LSAPIN2022</t>
  </si>
  <si>
    <r>
      <t xml:space="preserve">MONFERRATO ROSSO DOC </t>
    </r>
    <r>
      <rPr>
        <b/>
        <i/>
        <sz val="8"/>
        <rFont val="Arial"/>
        <family val="2"/>
      </rPr>
      <t xml:space="preserve">PIN </t>
    </r>
    <r>
      <rPr>
        <sz val="8"/>
        <rFont val="Arial"/>
        <family val="2"/>
      </rPr>
      <t xml:space="preserve">2022 </t>
    </r>
    <r>
      <rPr>
        <b/>
        <i/>
        <sz val="7"/>
        <color rgb="FF008000"/>
        <rFont val="Arial"/>
        <family val="2"/>
      </rPr>
      <t>(vegan &amp; made with organic grapes)</t>
    </r>
  </si>
  <si>
    <t>LSABBI2023</t>
  </si>
  <si>
    <r>
      <t>BARBARESCO DOCG</t>
    </r>
    <r>
      <rPr>
        <b/>
        <i/>
        <sz val="8"/>
        <rFont val="Arial"/>
        <family val="2"/>
      </rPr>
      <t xml:space="preserve"> BORDINI </t>
    </r>
    <r>
      <rPr>
        <sz val="8"/>
        <rFont val="Arial"/>
        <family val="2"/>
      </rPr>
      <t>2023</t>
    </r>
    <r>
      <rPr>
        <sz val="8"/>
        <color rgb="FFC00000"/>
        <rFont val="Arial"/>
        <family val="2"/>
      </rPr>
      <t xml:space="preserve">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</si>
  <si>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BARBARESCO DOCG </t>
    </r>
    <r>
      <rPr>
        <b/>
        <i/>
        <strike/>
        <sz val="8"/>
        <color rgb="FFFF0000"/>
        <rFont val="Arial"/>
        <family val="2"/>
      </rPr>
      <t xml:space="preserve">BORDINI </t>
    </r>
    <r>
      <rPr>
        <strike/>
        <sz val="8"/>
        <color rgb="FFFF0000"/>
        <rFont val="Arial"/>
        <family val="2"/>
      </rPr>
      <t xml:space="preserve">2022 375ml </t>
    </r>
    <r>
      <rPr>
        <b/>
        <i/>
        <strike/>
        <sz val="7"/>
        <color rgb="FFFF0000"/>
        <rFont val="Arial"/>
        <family val="2"/>
      </rPr>
      <t>(vegan &amp; made with organic grapes)</t>
    </r>
    <r>
      <rPr>
        <b/>
        <i/>
        <sz val="7"/>
        <color rgb="FFFF0000"/>
        <rFont val="Arial"/>
        <family val="2"/>
      </rPr>
      <t>- - - -  SOLD OUT</t>
    </r>
  </si>
  <si>
    <r>
      <t>BARBARESCO DOCG</t>
    </r>
    <r>
      <rPr>
        <b/>
        <i/>
        <strike/>
        <sz val="8"/>
        <color rgb="FFFF0000"/>
        <rFont val="Arial"/>
        <family val="2"/>
      </rPr>
      <t xml:space="preserve"> BORDINI </t>
    </r>
    <r>
      <rPr>
        <strike/>
        <sz val="8"/>
        <color rgb="FFFF0000"/>
        <rFont val="Arial"/>
        <family val="2"/>
      </rPr>
      <t xml:space="preserve">2021 </t>
    </r>
    <r>
      <rPr>
        <b/>
        <i/>
        <strike/>
        <sz val="7"/>
        <color rgb="FFFF0000"/>
        <rFont val="Arial"/>
        <family val="2"/>
      </rPr>
      <t>(made with organic grapes)</t>
    </r>
    <r>
      <rPr>
        <sz val="8"/>
        <color rgb="FFFF0000"/>
        <rFont val="Arial"/>
        <family val="2"/>
      </rPr>
      <t xml:space="preserve"> - </t>
    </r>
    <r>
      <rPr>
        <b/>
        <sz val="8"/>
        <color rgb="FFFF0000"/>
        <rFont val="Arial"/>
        <family val="2"/>
      </rPr>
      <t>- - -  SOLD OUT</t>
    </r>
  </si>
  <si>
    <t>LSABSI2014</t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</si>
  <si>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>2014</t>
    </r>
  </si>
  <si>
    <t>LSABSI2023</t>
  </si>
  <si>
    <r>
      <t xml:space="preserve">BARBARESCO DOCG </t>
    </r>
    <r>
      <rPr>
        <b/>
        <i/>
        <sz val="8"/>
        <rFont val="Arial"/>
        <family val="2"/>
      </rPr>
      <t xml:space="preserve">STARDERI </t>
    </r>
    <r>
      <rPr>
        <sz val="8"/>
        <rFont val="Arial"/>
        <family val="2"/>
      </rPr>
      <t xml:space="preserve">2023 </t>
    </r>
    <r>
      <rPr>
        <b/>
        <i/>
        <sz val="7"/>
        <color rgb="FF008000"/>
        <rFont val="Arial"/>
        <family val="2"/>
      </rPr>
      <t>(vegan &amp; made with organic grapes)</t>
    </r>
  </si>
  <si>
    <r>
      <t xml:space="preserve"> PRICE INCREASE, </t>
    </r>
    <r>
      <rPr>
        <b/>
        <i/>
        <sz val="8"/>
        <color rgb="FF008F00"/>
        <rFont val="Calibri"/>
        <family val="2"/>
      </rPr>
      <t>stateside special order</t>
    </r>
  </si>
  <si>
    <r>
      <t xml:space="preserve">PRICE INCREASE, </t>
    </r>
    <r>
      <rPr>
        <b/>
        <i/>
        <sz val="8"/>
        <color rgb="FF008F00"/>
        <rFont val="Calibri"/>
        <family val="2"/>
      </rPr>
      <t>stateside special order</t>
    </r>
  </si>
  <si>
    <t>LSABGI2022C</t>
  </si>
  <si>
    <r>
      <t xml:space="preserve">BAROLO DOCG </t>
    </r>
    <r>
      <rPr>
        <b/>
        <i/>
        <sz val="8"/>
        <color rgb="FF0000FF"/>
        <rFont val="Arial"/>
        <family val="2"/>
      </rPr>
      <t xml:space="preserve">GARRETTI </t>
    </r>
    <r>
      <rPr>
        <sz val="8"/>
        <color rgb="FF0000FF"/>
        <rFont val="Arial"/>
        <family val="2"/>
      </rPr>
      <t xml:space="preserve">2022 1500mL </t>
    </r>
    <r>
      <rPr>
        <b/>
        <i/>
        <sz val="7"/>
        <color rgb="FF008000"/>
        <rFont val="Arial"/>
        <family val="2"/>
      </rPr>
      <t>(vegan &amp; made with organic grapes)</t>
    </r>
  </si>
  <si>
    <t xml:space="preserve">PRICE INCREASE, stateside special order, 10 cases left at this price </t>
  </si>
  <si>
    <t>LSABCE2022</t>
  </si>
  <si>
    <r>
      <t xml:space="preserve">BAROLO DOCG </t>
    </r>
    <r>
      <rPr>
        <b/>
        <i/>
        <sz val="8"/>
        <rFont val="Arial"/>
        <family val="2"/>
      </rPr>
      <t>CAMPÈ</t>
    </r>
    <r>
      <rPr>
        <sz val="8"/>
        <rFont val="Arial"/>
        <family val="2"/>
      </rPr>
      <t xml:space="preserve"> 2022 </t>
    </r>
    <r>
      <rPr>
        <b/>
        <i/>
        <sz val="7"/>
        <color rgb="FF008000"/>
        <rFont val="Arial"/>
        <family val="2"/>
      </rPr>
      <t>(vegan &amp; made with organic grapes)</t>
    </r>
  </si>
  <si>
    <t xml:space="preserve">2024 vintage release in February  - Stateside ETA March </t>
  </si>
  <si>
    <t>2024 vintage release in March  - Stateside ETA April</t>
  </si>
  <si>
    <r>
      <t xml:space="preserve">TOSCANA ROSSO </t>
    </r>
    <r>
      <rPr>
        <b/>
        <i/>
        <sz val="8"/>
        <rFont val="Arial"/>
        <family val="2"/>
      </rPr>
      <t xml:space="preserve">PRINCIPIO </t>
    </r>
    <r>
      <rPr>
        <sz val="8"/>
        <rFont val="Arial"/>
        <family val="2"/>
      </rPr>
      <t xml:space="preserve">IGT 2022   	 </t>
    </r>
    <r>
      <rPr>
        <i/>
        <sz val="8"/>
        <color rgb="FFC00000"/>
        <rFont val="Arial"/>
        <family val="2"/>
      </rPr>
      <t>(85% Sangiovese, 7%Canaiolo 5% Cabernet Franc 3% Colorino)</t>
    </r>
  </si>
  <si>
    <t>OETPRIN2022</t>
  </si>
  <si>
    <t>RDPFNO2024</t>
  </si>
  <si>
    <t>FIANO DI AVELLINO DOCG 2024</t>
  </si>
  <si>
    <t>RDPALO2024</t>
  </si>
  <si>
    <r>
      <t xml:space="preserve">AGLIANICO IRPINIA DOC </t>
    </r>
    <r>
      <rPr>
        <b/>
        <i/>
        <sz val="8"/>
        <rFont val="Arial"/>
        <family val="2"/>
      </rPr>
      <t>LE CAMPORE 1870</t>
    </r>
    <r>
      <rPr>
        <sz val="8"/>
        <rFont val="Arial"/>
        <family val="2"/>
      </rPr>
      <t xml:space="preserve"> 2024</t>
    </r>
  </si>
  <si>
    <r>
      <t xml:space="preserve">PRICE INCREASE, </t>
    </r>
    <r>
      <rPr>
        <b/>
        <i/>
        <sz val="8"/>
        <color rgb="FFFF0000"/>
        <rFont val="Calibri"/>
        <family val="2"/>
      </rPr>
      <t>47 cases and 8 bottles left at this price</t>
    </r>
  </si>
  <si>
    <t xml:space="preserve">67 casees 4 bottles left at this price </t>
  </si>
  <si>
    <t xml:space="preserve">special promo price, 12 cases and 4 bottles left at this price </t>
  </si>
  <si>
    <t>SPECIAL CLOSE OUT PRICE - 41cs and 7 bottles available</t>
  </si>
  <si>
    <t>RDPTSI2022</t>
  </si>
  <si>
    <r>
      <t xml:space="preserve">TAURASI DOCG </t>
    </r>
    <r>
      <rPr>
        <b/>
        <i/>
        <sz val="8"/>
        <rFont val="Arial"/>
        <family val="2"/>
      </rPr>
      <t xml:space="preserve">AURELIA </t>
    </r>
    <r>
      <rPr>
        <sz val="8"/>
        <rFont val="Arial"/>
        <family val="2"/>
      </rPr>
      <t>2022</t>
    </r>
  </si>
  <si>
    <t>RDTSAU2024</t>
  </si>
  <si>
    <t xml:space="preserve">15 cases and 8 bottles left at this price before increase </t>
  </si>
  <si>
    <t>INGPGI2025</t>
  </si>
  <si>
    <t>PINOT GRIGIO - DELLE VENEZIE IGT 2025</t>
  </si>
  <si>
    <r>
      <t xml:space="preserve">VERDICCHIO DEI CASTELLI DI JESI DOC </t>
    </r>
    <r>
      <rPr>
        <b/>
        <i/>
        <strike/>
        <sz val="8"/>
        <color rgb="FFFF0000"/>
        <rFont val="Arial"/>
        <family val="2"/>
      </rPr>
      <t xml:space="preserve">ANFORA </t>
    </r>
    <r>
      <rPr>
        <strike/>
        <sz val="8"/>
        <color rgb="FFFF0000"/>
        <rFont val="Arial"/>
        <family val="2"/>
      </rPr>
      <t xml:space="preserve">2024 </t>
    </r>
    <r>
      <rPr>
        <i/>
        <strike/>
        <sz val="7"/>
        <color rgb="FFFF0000"/>
        <rFont val="Arial"/>
        <family val="2"/>
      </rPr>
      <t>(anfora shaped bottle)</t>
    </r>
    <r>
      <rPr>
        <i/>
        <sz val="7"/>
        <color rgb="FFFF0000"/>
        <rFont val="Arial"/>
        <family val="2"/>
      </rPr>
      <t xml:space="preserve"> </t>
    </r>
    <r>
      <rPr>
        <b/>
        <i/>
        <sz val="8"/>
        <color rgb="FFFF0000"/>
        <rFont val="Arial"/>
        <family val="2"/>
      </rPr>
      <t>- - - -  SOLD OUT</t>
    </r>
  </si>
  <si>
    <r>
      <rPr>
        <b/>
        <i/>
        <sz val="8"/>
        <color rgb="FF008F00"/>
        <rFont val="Calibri"/>
        <family val="2"/>
      </rPr>
      <t>stateside special order</t>
    </r>
    <r>
      <rPr>
        <b/>
        <i/>
        <sz val="8"/>
        <color rgb="FF0000FF"/>
        <rFont val="Calibri"/>
        <family val="2"/>
      </rPr>
      <t>, PRICE INCREASE</t>
    </r>
  </si>
  <si>
    <t>SBASBA2025</t>
  </si>
  <si>
    <r>
      <t>SAUVIGNON BLANC</t>
    </r>
    <r>
      <rPr>
        <b/>
        <i/>
        <sz val="8"/>
        <rFont val="Arial"/>
        <family val="2"/>
      </rPr>
      <t xml:space="preserve"> ANIMALE CELESTE</t>
    </r>
    <r>
      <rPr>
        <sz val="8"/>
        <rFont val="Arial"/>
        <family val="2"/>
      </rPr>
      <t xml:space="preserve"> 2025 </t>
    </r>
    <r>
      <rPr>
        <i/>
        <sz val="8"/>
        <color rgb="FFC00000"/>
        <rFont val="Arial"/>
        <family val="2"/>
      </rPr>
      <t>(100% Sauvignon Blanc)</t>
    </r>
  </si>
  <si>
    <t xml:space="preserve">SPECIAL PROMO PRICE, 39 cases and 2 bottles </t>
  </si>
  <si>
    <t>SBALAC2025</t>
  </si>
  <si>
    <r>
      <t xml:space="preserve">LACRIMA DI MORRO D'ALBA DOC </t>
    </r>
    <r>
      <rPr>
        <b/>
        <i/>
        <sz val="8"/>
        <rFont val="Arial"/>
        <family val="2"/>
      </rPr>
      <t xml:space="preserve">PIGNOCCO </t>
    </r>
    <r>
      <rPr>
        <sz val="8"/>
        <rFont val="Arial"/>
        <family val="2"/>
      </rPr>
      <t xml:space="preserve">2025 </t>
    </r>
    <r>
      <rPr>
        <i/>
        <sz val="8"/>
        <color rgb="FFC00000"/>
        <rFont val="Arial"/>
        <family val="2"/>
      </rPr>
      <t>(100% Lacrima)</t>
    </r>
  </si>
  <si>
    <t>138</t>
  </si>
  <si>
    <t xml:space="preserve">3 cases and 8 bottles left </t>
  </si>
  <si>
    <t>SBAMOS2022</t>
  </si>
  <si>
    <r>
      <t xml:space="preserve">MARCHE ROSSO IGT </t>
    </r>
    <r>
      <rPr>
        <b/>
        <i/>
        <sz val="8"/>
        <rFont val="Arial"/>
        <family val="2"/>
      </rPr>
      <t>MOSSONE</t>
    </r>
    <r>
      <rPr>
        <i/>
        <sz val="8"/>
        <rFont val="Arial"/>
        <family val="2"/>
      </rPr>
      <t xml:space="preserve"> 2022 </t>
    </r>
    <r>
      <rPr>
        <i/>
        <sz val="8"/>
        <color rgb="FFC00000"/>
        <rFont val="Arial"/>
        <family val="2"/>
      </rPr>
      <t>(100% Merlot)</t>
    </r>
  </si>
  <si>
    <t xml:space="preserve">37 cases and 7 bottles </t>
  </si>
  <si>
    <t>TSMMER2020D</t>
  </si>
  <si>
    <r>
      <t xml:space="preserve">VERONA ROSSO IGT </t>
    </r>
    <r>
      <rPr>
        <b/>
        <i/>
        <sz val="8"/>
        <rFont val="Arial"/>
        <family val="2"/>
      </rPr>
      <t>DECIMA AUREA</t>
    </r>
    <r>
      <rPr>
        <sz val="8"/>
        <rFont val="Arial"/>
        <family val="2"/>
      </rPr>
      <t xml:space="preserve"> 2020 3000ml</t>
    </r>
    <r>
      <rPr>
        <sz val="7"/>
        <rFont val="Arial"/>
        <family val="2"/>
      </rPr>
      <t xml:space="preserve"> </t>
    </r>
    <r>
      <rPr>
        <i/>
        <sz val="7"/>
        <color rgb="FFC00000"/>
        <rFont val="Arial"/>
        <family val="2"/>
      </rPr>
      <t xml:space="preserve">(100% Merlot - 40% appassimento)  </t>
    </r>
  </si>
  <si>
    <t>TSMREC2022</t>
  </si>
  <si>
    <t>RECIOTO DELLA VALPOLICELLA CLASSICO DOCG 2022</t>
  </si>
  <si>
    <t xml:space="preserve">PRICE INCREASE, 2022 vintage release in December, 89 cases land 11 bottles left at this price </t>
  </si>
  <si>
    <r>
      <t>stateside special order, 14 cases</t>
    </r>
    <r>
      <rPr>
        <b/>
        <i/>
        <sz val="8"/>
        <color rgb="FFC00000"/>
        <rFont val="Calibri"/>
        <family val="2"/>
      </rPr>
      <t xml:space="preserve"> available </t>
    </r>
  </si>
  <si>
    <r>
      <t xml:space="preserve">BAROLO DOCG </t>
    </r>
    <r>
      <rPr>
        <b/>
        <i/>
        <strike/>
        <sz val="8"/>
        <color rgb="FFC00000"/>
        <rFont val="Arial"/>
        <family val="2"/>
      </rPr>
      <t xml:space="preserve">GARRETTI </t>
    </r>
    <r>
      <rPr>
        <strike/>
        <sz val="8"/>
        <color rgb="FFC00000"/>
        <rFont val="Arial"/>
        <family val="2"/>
      </rPr>
      <t xml:space="preserve">2021 375ml </t>
    </r>
    <r>
      <rPr>
        <b/>
        <i/>
        <strike/>
        <sz val="7"/>
        <color rgb="FFC00000"/>
        <rFont val="Arial"/>
        <family val="2"/>
      </rPr>
      <t>(vegan &amp; made with organic grapes)</t>
    </r>
    <r>
      <rPr>
        <strike/>
        <sz val="8"/>
        <color rgb="FFC00000"/>
        <rFont val="Arial"/>
        <family val="2"/>
      </rPr>
      <t>-</t>
    </r>
    <r>
      <rPr>
        <sz val="8"/>
        <color rgb="FFC00000"/>
        <rFont val="Arial"/>
        <family val="2"/>
      </rPr>
      <t xml:space="preserve"> </t>
    </r>
    <r>
      <rPr>
        <b/>
        <i/>
        <sz val="8"/>
        <color rgb="FFC00000"/>
        <rFont val="Arial"/>
        <family val="2"/>
      </rPr>
      <t>- - -  SOLD OUT</t>
    </r>
  </si>
  <si>
    <r>
      <t xml:space="preserve">SOAVE DOC </t>
    </r>
    <r>
      <rPr>
        <b/>
        <i/>
        <sz val="8"/>
        <rFont val="Arial"/>
        <family val="2"/>
      </rPr>
      <t>LEPIGA</t>
    </r>
    <r>
      <rPr>
        <sz val="8"/>
        <rFont val="Arial"/>
        <family val="2"/>
      </rPr>
      <t xml:space="preserve"> 2024</t>
    </r>
    <r>
      <rPr>
        <sz val="8"/>
        <color rgb="FFC00000"/>
        <rFont val="Arial"/>
        <family val="2"/>
      </rPr>
      <t xml:space="preserve"> </t>
    </r>
  </si>
  <si>
    <r>
      <t xml:space="preserve">VERONA ROSSO IGT </t>
    </r>
    <r>
      <rPr>
        <b/>
        <i/>
        <sz val="8"/>
        <rFont val="Arial"/>
        <family val="2"/>
      </rPr>
      <t>PRÀGAL</t>
    </r>
    <r>
      <rPr>
        <sz val="8"/>
        <rFont val="Arial"/>
        <family val="2"/>
      </rPr>
      <t xml:space="preserve"> 2023  </t>
    </r>
    <r>
      <rPr>
        <i/>
        <sz val="7"/>
        <color rgb="FFC00000"/>
        <rFont val="Arial"/>
        <family val="2"/>
      </rPr>
      <t>(60% Corvina, 20% Merlot, 20% Syrah)</t>
    </r>
  </si>
  <si>
    <t>VALPOLICELLA CLASSICO SUPERIORE RIPASSO DOC 2021</t>
  </si>
  <si>
    <t xml:space="preserve">3 cs </t>
  </si>
  <si>
    <t>3 magnums available via NJ inventory</t>
  </si>
  <si>
    <t xml:space="preserve"> 6 cases left at this price </t>
  </si>
  <si>
    <t xml:space="preserve">3 cases left at this price </t>
  </si>
  <si>
    <t xml:space="preserve">26 left at this price </t>
  </si>
  <si>
    <t>6 magnums available via NJ inventory</t>
  </si>
  <si>
    <t>15 magnums available via NJ inventory</t>
  </si>
  <si>
    <r>
      <t xml:space="preserve">CIACCI PICCOLOMINI ESTATE ORGANIC EXTRA VIRGIN OLIVE OIL 2025  - </t>
    </r>
    <r>
      <rPr>
        <b/>
        <sz val="7"/>
        <color rgb="FF008000"/>
        <rFont val="Arial"/>
        <family val="2"/>
      </rPr>
      <t xml:space="preserve">CERTIFIED </t>
    </r>
    <r>
      <rPr>
        <b/>
        <i/>
        <sz val="7"/>
        <color rgb="FF008000"/>
        <rFont val="Arial"/>
        <family val="2"/>
      </rPr>
      <t>ORGANIC</t>
    </r>
  </si>
  <si>
    <r>
      <rPr>
        <b/>
        <i/>
        <sz val="8"/>
        <color rgb="FF0000FF"/>
        <rFont val="Calibri"/>
        <family val="2"/>
      </rPr>
      <t xml:space="preserve">PRICE INCREASE </t>
    </r>
    <r>
      <rPr>
        <b/>
        <i/>
        <sz val="8"/>
        <color rgb="FFC00000"/>
        <rFont val="Calibri"/>
        <family val="2"/>
      </rPr>
      <t>- Limited availability for this vintage</t>
    </r>
  </si>
  <si>
    <t>4 cases left for vintage</t>
  </si>
  <si>
    <t>3cases left for vintage</t>
  </si>
  <si>
    <t>16cs left for vintage</t>
  </si>
  <si>
    <r>
      <t xml:space="preserve">BARBERA D'ASTI SUPERIORE DOCG </t>
    </r>
    <r>
      <rPr>
        <b/>
        <i/>
        <strike/>
        <sz val="8"/>
        <color rgb="FFFF0000"/>
        <rFont val="Arial"/>
        <family val="2"/>
      </rPr>
      <t>BIONZO</t>
    </r>
    <r>
      <rPr>
        <strike/>
        <sz val="8"/>
        <color rgb="FFFF0000"/>
        <rFont val="Arial"/>
        <family val="2"/>
      </rPr>
      <t xml:space="preserve"> 2020 </t>
    </r>
    <r>
      <rPr>
        <b/>
        <sz val="8"/>
        <color rgb="FFFF0000"/>
        <rFont val="Arial"/>
        <family val="2"/>
      </rPr>
      <t xml:space="preserve"> - - - - SOLD OUT</t>
    </r>
  </si>
  <si>
    <r>
      <rPr>
        <strike/>
        <sz val="8"/>
        <color rgb="FFFF0000"/>
        <rFont val="Arial"/>
        <family val="2"/>
      </rPr>
      <t xml:space="preserve">BARBERA D'ALBA SUPERIORE DOC </t>
    </r>
    <r>
      <rPr>
        <b/>
        <i/>
        <strike/>
        <sz val="8"/>
        <color rgb="FFFF0000"/>
        <rFont val="Arial"/>
        <family val="2"/>
      </rPr>
      <t xml:space="preserve">GALLINA </t>
    </r>
    <r>
      <rPr>
        <strike/>
        <sz val="8"/>
        <color rgb="FFFF0000"/>
        <rFont val="Arial"/>
        <family val="2"/>
      </rPr>
      <t>2021</t>
    </r>
    <r>
      <rPr>
        <b/>
        <i/>
        <strike/>
        <sz val="7"/>
        <color rgb="FFFF0000"/>
        <rFont val="Arial"/>
        <family val="2"/>
      </rPr>
      <t xml:space="preserve"> (vegan &amp; made with organic grapes)</t>
    </r>
    <r>
      <rPr>
        <strike/>
        <sz val="8"/>
        <color rgb="FFFF0000"/>
        <rFont val="Arial"/>
        <family val="2"/>
      </rPr>
      <t xml:space="preserve"> </t>
    </r>
    <r>
      <rPr>
        <sz val="8"/>
        <color rgb="FFFF0000"/>
        <rFont val="Arial"/>
        <family val="2"/>
      </rPr>
      <t xml:space="preserve">- - - - </t>
    </r>
    <r>
      <rPr>
        <b/>
        <sz val="8"/>
        <color rgb="FFFF0000"/>
        <rFont val="Arial"/>
        <family val="2"/>
      </rPr>
      <t>SOLD OUT</t>
    </r>
  </si>
  <si>
    <t>14cs</t>
  </si>
  <si>
    <r>
      <t>NJ PRICE INCREASE  -</t>
    </r>
    <r>
      <rPr>
        <b/>
        <i/>
        <sz val="11"/>
        <color rgb="FFFF0000"/>
        <rFont val="Calibri"/>
        <family val="2"/>
      </rPr>
      <t xml:space="preserve"> - can offer $372 FOB for 14+ cases</t>
    </r>
  </si>
  <si>
    <r>
      <t>NJ PRICE INCREASE  -</t>
    </r>
    <r>
      <rPr>
        <b/>
        <i/>
        <sz val="11"/>
        <color rgb="FFFF0000"/>
        <rFont val="Calibri"/>
        <family val="2"/>
      </rPr>
      <t xml:space="preserve"> - can offer $529 FOB for 7+ cases</t>
    </r>
  </si>
  <si>
    <t xml:space="preserve">min DI order 28cs </t>
  </si>
  <si>
    <r>
      <t xml:space="preserve">ETNA ROSATO DOC 2025  </t>
    </r>
    <r>
      <rPr>
        <i/>
        <sz val="7"/>
        <color rgb="FFC00000"/>
        <rFont val="Arial"/>
        <family val="2"/>
      </rPr>
      <t>(100% Nerello Mascalese)</t>
    </r>
    <r>
      <rPr>
        <sz val="8"/>
        <rFont val="Arial"/>
        <family val="2"/>
      </rPr>
      <t xml:space="preserve"> - - - </t>
    </r>
    <r>
      <rPr>
        <b/>
        <i/>
        <sz val="8"/>
        <color rgb="FFFF0000"/>
        <rFont val="Arial"/>
        <family val="2"/>
      </rPr>
      <t>- BTG DA $5</t>
    </r>
  </si>
  <si>
    <r>
      <t xml:space="preserve">PAS DOSÉ </t>
    </r>
    <r>
      <rPr>
        <b/>
        <i/>
        <sz val="8"/>
        <rFont val="Arial"/>
        <family val="2"/>
      </rPr>
      <t xml:space="preserve">SPECIAL CUVÉE RISERVA </t>
    </r>
    <r>
      <rPr>
        <sz val="8"/>
        <rFont val="Arial"/>
        <family val="2"/>
      </rPr>
      <t xml:space="preserve">ALTA LANGA DOCG 2016 - </t>
    </r>
    <r>
      <rPr>
        <b/>
        <i/>
        <sz val="8"/>
        <rFont val="Arial"/>
        <family val="2"/>
      </rPr>
      <t>wooden box</t>
    </r>
  </si>
  <si>
    <t>NEW WINE!!!  RISERVA DOCG</t>
  </si>
  <si>
    <t>LSAEVO2025</t>
  </si>
  <si>
    <t>VDLCHA2025</t>
  </si>
  <si>
    <t>CHARDONNAY - ISONZO DOC 2025</t>
  </si>
  <si>
    <t>TBA</t>
  </si>
  <si>
    <r>
      <t>CHARDONNAY - ISONZO DOC 2024</t>
    </r>
    <r>
      <rPr>
        <b/>
        <sz val="8"/>
        <color rgb="FFFF0000"/>
        <rFont val="Arial"/>
        <family val="2"/>
      </rPr>
      <t xml:space="preserve">  - - - - - SOLD OUT</t>
    </r>
  </si>
  <si>
    <r>
      <rPr>
        <strike/>
        <sz val="8"/>
        <color rgb="FFFF0000"/>
        <rFont val="Arial"/>
        <family val="2"/>
      </rPr>
      <t>TOSCANA SANGIOVESE IGT</t>
    </r>
    <r>
      <rPr>
        <i/>
        <strike/>
        <sz val="8"/>
        <color rgb="FFFF0000"/>
        <rFont val="Arial"/>
        <family val="2"/>
      </rPr>
      <t xml:space="preserve"> </t>
    </r>
    <r>
      <rPr>
        <b/>
        <i/>
        <strike/>
        <sz val="8"/>
        <color rgb="FFFF0000"/>
        <rFont val="Arial"/>
        <family val="2"/>
      </rPr>
      <t xml:space="preserve">IL NERO DI CASANOVA </t>
    </r>
    <r>
      <rPr>
        <i/>
        <strike/>
        <sz val="8"/>
        <color rgb="FFFF0000"/>
        <rFont val="Arial"/>
        <family val="2"/>
      </rPr>
      <t xml:space="preserve">2020  </t>
    </r>
    <r>
      <rPr>
        <b/>
        <i/>
        <sz val="8"/>
        <color rgb="FFFF0000"/>
        <rFont val="Arial"/>
        <family val="2"/>
      </rPr>
      <t>- - - SOLD OUT!</t>
    </r>
  </si>
  <si>
    <t xml:space="preserve">2 on 10 </t>
  </si>
  <si>
    <t xml:space="preserve">(for NJ orders only) - 2on10 free goods program </t>
  </si>
  <si>
    <r>
      <t>NEW WINE - FORTIFIED - 18% ABV - - -</t>
    </r>
    <r>
      <rPr>
        <b/>
        <i/>
        <sz val="8"/>
        <color rgb="FFFF0000"/>
        <rFont val="Calibri"/>
        <family val="2"/>
      </rPr>
      <t xml:space="preserve"> awaiting USA approval</t>
    </r>
  </si>
  <si>
    <r>
      <t xml:space="preserve">VERMENTINO TOSCANA IGT 2019 1500 ml </t>
    </r>
    <r>
      <rPr>
        <b/>
        <i/>
        <sz val="8"/>
        <color rgb="FF0131FF"/>
        <rFont val="Arial"/>
        <family val="2"/>
      </rPr>
      <t xml:space="preserve"> (SPECIAL RESERVE BOTTLING)</t>
    </r>
    <r>
      <rPr>
        <sz val="8"/>
        <color rgb="FF0131FF"/>
        <rFont val="Arial"/>
        <family val="2"/>
      </rPr>
      <t xml:space="preserve"> - - </t>
    </r>
    <r>
      <rPr>
        <sz val="8"/>
        <color rgb="FFFF40FF"/>
        <rFont val="Arial"/>
        <family val="2"/>
      </rPr>
      <t xml:space="preserve">- </t>
    </r>
    <r>
      <rPr>
        <b/>
        <sz val="8"/>
        <color rgb="FFFF40FF"/>
        <rFont val="Arial"/>
        <family val="2"/>
      </rPr>
      <t>NEW WINE!!!</t>
    </r>
  </si>
  <si>
    <t>NEW WINE</t>
  </si>
  <si>
    <r>
      <rPr>
        <b/>
        <i/>
        <sz val="8"/>
        <color rgb="FF0131FF"/>
        <rFont val="Calibri"/>
        <family val="2"/>
      </rPr>
      <t xml:space="preserve"> </t>
    </r>
    <r>
      <rPr>
        <b/>
        <i/>
        <sz val="8"/>
        <color rgb="FFFF0000"/>
        <rFont val="Calibri"/>
        <family val="2"/>
      </rPr>
      <t>(DI orderls only - 1on10 available)</t>
    </r>
  </si>
  <si>
    <r>
      <t xml:space="preserve">CONTRATTINO - </t>
    </r>
    <r>
      <rPr>
        <b/>
        <sz val="8"/>
        <rFont val="Arial"/>
        <family val="2"/>
      </rPr>
      <t>5.5% abv</t>
    </r>
    <r>
      <rPr>
        <sz val="8"/>
        <rFont val="Arial"/>
        <family val="2"/>
      </rPr>
      <t xml:space="preserve"> - </t>
    </r>
    <r>
      <rPr>
        <b/>
        <i/>
        <sz val="8"/>
        <color rgb="FF008F00"/>
        <rFont val="Arial"/>
        <family val="2"/>
      </rPr>
      <t>certified organic</t>
    </r>
  </si>
  <si>
    <t>56cs</t>
  </si>
  <si>
    <t>112cs</t>
  </si>
  <si>
    <t>224cs</t>
  </si>
  <si>
    <t>448cs</t>
  </si>
  <si>
    <r>
      <t xml:space="preserve">CONTRATTINO - </t>
    </r>
    <r>
      <rPr>
        <b/>
        <sz val="8"/>
        <color rgb="FFFF0000"/>
        <rFont val="Arial"/>
        <family val="2"/>
      </rPr>
      <t>non-alcoholic</t>
    </r>
    <r>
      <rPr>
        <sz val="8"/>
        <rFont val="Arial"/>
        <family val="2"/>
      </rPr>
      <t xml:space="preserve"> - </t>
    </r>
    <r>
      <rPr>
        <b/>
        <i/>
        <sz val="8"/>
        <color rgb="FF008F00"/>
        <rFont val="Arial"/>
        <family val="2"/>
      </rPr>
      <t>certified organic</t>
    </r>
  </si>
  <si>
    <t>1cs</t>
  </si>
  <si>
    <t>28cs</t>
  </si>
  <si>
    <t>NEW!!!</t>
  </si>
  <si>
    <t xml:space="preserve">CONTRATTINO (RTD) - PIEDMONT </t>
  </si>
  <si>
    <r>
      <t>SUPPORT:  $8/cs BTG (NJ purchases only)  - -</t>
    </r>
    <r>
      <rPr>
        <b/>
        <i/>
        <sz val="8"/>
        <color rgb="FFFF0000"/>
        <rFont val="Calibri"/>
        <family val="2"/>
      </rPr>
      <t xml:space="preserve"> 256 cases left with this price/support</t>
    </r>
  </si>
  <si>
    <r>
      <t xml:space="preserve">LA SPINETTA EXTRA VIRGIN OLIVE OIL CASANOVA ESTATE L'OLIO TOSCANO 2025 - </t>
    </r>
    <r>
      <rPr>
        <b/>
        <i/>
        <sz val="8"/>
        <color rgb="FF008000"/>
        <rFont val="Arial"/>
        <family val="2"/>
      </rPr>
      <t>CERTIFIED ORAGNIC</t>
    </r>
  </si>
  <si>
    <r>
      <t xml:space="preserve">TIMORASSO COLLI TORTONESI DOC </t>
    </r>
    <r>
      <rPr>
        <b/>
        <i/>
        <strike/>
        <sz val="8"/>
        <color rgb="FFFF0000"/>
        <rFont val="Arial"/>
        <family val="2"/>
      </rPr>
      <t>DERTHONA</t>
    </r>
    <r>
      <rPr>
        <strike/>
        <sz val="8"/>
        <color rgb="FFFF0000"/>
        <rFont val="Arial"/>
        <family val="2"/>
      </rPr>
      <t xml:space="preserve"> 2020 1500ml</t>
    </r>
    <r>
      <rPr>
        <b/>
        <i/>
        <strike/>
        <sz val="7"/>
        <color rgb="FFFF0000"/>
        <rFont val="Arial"/>
        <family val="2"/>
      </rPr>
      <t xml:space="preserve"> (made with organic grapes)</t>
    </r>
    <r>
      <rPr>
        <strike/>
        <sz val="8"/>
        <color rgb="FFFF0000"/>
        <rFont val="Arial"/>
        <family val="2"/>
      </rPr>
      <t xml:space="preserve">  - </t>
    </r>
    <r>
      <rPr>
        <b/>
        <i/>
        <strike/>
        <sz val="8"/>
        <color rgb="FFFF0000"/>
        <rFont val="Arial"/>
        <family val="2"/>
      </rPr>
      <t>wooden box</t>
    </r>
    <r>
      <rPr>
        <b/>
        <i/>
        <strike/>
        <sz val="9"/>
        <color rgb="FFFF0000"/>
        <rFont val="Arial"/>
        <family val="2"/>
      </rPr>
      <t xml:space="preserve"> (RISERVA BOTTLING)</t>
    </r>
  </si>
  <si>
    <t>2026 PRICE LIST - 1/30/2026 UPDATE</t>
  </si>
  <si>
    <t>SUPPORT $8/cs BTG  - - - $117 left at this price + support</t>
  </si>
  <si>
    <r>
      <t xml:space="preserve">SUPPORT:  $8/cs BTG (NJ purchases only)  - - </t>
    </r>
    <r>
      <rPr>
        <b/>
        <i/>
        <sz val="8"/>
        <color rgb="FFFF0000"/>
        <rFont val="Calibri"/>
        <family val="2"/>
      </rPr>
      <t>67cases left with this price + support</t>
    </r>
  </si>
  <si>
    <r>
      <t xml:space="preserve">SUPPORT:  $8/cs BTG (NJ purchases only)  - - </t>
    </r>
    <r>
      <rPr>
        <b/>
        <i/>
        <sz val="8"/>
        <color rgb="FFFF0000"/>
        <rFont val="Calibri"/>
        <family val="2"/>
      </rPr>
      <t>224 cases left with this price + support</t>
    </r>
  </si>
  <si>
    <t>COTEBIA2025</t>
  </si>
  <si>
    <r>
      <t xml:space="preserve">ETNA BIANCO DOC 2025 </t>
    </r>
    <r>
      <rPr>
        <i/>
        <sz val="7"/>
        <color rgb="FFC00000"/>
        <rFont val="Arial"/>
        <family val="2"/>
      </rPr>
      <t>(100% Carricante)</t>
    </r>
  </si>
  <si>
    <t>mid-March release from winery / State-side ETA late 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</si>
</sst>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&quot;$&quot;#,##0.0"/>
    <numFmt numFmtId="173" formatCode="&quot;$&quot;#,##0.0_);[Red]\(&quot;$&quot;#,##0.0\)"/>
  </numFmts>
  <fonts count="20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mbria"/>
      <family val="1"/>
    </font>
    <font>
      <sz val="10"/>
      <name val="Arial"/>
      <family val="2"/>
    </font>
    <font>
      <b/>
      <sz val="10"/>
      <name val="Calibri"/>
      <family val="2"/>
    </font>
    <font>
      <sz val="8"/>
      <name val="Arial"/>
      <family val="2"/>
    </font>
    <font>
      <i/>
      <sz val="8"/>
      <name val="Arial"/>
      <family val="2"/>
    </font>
    <font>
      <sz val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62"/>
      <name val="Calibri"/>
      <family val="2"/>
      <scheme val="minor"/>
    </font>
    <font>
      <sz val="8"/>
      <name val="Calibri"/>
      <family val="2"/>
    </font>
    <font>
      <sz val="8"/>
      <color rgb="FF000000"/>
      <name val="Arial"/>
      <family val="2"/>
    </font>
    <font>
      <b/>
      <i/>
      <sz val="8"/>
      <color rgb="FFFF0000"/>
      <name val="Calibri"/>
      <family val="2"/>
    </font>
    <font>
      <b/>
      <i/>
      <sz val="8"/>
      <color rgb="FFFF0000"/>
      <name val="Calibri"/>
      <family val="2"/>
      <scheme val="minor"/>
    </font>
    <font>
      <b/>
      <i/>
      <sz val="8"/>
      <color rgb="FF008000"/>
      <name val="Calibri"/>
      <family val="2"/>
    </font>
    <font>
      <sz val="8"/>
      <color rgb="FF008000"/>
      <name val="Arial"/>
      <family val="2"/>
    </font>
    <font>
      <sz val="8"/>
      <color rgb="FF0131FF"/>
      <name val="Arial"/>
      <family val="2"/>
    </font>
    <font>
      <b/>
      <sz val="8"/>
      <color rgb="FF0131FF"/>
      <name val="Arial"/>
      <family val="2"/>
    </font>
    <font>
      <sz val="8"/>
      <color rgb="FF0131FF"/>
      <name val="Calibri"/>
      <family val="2"/>
      <scheme val="minor"/>
    </font>
    <font>
      <b/>
      <sz val="8"/>
      <name val="Arial"/>
      <family val="2"/>
    </font>
    <font>
      <b/>
      <sz val="8"/>
      <name val="Arial"/>
      <family val="1"/>
    </font>
    <font>
      <sz val="8"/>
      <color indexed="8"/>
      <name val="Arial"/>
      <family val="2"/>
    </font>
    <font>
      <sz val="8"/>
      <color rgb="FF333399"/>
      <name val="Calibri"/>
      <family val="2"/>
    </font>
    <font>
      <sz val="8"/>
      <color indexed="62"/>
      <name val="Arial"/>
      <family val="2"/>
    </font>
    <font>
      <sz val="8"/>
      <color theme="1"/>
      <name val="Arial"/>
      <family val="2"/>
    </font>
    <font>
      <b/>
      <sz val="8"/>
      <color rgb="FF0000FF"/>
      <name val="Arial"/>
      <family val="2"/>
    </font>
    <font>
      <b/>
      <sz val="8"/>
      <color indexed="9"/>
      <name val="Calisto MT"/>
      <family val="1"/>
    </font>
    <font>
      <b/>
      <sz val="8"/>
      <name val="Calisto MT"/>
      <family val="1"/>
    </font>
    <font>
      <i/>
      <sz val="8"/>
      <color indexed="62"/>
      <name val="Calisto MT"/>
      <family val="1"/>
    </font>
    <font>
      <sz val="8"/>
      <color indexed="62"/>
      <name val="Calisto MT"/>
      <family val="1"/>
    </font>
    <font>
      <sz val="8"/>
      <name val="Calisto MT"/>
      <family val="1"/>
    </font>
    <font>
      <sz val="8"/>
      <color indexed="10"/>
      <name val="Arial"/>
      <family val="2"/>
    </font>
    <font>
      <sz val="8"/>
      <color rgb="FF0000FF"/>
      <name val="Calibri"/>
      <family val="2"/>
      <scheme val="minor"/>
    </font>
    <font>
      <sz val="8"/>
      <color rgb="FF333399"/>
      <name val="Arial"/>
      <family val="2"/>
    </font>
    <font>
      <sz val="8"/>
      <color rgb="FF0000FF"/>
      <name val="Arial"/>
      <family val="2"/>
    </font>
    <font>
      <b/>
      <sz val="8"/>
      <color rgb="FFFF0000"/>
      <name val="Arial"/>
      <family val="2"/>
    </font>
    <font>
      <sz val="8"/>
      <color indexed="12"/>
      <name val="Arial"/>
      <family val="2"/>
    </font>
    <font>
      <b/>
      <sz val="14"/>
      <color indexed="9"/>
      <name val="Calibri"/>
      <family val="2"/>
      <scheme val="minor"/>
    </font>
    <font>
      <b/>
      <sz val="14"/>
      <name val="Calibri"/>
      <family val="2"/>
      <scheme val="minor"/>
    </font>
    <font>
      <sz val="14"/>
      <color indexed="6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Arial"/>
      <family val="2"/>
    </font>
    <font>
      <b/>
      <i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rgb="FFC00000"/>
      <name val="Calibri"/>
      <family val="2"/>
      <scheme val="minor"/>
    </font>
    <font>
      <sz val="14"/>
      <name val="Calibri"/>
      <family val="2"/>
    </font>
    <font>
      <b/>
      <sz val="14"/>
      <color rgb="FFC00000"/>
      <name val="Calibri"/>
      <family val="2"/>
      <scheme val="minor"/>
    </font>
    <font>
      <i/>
      <sz val="14"/>
      <color indexed="62"/>
      <name val="Calibri"/>
      <family val="2"/>
      <scheme val="minor"/>
    </font>
    <font>
      <b/>
      <sz val="14"/>
      <color indexed="62"/>
      <name val="Calibri"/>
      <family val="2"/>
      <scheme val="minor"/>
    </font>
    <font>
      <sz val="14"/>
      <color indexed="62"/>
      <name val="Arial"/>
      <family val="2"/>
    </font>
    <font>
      <sz val="14"/>
      <color theme="1"/>
      <name val="Arial"/>
      <family val="2"/>
    </font>
    <font>
      <sz val="14"/>
      <color theme="1"/>
      <name val="Calibri (Body)"/>
    </font>
    <font>
      <b/>
      <i/>
      <sz val="10"/>
      <color theme="1"/>
      <name val="Calibri"/>
      <family val="2"/>
      <scheme val="minor"/>
    </font>
    <font>
      <b/>
      <i/>
      <sz val="13.5"/>
      <color rgb="FFFFFFFF"/>
      <name val="Calibri"/>
      <family val="2"/>
    </font>
    <font>
      <b/>
      <sz val="8"/>
      <color theme="9" tint="-0.249977111117893"/>
      <name val="Arial"/>
      <family val="2"/>
    </font>
    <font>
      <b/>
      <i/>
      <sz val="13"/>
      <color rgb="FFFFFFFF"/>
      <name val="Calibri (Body)"/>
    </font>
    <font>
      <b/>
      <i/>
      <sz val="10"/>
      <color rgb="FFFF0000"/>
      <name val="Calibri"/>
      <family val="2"/>
      <scheme val="minor"/>
    </font>
    <font>
      <sz val="8"/>
      <color rgb="FF0432FF"/>
      <name val="Arial"/>
      <family val="2"/>
    </font>
    <font>
      <b/>
      <sz val="14"/>
      <color rgb="FFFFFFFF"/>
      <name val="Calibri"/>
      <family val="2"/>
    </font>
    <font>
      <b/>
      <sz val="14"/>
      <name val="Calibri"/>
      <family val="2"/>
    </font>
    <font>
      <i/>
      <sz val="14"/>
      <color rgb="FF333399"/>
      <name val="Calibri"/>
      <family val="2"/>
    </font>
    <font>
      <sz val="14"/>
      <color rgb="FF333399"/>
      <name val="Calibri"/>
      <family val="2"/>
    </font>
    <font>
      <sz val="14"/>
      <color rgb="FFC00000"/>
      <name val="Calibri"/>
      <family val="2"/>
    </font>
    <font>
      <sz val="8"/>
      <color rgb="FF0000FF"/>
      <name val="Calibri"/>
      <family val="2"/>
    </font>
    <font>
      <i/>
      <sz val="8"/>
      <color rgb="FFC00000"/>
      <name val="Arial"/>
      <family val="2"/>
    </font>
    <font>
      <b/>
      <sz val="8"/>
      <color rgb="FFFFFF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8"/>
      <color rgb="FFC00000"/>
      <name val="Arial"/>
      <family val="2"/>
    </font>
    <font>
      <b/>
      <i/>
      <sz val="8"/>
      <color rgb="FFC00000"/>
      <name val="Arial"/>
      <family val="2"/>
    </font>
    <font>
      <b/>
      <i/>
      <sz val="8"/>
      <color rgb="FFC00000"/>
      <name val="Calibri"/>
      <family val="2"/>
    </font>
    <font>
      <sz val="8"/>
      <color rgb="FF0131FF"/>
      <name val="Calibri"/>
      <family val="2"/>
    </font>
    <font>
      <sz val="8"/>
      <color rgb="FF000000"/>
      <name val="Calibri"/>
      <family val="2"/>
    </font>
    <font>
      <b/>
      <i/>
      <sz val="8"/>
      <name val="Arial"/>
      <family val="2"/>
    </font>
    <font>
      <sz val="8"/>
      <color rgb="FFC00000"/>
      <name val="Arial"/>
      <family val="2"/>
    </font>
    <font>
      <b/>
      <i/>
      <sz val="8"/>
      <color rgb="FF0000FF"/>
      <name val="Arial"/>
      <family val="2"/>
    </font>
    <font>
      <b/>
      <i/>
      <sz val="8"/>
      <color rgb="FF0131FF"/>
      <name val="Arial"/>
      <family val="2"/>
    </font>
    <font>
      <b/>
      <i/>
      <sz val="8"/>
      <color rgb="FF0432FF"/>
      <name val="Arial"/>
      <family val="2"/>
    </font>
    <font>
      <b/>
      <i/>
      <sz val="8"/>
      <color theme="9" tint="-0.249977111117893"/>
      <name val="Arial"/>
      <family val="2"/>
    </font>
    <font>
      <b/>
      <sz val="8"/>
      <color rgb="FF008000"/>
      <name val="Arial"/>
      <family val="2"/>
    </font>
    <font>
      <b/>
      <i/>
      <sz val="8"/>
      <color rgb="FF000000"/>
      <name val="Arial"/>
      <family val="2"/>
    </font>
    <font>
      <i/>
      <sz val="8"/>
      <color rgb="FFFF0000"/>
      <name val="Arial"/>
      <family val="2"/>
    </font>
    <font>
      <b/>
      <i/>
      <sz val="7"/>
      <color rgb="FFFF0000"/>
      <name val="Arial"/>
      <family val="2"/>
    </font>
    <font>
      <i/>
      <sz val="7"/>
      <color rgb="FFFF0000"/>
      <name val="Arial"/>
      <family val="2"/>
    </font>
    <font>
      <b/>
      <i/>
      <sz val="7"/>
      <color rgb="FF008000"/>
      <name val="Arial"/>
      <family val="2"/>
    </font>
    <font>
      <sz val="7"/>
      <name val="Arial"/>
      <family val="2"/>
    </font>
    <font>
      <i/>
      <sz val="7"/>
      <color rgb="FFC00000"/>
      <name val="Arial"/>
      <family val="2"/>
    </font>
    <font>
      <i/>
      <sz val="6"/>
      <color rgb="FFC00000"/>
      <name val="Arial"/>
      <family val="2"/>
    </font>
    <font>
      <sz val="7"/>
      <color rgb="FF941100"/>
      <name val="Arial"/>
      <family val="2"/>
    </font>
    <font>
      <b/>
      <i/>
      <sz val="7"/>
      <color rgb="FFC00000"/>
      <name val="Arial"/>
      <family val="2"/>
    </font>
    <font>
      <sz val="8"/>
      <color theme="1"/>
      <name val="Calibri"/>
      <family val="2"/>
    </font>
    <font>
      <sz val="8"/>
      <color theme="1"/>
      <name val="Calibri"/>
      <family val="2"/>
      <scheme val="minor"/>
    </font>
    <font>
      <sz val="8"/>
      <color rgb="FF0131FF"/>
      <name val="Calibri (Body)"/>
    </font>
    <font>
      <sz val="8"/>
      <color theme="0" tint="-0.249977111117893"/>
      <name val="Arial"/>
      <family val="2"/>
    </font>
    <font>
      <sz val="8"/>
      <color rgb="FF0000D4"/>
      <name val="Arial"/>
      <family val="2"/>
    </font>
    <font>
      <sz val="8"/>
      <color rgb="FFE26B0A"/>
      <name val="Calibri"/>
      <family val="2"/>
    </font>
    <font>
      <b/>
      <i/>
      <sz val="8"/>
      <color theme="1"/>
      <name val="Arial"/>
      <family val="2"/>
    </font>
    <font>
      <i/>
      <sz val="7"/>
      <color rgb="FF0131FF"/>
      <name val="Arial"/>
      <family val="2"/>
    </font>
    <font>
      <b/>
      <i/>
      <sz val="8"/>
      <color rgb="FFFF0000"/>
      <name val="Arial"/>
      <family val="2"/>
    </font>
    <font>
      <b/>
      <i/>
      <u/>
      <sz val="10"/>
      <color rgb="FFFF0000"/>
      <name val="Calibri (Body)"/>
    </font>
    <font>
      <i/>
      <sz val="7"/>
      <color rgb="FF008000"/>
      <name val="Arial"/>
      <family val="2"/>
    </font>
    <font>
      <i/>
      <sz val="8"/>
      <color rgb="FF008000"/>
      <name val="Arial"/>
      <family val="2"/>
    </font>
    <font>
      <b/>
      <i/>
      <u/>
      <sz val="10"/>
      <color theme="0"/>
      <name val="Calibri (Body)"/>
    </font>
    <font>
      <sz val="10"/>
      <color theme="0"/>
      <name val="Calibri"/>
      <family val="2"/>
      <scheme val="minor"/>
    </font>
    <font>
      <sz val="8"/>
      <color rgb="FFFF0000"/>
      <name val="Arial"/>
      <family val="2"/>
    </font>
    <font>
      <b/>
      <sz val="7"/>
      <color rgb="FF008000"/>
      <name val="Arial"/>
      <family val="2"/>
    </font>
    <font>
      <b/>
      <i/>
      <sz val="8"/>
      <color rgb="FF008000"/>
      <name val="Arial"/>
      <family val="2"/>
    </font>
    <font>
      <b/>
      <i/>
      <sz val="8"/>
      <color rgb="FF0000FF"/>
      <name val="Calibri"/>
      <family val="2"/>
    </font>
    <font>
      <b/>
      <i/>
      <sz val="8"/>
      <color rgb="FF0131FF"/>
      <name val="Calibri"/>
      <family val="2"/>
    </font>
    <font>
      <b/>
      <i/>
      <sz val="8"/>
      <color rgb="FF0131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rgb="FFFF0000"/>
      <name val="Calisto MT"/>
      <family val="1"/>
    </font>
    <font>
      <b/>
      <sz val="8"/>
      <color rgb="FFFF0000"/>
      <name val="Calibri"/>
      <family val="2"/>
    </font>
    <font>
      <sz val="8.5"/>
      <color theme="1"/>
      <name val="Cambria"/>
      <family val="1"/>
    </font>
    <font>
      <sz val="8.5"/>
      <color theme="1"/>
      <name val="Calibri"/>
      <family val="2"/>
      <scheme val="minor"/>
    </font>
    <font>
      <sz val="8.5"/>
      <name val="Calibri"/>
      <family val="2"/>
      <scheme val="minor"/>
    </font>
    <font>
      <sz val="8.5"/>
      <color theme="0"/>
      <name val="Calibri"/>
      <family val="2"/>
      <scheme val="minor"/>
    </font>
    <font>
      <b/>
      <sz val="8.5"/>
      <color theme="0"/>
      <name val="Calibri"/>
      <family val="2"/>
      <scheme val="minor"/>
    </font>
    <font>
      <sz val="8.5"/>
      <color theme="0"/>
      <name val="Arial"/>
      <family val="2"/>
    </font>
    <font>
      <sz val="8.5"/>
      <color theme="0"/>
      <name val="Calibri"/>
      <family val="2"/>
    </font>
    <font>
      <sz val="8.5"/>
      <color theme="0"/>
      <name val="Calibri (Body)"/>
    </font>
    <font>
      <sz val="8.5"/>
      <color theme="1"/>
      <name val="Arial"/>
      <family val="2"/>
    </font>
    <font>
      <i/>
      <sz val="7.5"/>
      <color rgb="FFC00000"/>
      <name val="Arial"/>
      <family val="2"/>
    </font>
    <font>
      <b/>
      <i/>
      <sz val="7"/>
      <color rgb="FF008000"/>
      <name val="Calibri"/>
      <family val="2"/>
    </font>
    <font>
      <b/>
      <i/>
      <sz val="7"/>
      <color rgb="FFC00000"/>
      <name val="Calibri"/>
      <family val="2"/>
    </font>
    <font>
      <b/>
      <i/>
      <sz val="7"/>
      <color rgb="FFFF0000"/>
      <name val="Calibri"/>
      <family val="2"/>
    </font>
    <font>
      <b/>
      <i/>
      <sz val="7"/>
      <color rgb="FF0131FF"/>
      <name val="Calibri"/>
      <family val="2"/>
    </font>
    <font>
      <b/>
      <i/>
      <sz val="8"/>
      <color rgb="FF0131FF"/>
      <name val="Calibri (Body)"/>
    </font>
    <font>
      <b/>
      <i/>
      <sz val="8"/>
      <color rgb="FFFF40FF"/>
      <name val="Calibri (Body)"/>
    </font>
    <font>
      <strike/>
      <sz val="8"/>
      <name val="Arial"/>
      <family val="2"/>
    </font>
    <font>
      <b/>
      <i/>
      <strike/>
      <sz val="8"/>
      <color rgb="FFFF0000"/>
      <name val="Calibri"/>
      <family val="2"/>
    </font>
    <font>
      <i/>
      <strike/>
      <sz val="7"/>
      <color rgb="FFFF0000"/>
      <name val="Arial"/>
      <family val="2"/>
    </font>
    <font>
      <strike/>
      <sz val="8"/>
      <color rgb="FFFF0000"/>
      <name val="Arial"/>
      <family val="2"/>
    </font>
    <font>
      <b/>
      <strike/>
      <sz val="8"/>
      <color rgb="FFFF0000"/>
      <name val="Arial"/>
      <family val="2"/>
    </font>
    <font>
      <i/>
      <strike/>
      <sz val="8"/>
      <color rgb="FFFF0000"/>
      <name val="Arial"/>
      <family val="2"/>
    </font>
    <font>
      <b/>
      <i/>
      <strike/>
      <sz val="8"/>
      <color rgb="FFFF0000"/>
      <name val="Arial"/>
      <family val="2"/>
    </font>
    <font>
      <sz val="8"/>
      <color rgb="FFFF0000"/>
      <name val="Calibri"/>
      <family val="2"/>
    </font>
    <font>
      <b/>
      <i/>
      <strike/>
      <sz val="7"/>
      <color rgb="FFFF0000"/>
      <name val="Arial"/>
      <family val="2"/>
    </font>
    <font>
      <strike/>
      <sz val="7"/>
      <color rgb="FFFF0000"/>
      <name val="Arial"/>
      <family val="2"/>
    </font>
    <font>
      <b/>
      <sz val="8"/>
      <color theme="1"/>
      <name val="Calibri"/>
      <family val="2"/>
      <scheme val="minor"/>
    </font>
    <font>
      <strike/>
      <sz val="8"/>
      <color rgb="FFFF0000"/>
      <name val="Calibri"/>
      <family val="2"/>
    </font>
    <font>
      <i/>
      <sz val="7"/>
      <color theme="1"/>
      <name val="Arial"/>
      <family val="2"/>
    </font>
    <font>
      <b/>
      <sz val="8"/>
      <color theme="1"/>
      <name val="Arial"/>
      <family val="2"/>
    </font>
    <font>
      <i/>
      <sz val="8"/>
      <color theme="1"/>
      <name val="Arial"/>
      <family val="2"/>
    </font>
    <font>
      <sz val="8"/>
      <color rgb="FFFF0000"/>
      <name val="Calibri"/>
      <family val="2"/>
      <scheme val="minor"/>
    </font>
    <font>
      <i/>
      <sz val="7.5"/>
      <color rgb="FF0000FF"/>
      <name val="Arial"/>
      <family val="2"/>
    </font>
    <font>
      <i/>
      <sz val="8"/>
      <color rgb="FF0000FF"/>
      <name val="Arial"/>
      <family val="2"/>
    </font>
    <font>
      <strike/>
      <sz val="8"/>
      <color rgb="FFFF0000"/>
      <name val="Cambria"/>
      <family val="1"/>
    </font>
    <font>
      <b/>
      <strike/>
      <sz val="8"/>
      <color rgb="FFFF0000"/>
      <name val="Cambria"/>
      <family val="1"/>
    </font>
    <font>
      <b/>
      <i/>
      <sz val="8"/>
      <color rgb="FFFF0000"/>
      <name val="Cambria"/>
      <family val="1"/>
    </font>
    <font>
      <b/>
      <sz val="8"/>
      <name val="Cambria"/>
      <family val="1"/>
    </font>
    <font>
      <sz val="8"/>
      <name val="Cambria"/>
      <family val="1"/>
    </font>
    <font>
      <b/>
      <sz val="12"/>
      <color theme="0"/>
      <name val="Calibri"/>
      <family val="2"/>
      <scheme val="minor"/>
    </font>
    <font>
      <b/>
      <i/>
      <sz val="8"/>
      <color rgb="FFFF0000"/>
      <name val="Calibri (Body)"/>
    </font>
    <font>
      <b/>
      <sz val="8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trike/>
      <sz val="8"/>
      <color theme="1"/>
      <name val="Arial"/>
      <family val="2"/>
    </font>
    <font>
      <b/>
      <sz val="18"/>
      <color theme="0"/>
      <name val="Calibri"/>
      <family val="2"/>
      <scheme val="minor"/>
    </font>
    <font>
      <b/>
      <sz val="8.5"/>
      <color theme="1"/>
      <name val="Calibri (Body)"/>
    </font>
    <font>
      <b/>
      <sz val="8"/>
      <color rgb="FF0432FF"/>
      <name val="Arial"/>
      <family val="2"/>
    </font>
    <font>
      <sz val="10"/>
      <color theme="0"/>
      <name val="Arial"/>
      <family val="2"/>
    </font>
    <font>
      <strike/>
      <sz val="8"/>
      <color rgb="FFFF0000"/>
      <name val="Calibri"/>
      <family val="2"/>
      <scheme val="minor"/>
    </font>
    <font>
      <b/>
      <i/>
      <strike/>
      <sz val="8"/>
      <color rgb="FFFF0000"/>
      <name val="Calibri"/>
      <family val="2"/>
      <scheme val="minor"/>
    </font>
    <font>
      <b/>
      <i/>
      <strike/>
      <sz val="7"/>
      <color rgb="FFFF0000"/>
      <name val="Calibri"/>
      <family val="2"/>
      <scheme val="minor"/>
    </font>
    <font>
      <sz val="8"/>
      <color rgb="FF008F00"/>
      <name val="Arial"/>
      <family val="2"/>
    </font>
    <font>
      <b/>
      <sz val="9"/>
      <name val="Calibri"/>
      <family val="2"/>
    </font>
    <font>
      <b/>
      <sz val="7"/>
      <color theme="1"/>
      <name val="Calibri"/>
      <family val="2"/>
    </font>
    <font>
      <sz val="7"/>
      <color rgb="FF0000FF"/>
      <name val="Arial"/>
      <family val="2"/>
    </font>
    <font>
      <b/>
      <sz val="7"/>
      <color rgb="FF000000"/>
      <name val="Calibri"/>
      <family val="2"/>
    </font>
    <font>
      <b/>
      <sz val="7"/>
      <color rgb="FF0000FF"/>
      <name val="Arial"/>
      <family val="2"/>
    </font>
    <font>
      <b/>
      <strike/>
      <sz val="7"/>
      <color rgb="FFFF0000"/>
      <name val="Arial"/>
      <family val="2"/>
    </font>
    <font>
      <b/>
      <sz val="7"/>
      <color rgb="FF0131FF"/>
      <name val="Arial"/>
      <family val="2"/>
    </font>
    <font>
      <b/>
      <sz val="7"/>
      <name val="Arial"/>
      <family val="2"/>
    </font>
    <font>
      <b/>
      <sz val="7"/>
      <color rgb="FF0432FF"/>
      <name val="Arial"/>
      <family val="2"/>
    </font>
    <font>
      <strike/>
      <sz val="7"/>
      <color rgb="FFFF0000"/>
      <name val="Calibri"/>
      <family val="2"/>
      <scheme val="minor"/>
    </font>
    <font>
      <b/>
      <i/>
      <sz val="8"/>
      <color rgb="FF521B93"/>
      <name val="Calibri"/>
      <family val="2"/>
    </font>
    <font>
      <b/>
      <sz val="8"/>
      <color rgb="FF521B93"/>
      <name val="Arial"/>
      <family val="2"/>
    </font>
    <font>
      <sz val="8"/>
      <color rgb="FF521B93"/>
      <name val="Arial"/>
      <family val="2"/>
    </font>
    <font>
      <b/>
      <i/>
      <sz val="7.5"/>
      <color rgb="FFFF0000"/>
      <name val="Calibri"/>
      <family val="2"/>
    </font>
    <font>
      <strike/>
      <sz val="8"/>
      <color rgb="FF0000FF"/>
      <name val="Arial"/>
      <family val="2"/>
    </font>
    <font>
      <b/>
      <i/>
      <strike/>
      <sz val="8"/>
      <color rgb="FF0000FF"/>
      <name val="Arial"/>
      <family val="2"/>
    </font>
    <font>
      <b/>
      <i/>
      <strike/>
      <sz val="7"/>
      <color rgb="FF008000"/>
      <name val="Arial"/>
      <family val="2"/>
    </font>
    <font>
      <b/>
      <strike/>
      <sz val="8"/>
      <color rgb="FF0000FF"/>
      <name val="Arial"/>
      <family val="2"/>
    </font>
    <font>
      <b/>
      <strike/>
      <sz val="7"/>
      <color rgb="FF000000"/>
      <name val="Calibri"/>
      <family val="2"/>
    </font>
    <font>
      <sz val="8.5"/>
      <color rgb="FFFFFFFF"/>
      <name val="Arial"/>
      <family val="2"/>
    </font>
    <font>
      <b/>
      <i/>
      <sz val="8"/>
      <color rgb="FF0000FF"/>
      <name val="Calibri"/>
      <family val="2"/>
      <scheme val="minor"/>
    </font>
    <font>
      <b/>
      <i/>
      <sz val="8"/>
      <color rgb="FF008F00"/>
      <name val="Arial"/>
      <family val="2"/>
    </font>
    <font>
      <b/>
      <i/>
      <sz val="8"/>
      <color rgb="FF008F00"/>
      <name val="Calibri"/>
      <family val="2"/>
    </font>
    <font>
      <b/>
      <i/>
      <strike/>
      <sz val="7"/>
      <color rgb="FFC00000"/>
      <name val="Arial"/>
      <family val="2"/>
    </font>
    <font>
      <b/>
      <i/>
      <strike/>
      <sz val="8"/>
      <color rgb="FFC00000"/>
      <name val="Arial"/>
      <family val="2"/>
    </font>
    <font>
      <strike/>
      <sz val="8"/>
      <color rgb="FFC00000"/>
      <name val="Arial"/>
      <family val="2"/>
    </font>
    <font>
      <b/>
      <strike/>
      <sz val="8"/>
      <color rgb="FFC00000"/>
      <name val="Arial"/>
      <family val="2"/>
    </font>
    <font>
      <b/>
      <sz val="7"/>
      <color rgb="FFFF0000"/>
      <name val="Arial"/>
      <family val="2"/>
    </font>
    <font>
      <b/>
      <i/>
      <sz val="11"/>
      <color rgb="FFFF0000"/>
      <name val="Calibri"/>
      <family val="2"/>
    </font>
    <font>
      <sz val="8"/>
      <color rgb="FFFF40FF"/>
      <name val="Arial"/>
      <family val="2"/>
    </font>
    <font>
      <b/>
      <sz val="8"/>
      <color rgb="FFFF40FF"/>
      <name val="Arial"/>
      <family val="2"/>
    </font>
    <font>
      <b/>
      <i/>
      <sz val="8"/>
      <color rgb="FFFF40FF"/>
      <name val="Calibri"/>
      <family val="2"/>
    </font>
    <font>
      <b/>
      <sz val="10"/>
      <color rgb="FFFF40FF"/>
      <name val="Calibri"/>
      <family val="2"/>
      <scheme val="minor"/>
    </font>
    <font>
      <b/>
      <i/>
      <strike/>
      <sz val="9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00FDFF"/>
        <bgColor indexed="64"/>
      </patternFill>
    </fill>
    <fill>
      <patternFill patternType="solid">
        <fgColor rgb="FF00FA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A00"/>
        <bgColor rgb="FF000000"/>
      </patternFill>
    </fill>
    <fill>
      <patternFill patternType="solid">
        <fgColor rgb="FFFF40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FF85FF"/>
        <bgColor rgb="FF000000"/>
      </patternFill>
    </fill>
    <fill>
      <patternFill patternType="solid">
        <fgColor rgb="FFFFFC00"/>
        <bgColor indexed="64"/>
      </patternFill>
    </fill>
    <fill>
      <patternFill patternType="solid">
        <fgColor rgb="FFFFFC00"/>
        <bgColor rgb="FF000000"/>
      </patternFill>
    </fill>
    <fill>
      <patternFill patternType="solid">
        <fgColor rgb="FF00FDFF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40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8">
    <xf numFmtId="0" fontId="0" fillId="0" borderId="0" xfId="0"/>
    <xf numFmtId="3" fontId="6" fillId="0" borderId="22" xfId="0" applyNumberFormat="1" applyFont="1" applyBorder="1" applyAlignment="1" applyProtection="1">
      <alignment horizontal="center" vertical="center"/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3" fontId="6" fillId="0" borderId="27" xfId="0" applyNumberFormat="1" applyFont="1" applyBorder="1" applyAlignment="1" applyProtection="1">
      <alignment horizontal="center" vertical="center"/>
      <protection locked="0"/>
    </xf>
    <xf numFmtId="0" fontId="48" fillId="2" borderId="4" xfId="6" applyFont="1" applyFill="1" applyBorder="1" applyAlignment="1" applyProtection="1">
      <alignment horizontal="center" vertical="center" wrapText="1"/>
      <protection locked="0"/>
    </xf>
    <xf numFmtId="1" fontId="49" fillId="2" borderId="14" xfId="0" applyNumberFormat="1" applyFont="1" applyFill="1" applyBorder="1" applyAlignment="1" applyProtection="1">
      <alignment horizontal="center" vertical="center"/>
      <protection locked="0"/>
    </xf>
    <xf numFmtId="3" fontId="6" fillId="0" borderId="26" xfId="0" applyNumberFormat="1" applyFont="1" applyBorder="1" applyAlignment="1" applyProtection="1">
      <alignment horizontal="center" vertical="center"/>
      <protection locked="0"/>
    </xf>
    <xf numFmtId="1" fontId="6" fillId="0" borderId="28" xfId="0" applyNumberFormat="1" applyFont="1" applyBorder="1" applyAlignment="1" applyProtection="1">
      <alignment horizontal="center" vertical="center"/>
      <protection locked="0"/>
    </xf>
    <xf numFmtId="3" fontId="31" fillId="0" borderId="22" xfId="0" applyNumberFormat="1" applyFont="1" applyBorder="1" applyAlignment="1" applyProtection="1">
      <alignment horizontal="center" vertical="center"/>
      <protection locked="0"/>
    </xf>
    <xf numFmtId="1" fontId="31" fillId="0" borderId="0" xfId="0" applyNumberFormat="1" applyFont="1" applyAlignment="1" applyProtection="1">
      <alignment horizontal="center" vertical="center"/>
      <protection locked="0"/>
    </xf>
    <xf numFmtId="3" fontId="31" fillId="0" borderId="27" xfId="0" applyNumberFormat="1" applyFont="1" applyBorder="1" applyAlignment="1" applyProtection="1">
      <alignment horizontal="center" vertical="center"/>
      <protection locked="0"/>
    </xf>
    <xf numFmtId="164" fontId="44" fillId="2" borderId="21" xfId="16" applyNumberFormat="1" applyFont="1" applyFill="1" applyBorder="1" applyAlignment="1" applyProtection="1">
      <alignment horizontal="center" vertical="center" wrapText="1"/>
      <protection locked="0"/>
    </xf>
    <xf numFmtId="1" fontId="44" fillId="2" borderId="11" xfId="16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" fontId="6" fillId="0" borderId="28" xfId="0" applyNumberFormat="1" applyFont="1" applyBorder="1" applyAlignment="1" applyProtection="1">
      <alignment horizontal="center" vertical="center" wrapText="1"/>
      <protection locked="0"/>
    </xf>
    <xf numFmtId="2" fontId="44" fillId="2" borderId="3" xfId="9" applyNumberFormat="1" applyFont="1" applyFill="1" applyBorder="1" applyAlignment="1" applyProtection="1">
      <alignment horizontal="center" vertical="center" wrapText="1"/>
      <protection locked="0"/>
    </xf>
    <xf numFmtId="1" fontId="44" fillId="2" borderId="12" xfId="9" applyNumberFormat="1" applyFont="1" applyFill="1" applyBorder="1" applyAlignment="1" applyProtection="1">
      <alignment horizontal="center" vertical="center" wrapText="1"/>
      <protection locked="0"/>
    </xf>
    <xf numFmtId="3" fontId="31" fillId="0" borderId="26" xfId="0" applyNumberFormat="1" applyFont="1" applyBorder="1" applyAlignment="1" applyProtection="1">
      <alignment horizontal="center" vertical="center"/>
      <protection locked="0"/>
    </xf>
    <xf numFmtId="1" fontId="31" fillId="0" borderId="28" xfId="0" applyNumberFormat="1" applyFont="1" applyBorder="1" applyAlignment="1" applyProtection="1">
      <alignment horizontal="center" vertical="center"/>
      <protection locked="0"/>
    </xf>
    <xf numFmtId="3" fontId="26" fillId="0" borderId="26" xfId="0" applyNumberFormat="1" applyFont="1" applyBorder="1" applyAlignment="1" applyProtection="1">
      <alignment horizontal="center" vertical="center"/>
      <protection locked="0"/>
    </xf>
    <xf numFmtId="1" fontId="26" fillId="0" borderId="28" xfId="0" applyNumberFormat="1" applyFont="1" applyBorder="1" applyAlignment="1" applyProtection="1">
      <alignment horizontal="center" vertical="center"/>
      <protection locked="0"/>
    </xf>
    <xf numFmtId="3" fontId="40" fillId="0" borderId="27" xfId="0" applyNumberFormat="1" applyFont="1" applyBorder="1" applyAlignment="1" applyProtection="1">
      <alignment horizontal="center" vertical="center"/>
      <protection locked="0"/>
    </xf>
    <xf numFmtId="1" fontId="40" fillId="0" borderId="0" xfId="0" applyNumberFormat="1" applyFont="1" applyAlignment="1" applyProtection="1">
      <alignment horizontal="center" vertical="center"/>
      <protection locked="0"/>
    </xf>
    <xf numFmtId="3" fontId="26" fillId="0" borderId="22" xfId="0" applyNumberFormat="1" applyFont="1" applyBorder="1" applyAlignment="1" applyProtection="1">
      <alignment horizontal="center" vertical="center"/>
      <protection locked="0"/>
    </xf>
    <xf numFmtId="1" fontId="26" fillId="0" borderId="0" xfId="0" applyNumberFormat="1" applyFont="1" applyAlignment="1" applyProtection="1">
      <alignment horizontal="center" vertical="center"/>
      <protection locked="0"/>
    </xf>
    <xf numFmtId="3" fontId="6" fillId="0" borderId="21" xfId="0" applyNumberFormat="1" applyFont="1" applyBorder="1" applyAlignment="1" applyProtection="1">
      <alignment horizontal="center" vertical="center"/>
      <protection locked="0"/>
    </xf>
    <xf numFmtId="2" fontId="43" fillId="2" borderId="6" xfId="6" applyNumberFormat="1" applyFont="1" applyFill="1" applyBorder="1" applyAlignment="1" applyProtection="1">
      <alignment horizontal="center" vertical="center" wrapText="1"/>
      <protection locked="0"/>
    </xf>
    <xf numFmtId="1" fontId="43" fillId="2" borderId="13" xfId="6" applyNumberFormat="1" applyFont="1" applyFill="1" applyBorder="1" applyAlignment="1" applyProtection="1">
      <alignment horizontal="center" vertical="center" wrapText="1"/>
      <protection locked="0"/>
    </xf>
    <xf numFmtId="3" fontId="6" fillId="0" borderId="0" xfId="0" applyNumberFormat="1" applyFont="1" applyAlignment="1" applyProtection="1">
      <alignment horizontal="center" vertical="center"/>
      <protection locked="0"/>
    </xf>
    <xf numFmtId="3" fontId="25" fillId="0" borderId="0" xfId="0" applyNumberFormat="1" applyFont="1" applyAlignment="1" applyProtection="1">
      <alignment horizontal="center" vertical="center"/>
      <protection locked="0"/>
    </xf>
    <xf numFmtId="1" fontId="25" fillId="0" borderId="28" xfId="0" applyNumberFormat="1" applyFont="1" applyBorder="1" applyAlignment="1" applyProtection="1">
      <alignment horizontal="center" vertical="center"/>
      <protection locked="0"/>
    </xf>
    <xf numFmtId="3" fontId="23" fillId="0" borderId="0" xfId="0" applyNumberFormat="1" applyFont="1" applyAlignment="1" applyProtection="1">
      <alignment horizontal="center" vertical="center"/>
      <protection locked="0"/>
    </xf>
    <xf numFmtId="1" fontId="23" fillId="0" borderId="28" xfId="0" applyNumberFormat="1" applyFont="1" applyBorder="1" applyAlignment="1" applyProtection="1">
      <alignment horizontal="center" vertical="center"/>
      <protection locked="0"/>
    </xf>
    <xf numFmtId="3" fontId="31" fillId="0" borderId="0" xfId="0" applyNumberFormat="1" applyFont="1" applyAlignment="1" applyProtection="1">
      <alignment horizontal="center" vertical="center"/>
      <protection locked="0"/>
    </xf>
    <xf numFmtId="0" fontId="6" fillId="0" borderId="26" xfId="0" applyFont="1" applyBorder="1" applyAlignment="1" applyProtection="1">
      <alignment horizontal="center" vertical="center"/>
      <protection locked="0"/>
    </xf>
    <xf numFmtId="0" fontId="6" fillId="0" borderId="27" xfId="0" applyFont="1" applyBorder="1" applyAlignment="1" applyProtection="1">
      <alignment horizontal="center" vertical="center"/>
      <protection locked="0"/>
    </xf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2" fontId="44" fillId="2" borderId="21" xfId="9" applyNumberFormat="1" applyFont="1" applyFill="1" applyBorder="1" applyAlignment="1" applyProtection="1">
      <alignment horizontal="center" vertical="center" wrapText="1"/>
      <protection locked="0"/>
    </xf>
    <xf numFmtId="1" fontId="44" fillId="2" borderId="28" xfId="9" applyNumberFormat="1" applyFont="1" applyFill="1" applyBorder="1" applyAlignment="1" applyProtection="1">
      <alignment horizontal="center" vertical="center" wrapText="1"/>
      <protection locked="0"/>
    </xf>
    <xf numFmtId="0" fontId="84" fillId="0" borderId="5" xfId="6" applyFont="1" applyBorder="1" applyAlignment="1" applyProtection="1">
      <alignment horizontal="center" vertical="center" wrapText="1"/>
      <protection locked="0"/>
    </xf>
    <xf numFmtId="0" fontId="84" fillId="0" borderId="0" xfId="0" applyFont="1" applyAlignment="1" applyProtection="1">
      <alignment horizontal="center" vertical="center"/>
      <protection locked="0"/>
    </xf>
    <xf numFmtId="3" fontId="31" fillId="0" borderId="23" xfId="0" applyNumberFormat="1" applyFont="1" applyBorder="1" applyAlignment="1" applyProtection="1">
      <alignment horizontal="center" vertical="center"/>
      <protection locked="0"/>
    </xf>
    <xf numFmtId="3" fontId="6" fillId="0" borderId="23" xfId="0" applyNumberFormat="1" applyFont="1" applyBorder="1" applyAlignment="1" applyProtection="1">
      <alignment horizontal="center" vertical="center"/>
      <protection locked="0"/>
    </xf>
    <xf numFmtId="3" fontId="6" fillId="0" borderId="28" xfId="0" applyNumberFormat="1" applyFont="1" applyBorder="1" applyAlignment="1" applyProtection="1">
      <alignment horizontal="center" vertical="center"/>
      <protection locked="0"/>
    </xf>
    <xf numFmtId="3" fontId="31" fillId="0" borderId="28" xfId="0" applyNumberFormat="1" applyFont="1" applyBorder="1" applyAlignment="1" applyProtection="1">
      <alignment horizontal="center" vertical="center"/>
      <protection locked="0"/>
    </xf>
    <xf numFmtId="3" fontId="23" fillId="0" borderId="28" xfId="0" applyNumberFormat="1" applyFont="1" applyBorder="1" applyAlignment="1" applyProtection="1">
      <alignment horizontal="center" vertical="center"/>
      <protection locked="0"/>
    </xf>
    <xf numFmtId="1" fontId="23" fillId="0" borderId="0" xfId="0" applyNumberFormat="1" applyFont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center" vertical="center"/>
      <protection locked="0"/>
    </xf>
    <xf numFmtId="1" fontId="25" fillId="0" borderId="0" xfId="0" applyNumberFormat="1" applyFont="1" applyAlignment="1" applyProtection="1">
      <alignment horizontal="center" vertical="center"/>
      <protection locked="0"/>
    </xf>
    <xf numFmtId="2" fontId="33" fillId="2" borderId="3" xfId="6" applyNumberFormat="1" applyFont="1" applyFill="1" applyBorder="1" applyAlignment="1" applyProtection="1">
      <alignment horizontal="center" vertical="center" wrapText="1"/>
      <protection locked="0"/>
    </xf>
    <xf numFmtId="1" fontId="33" fillId="2" borderId="12" xfId="6" applyNumberFormat="1" applyFont="1" applyFill="1" applyBorder="1" applyAlignment="1" applyProtection="1">
      <alignment horizontal="center" vertical="center" wrapText="1"/>
      <protection locked="0"/>
    </xf>
    <xf numFmtId="3" fontId="23" fillId="0" borderId="27" xfId="0" applyNumberFormat="1" applyFont="1" applyBorder="1" applyAlignment="1" applyProtection="1">
      <alignment horizontal="center" vertical="center"/>
      <protection locked="0"/>
    </xf>
    <xf numFmtId="3" fontId="26" fillId="0" borderId="27" xfId="0" applyNumberFormat="1" applyFont="1" applyBorder="1" applyAlignment="1" applyProtection="1">
      <alignment horizontal="center" vertical="center"/>
      <protection locked="0"/>
    </xf>
    <xf numFmtId="3" fontId="60" fillId="0" borderId="22" xfId="0" applyNumberFormat="1" applyFont="1" applyBorder="1" applyAlignment="1" applyProtection="1">
      <alignment horizontal="center" vertical="center"/>
      <protection locked="0"/>
    </xf>
    <xf numFmtId="1" fontId="60" fillId="0" borderId="0" xfId="0" applyNumberFormat="1" applyFont="1" applyAlignment="1" applyProtection="1">
      <alignment horizontal="center" vertical="center"/>
      <protection locked="0"/>
    </xf>
    <xf numFmtId="2" fontId="44" fillId="2" borderId="4" xfId="9" applyNumberFormat="1" applyFont="1" applyFill="1" applyBorder="1" applyAlignment="1" applyProtection="1">
      <alignment horizontal="center" vertical="center" wrapText="1"/>
      <protection locked="0"/>
    </xf>
    <xf numFmtId="1" fontId="44" fillId="2" borderId="14" xfId="9" applyNumberFormat="1" applyFont="1" applyFill="1" applyBorder="1" applyAlignment="1" applyProtection="1">
      <alignment horizontal="center" vertical="center" wrapText="1"/>
      <protection locked="0"/>
    </xf>
    <xf numFmtId="2" fontId="65" fillId="15" borderId="29" xfId="0" applyNumberFormat="1" applyFont="1" applyFill="1" applyBorder="1" applyAlignment="1" applyProtection="1">
      <alignment horizontal="center" vertical="center" wrapText="1"/>
      <protection locked="0"/>
    </xf>
    <xf numFmtId="1" fontId="65" fillId="15" borderId="3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0" xfId="0" applyNumberFormat="1" applyFont="1" applyAlignment="1" applyProtection="1">
      <alignment horizontal="center"/>
      <protection locked="0"/>
    </xf>
    <xf numFmtId="3" fontId="6" fillId="0" borderId="27" xfId="0" applyNumberFormat="1" applyFon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 vertical="center" wrapText="1"/>
      <protection locked="0"/>
    </xf>
    <xf numFmtId="49" fontId="6" fillId="0" borderId="22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 vertical="center"/>
      <protection locked="0"/>
    </xf>
    <xf numFmtId="1" fontId="25" fillId="0" borderId="0" xfId="0" applyNumberFormat="1" applyFont="1" applyAlignment="1" applyProtection="1">
      <alignment horizontal="center" vertical="center" wrapText="1"/>
      <protection locked="0"/>
    </xf>
    <xf numFmtId="0" fontId="25" fillId="0" borderId="26" xfId="0" applyFont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1" fontId="25" fillId="0" borderId="28" xfId="0" applyNumberFormat="1" applyFont="1" applyBorder="1" applyAlignment="1" applyProtection="1">
      <alignment horizontal="center" vertical="center" wrapText="1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" fontId="23" fillId="0" borderId="28" xfId="0" applyNumberFormat="1" applyFont="1" applyBorder="1" applyAlignment="1" applyProtection="1">
      <alignment horizontal="center" vertical="center" wrapText="1"/>
      <protection locked="0"/>
    </xf>
    <xf numFmtId="165" fontId="5" fillId="4" borderId="13" xfId="5" applyNumberFormat="1" applyFont="1" applyFill="1" applyBorder="1" applyAlignment="1" applyProtection="1">
      <alignment horizontal="center" vertical="center" wrapText="1"/>
      <protection locked="0"/>
    </xf>
    <xf numFmtId="0" fontId="45" fillId="2" borderId="13" xfId="0" applyFont="1" applyFill="1" applyBorder="1" applyAlignment="1" applyProtection="1">
      <alignment horizontal="right" vertical="center"/>
      <protection locked="0"/>
    </xf>
    <xf numFmtId="0" fontId="43" fillId="2" borderId="19" xfId="6" applyFont="1" applyFill="1" applyBorder="1" applyAlignment="1" applyProtection="1">
      <alignment horizontal="left" vertical="center"/>
      <protection locked="0"/>
    </xf>
    <xf numFmtId="0" fontId="47" fillId="12" borderId="0" xfId="0" applyFont="1" applyFill="1" applyProtection="1">
      <protection locked="0"/>
    </xf>
    <xf numFmtId="2" fontId="44" fillId="2" borderId="6" xfId="6" applyNumberFormat="1" applyFont="1" applyFill="1" applyBorder="1" applyAlignment="1" applyProtection="1">
      <alignment horizontal="center" vertical="center" wrapText="1"/>
      <protection locked="0"/>
    </xf>
    <xf numFmtId="1" fontId="44" fillId="2" borderId="13" xfId="6" applyNumberFormat="1" applyFont="1" applyFill="1" applyBorder="1" applyAlignment="1" applyProtection="1">
      <alignment horizontal="center" vertical="center" wrapText="1"/>
      <protection locked="0"/>
    </xf>
    <xf numFmtId="0" fontId="43" fillId="2" borderId="9" xfId="19" applyFont="1" applyFill="1" applyBorder="1" applyAlignment="1" applyProtection="1">
      <alignment horizontal="left" vertical="center"/>
      <protection locked="0"/>
    </xf>
    <xf numFmtId="0" fontId="43" fillId="2" borderId="4" xfId="19" applyFont="1" applyFill="1" applyBorder="1" applyAlignment="1" applyProtection="1">
      <alignment horizontal="center" vertical="center"/>
      <protection locked="0"/>
    </xf>
    <xf numFmtId="49" fontId="6" fillId="0" borderId="21" xfId="0" applyNumberFormat="1" applyFont="1" applyBorder="1" applyAlignment="1" applyProtection="1">
      <alignment horizontal="left" vertical="center"/>
      <protection locked="0"/>
    </xf>
    <xf numFmtId="49" fontId="6" fillId="0" borderId="25" xfId="0" applyNumberFormat="1" applyFont="1" applyBorder="1" applyAlignment="1" applyProtection="1">
      <alignment vertical="center"/>
      <protection locked="0"/>
    </xf>
    <xf numFmtId="49" fontId="6" fillId="0" borderId="26" xfId="0" applyNumberFormat="1" applyFont="1" applyBorder="1" applyAlignment="1" applyProtection="1">
      <alignment vertical="center"/>
      <protection locked="0"/>
    </xf>
    <xf numFmtId="49" fontId="6" fillId="0" borderId="20" xfId="0" applyNumberFormat="1" applyFont="1" applyBorder="1" applyAlignment="1" applyProtection="1">
      <alignment vertical="center"/>
      <protection locked="0"/>
    </xf>
    <xf numFmtId="49" fontId="6" fillId="0" borderId="21" xfId="0" applyNumberFormat="1" applyFont="1" applyBorder="1" applyAlignment="1" applyProtection="1">
      <alignment vertical="center"/>
      <protection locked="0"/>
    </xf>
    <xf numFmtId="49" fontId="40" fillId="0" borderId="20" xfId="0" applyNumberFormat="1" applyFont="1" applyBorder="1" applyAlignment="1" applyProtection="1">
      <alignment vertical="center"/>
      <protection locked="0"/>
    </xf>
    <xf numFmtId="49" fontId="40" fillId="0" borderId="21" xfId="0" applyNumberFormat="1" applyFont="1" applyBorder="1" applyAlignment="1" applyProtection="1">
      <alignment vertical="center"/>
      <protection locked="0"/>
    </xf>
    <xf numFmtId="49" fontId="40" fillId="0" borderId="25" xfId="0" applyNumberFormat="1" applyFont="1" applyBorder="1" applyAlignment="1" applyProtection="1">
      <alignment vertical="center"/>
      <protection locked="0"/>
    </xf>
    <xf numFmtId="49" fontId="40" fillId="0" borderId="26" xfId="0" applyNumberFormat="1" applyFont="1" applyBorder="1" applyAlignment="1" applyProtection="1">
      <alignment vertical="center"/>
      <protection locked="0"/>
    </xf>
    <xf numFmtId="0" fontId="43" fillId="2" borderId="1" xfId="16" applyFont="1" applyFill="1" applyBorder="1" applyAlignment="1" applyProtection="1">
      <alignment horizontal="left" vertical="center"/>
      <protection locked="0"/>
    </xf>
    <xf numFmtId="0" fontId="43" fillId="2" borderId="5" xfId="16" applyFont="1" applyFill="1" applyBorder="1" applyAlignment="1" applyProtection="1">
      <alignment horizontal="left" vertical="center"/>
      <protection locked="0"/>
    </xf>
    <xf numFmtId="0" fontId="6" fillId="0" borderId="20" xfId="0" applyFont="1" applyBorder="1" applyAlignment="1" applyProtection="1">
      <alignment horizontal="left" vertical="center"/>
      <protection locked="0"/>
    </xf>
    <xf numFmtId="0" fontId="6" fillId="0" borderId="21" xfId="0" applyFont="1" applyBorder="1" applyAlignment="1" applyProtection="1">
      <alignment horizontal="left" vertical="center"/>
      <protection locked="0"/>
    </xf>
    <xf numFmtId="0" fontId="6" fillId="0" borderId="25" xfId="0" applyFont="1" applyBorder="1" applyAlignment="1" applyProtection="1">
      <alignment horizontal="left" vertical="center"/>
      <protection locked="0"/>
    </xf>
    <xf numFmtId="0" fontId="6" fillId="0" borderId="26" xfId="0" applyFont="1" applyBorder="1" applyAlignment="1" applyProtection="1">
      <alignment horizontal="left" vertical="center"/>
      <protection locked="0"/>
    </xf>
    <xf numFmtId="0" fontId="43" fillId="2" borderId="7" xfId="6" applyFont="1" applyFill="1" applyBorder="1" applyAlignment="1" applyProtection="1">
      <alignment horizontal="left" vertical="center"/>
      <protection locked="0"/>
    </xf>
    <xf numFmtId="0" fontId="72" fillId="2" borderId="3" xfId="9" applyFont="1" applyFill="1" applyBorder="1" applyAlignment="1" applyProtection="1">
      <alignment horizontal="left" vertical="center"/>
      <protection locked="0"/>
    </xf>
    <xf numFmtId="49" fontId="27" fillId="0" borderId="20" xfId="0" applyNumberFormat="1" applyFont="1" applyBorder="1" applyAlignment="1" applyProtection="1">
      <alignment vertical="center"/>
      <protection locked="0"/>
    </xf>
    <xf numFmtId="0" fontId="43" fillId="2" borderId="3" xfId="19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43" fillId="2" borderId="2" xfId="16" applyFont="1" applyFill="1" applyBorder="1" applyAlignment="1" applyProtection="1">
      <alignment horizontal="left" vertical="center"/>
      <protection locked="0"/>
    </xf>
    <xf numFmtId="0" fontId="43" fillId="2" borderId="6" xfId="16" applyFont="1" applyFill="1" applyBorder="1" applyAlignment="1" applyProtection="1">
      <alignment horizontal="center" vertical="center"/>
      <protection locked="0"/>
    </xf>
    <xf numFmtId="49" fontId="22" fillId="0" borderId="25" xfId="0" applyNumberFormat="1" applyFont="1" applyBorder="1" applyAlignment="1" applyProtection="1">
      <alignment vertical="center"/>
      <protection locked="0"/>
    </xf>
    <xf numFmtId="49" fontId="22" fillId="0" borderId="26" xfId="0" applyNumberFormat="1" applyFont="1" applyBorder="1" applyAlignment="1" applyProtection="1">
      <alignment vertical="center"/>
      <protection locked="0"/>
    </xf>
    <xf numFmtId="0" fontId="6" fillId="0" borderId="28" xfId="0" applyFont="1" applyBorder="1" applyAlignment="1" applyProtection="1">
      <alignment horizontal="left" vertical="center"/>
      <protection locked="0"/>
    </xf>
    <xf numFmtId="0" fontId="6" fillId="0" borderId="8" xfId="0" applyFont="1" applyBorder="1" applyAlignment="1" applyProtection="1">
      <alignment horizontal="left" vertical="center"/>
      <protection locked="0"/>
    </xf>
    <xf numFmtId="0" fontId="43" fillId="2" borderId="8" xfId="6" applyFont="1" applyFill="1" applyBorder="1" applyAlignment="1" applyProtection="1">
      <alignment horizontal="left" vertical="center"/>
      <protection locked="0"/>
    </xf>
    <xf numFmtId="0" fontId="43" fillId="2" borderId="5" xfId="19" applyFont="1" applyFill="1" applyBorder="1" applyAlignment="1" applyProtection="1">
      <alignment horizontal="left" vertical="center"/>
      <protection locked="0"/>
    </xf>
    <xf numFmtId="0" fontId="21" fillId="0" borderId="24" xfId="19" applyFont="1" applyBorder="1" applyAlignment="1" applyProtection="1">
      <alignment horizontal="left" vertical="center"/>
      <protection locked="0"/>
    </xf>
    <xf numFmtId="0" fontId="21" fillId="0" borderId="0" xfId="19" applyFont="1" applyAlignment="1" applyProtection="1">
      <alignment horizontal="left" vertical="center"/>
      <protection locked="0"/>
    </xf>
    <xf numFmtId="49" fontId="7" fillId="0" borderId="21" xfId="0" applyNumberFormat="1" applyFont="1" applyBorder="1" applyAlignment="1" applyProtection="1">
      <alignment vertical="center"/>
      <protection locked="0"/>
    </xf>
    <xf numFmtId="49" fontId="22" fillId="0" borderId="21" xfId="0" applyNumberFormat="1" applyFont="1" applyBorder="1" applyAlignment="1" applyProtection="1">
      <alignment vertical="center"/>
      <protection locked="0"/>
    </xf>
    <xf numFmtId="0" fontId="32" fillId="2" borderId="3" xfId="6" applyFont="1" applyFill="1" applyBorder="1" applyAlignment="1" applyProtection="1">
      <alignment horizontal="left" vertical="center" wrapText="1"/>
      <protection locked="0"/>
    </xf>
    <xf numFmtId="49" fontId="63" fillId="0" borderId="21" xfId="0" applyNumberFormat="1" applyFont="1" applyBorder="1" applyAlignment="1" applyProtection="1">
      <alignment vertical="center"/>
      <protection locked="0"/>
    </xf>
    <xf numFmtId="49" fontId="63" fillId="0" borderId="26" xfId="0" applyNumberFormat="1" applyFont="1" applyBorder="1" applyAlignment="1" applyProtection="1">
      <alignment vertical="center"/>
      <protection locked="0"/>
    </xf>
    <xf numFmtId="49" fontId="60" fillId="0" borderId="21" xfId="0" applyNumberFormat="1" applyFont="1" applyBorder="1" applyAlignment="1" applyProtection="1">
      <alignment vertical="center"/>
      <protection locked="0"/>
    </xf>
    <xf numFmtId="0" fontId="43" fillId="2" borderId="10" xfId="6" applyFont="1" applyFill="1" applyBorder="1" applyAlignment="1" applyProtection="1">
      <alignment horizontal="left" vertical="center"/>
      <protection locked="0"/>
    </xf>
    <xf numFmtId="0" fontId="43" fillId="2" borderId="4" xfId="19" applyFont="1" applyFill="1" applyBorder="1" applyAlignment="1" applyProtection="1">
      <alignment horizontal="left" vertical="center"/>
      <protection locked="0"/>
    </xf>
    <xf numFmtId="0" fontId="64" fillId="15" borderId="10" xfId="0" applyFont="1" applyFill="1" applyBorder="1" applyAlignment="1" applyProtection="1">
      <alignment horizontal="left" vertical="center"/>
      <protection locked="0"/>
    </xf>
    <xf numFmtId="0" fontId="64" fillId="15" borderId="29" xfId="0" applyFont="1" applyFill="1" applyBorder="1" applyAlignment="1" applyProtection="1">
      <alignment horizontal="left" vertical="center"/>
      <protection locked="0"/>
    </xf>
    <xf numFmtId="49" fontId="6" fillId="0" borderId="25" xfId="0" applyNumberFormat="1" applyFont="1" applyBorder="1" applyProtection="1">
      <protection locked="0"/>
    </xf>
    <xf numFmtId="49" fontId="6" fillId="0" borderId="26" xfId="0" applyNumberFormat="1" applyFont="1" applyBorder="1" applyAlignment="1" applyProtection="1">
      <alignment vertical="center" wrapText="1"/>
      <protection locked="0"/>
    </xf>
    <xf numFmtId="0" fontId="22" fillId="0" borderId="20" xfId="0" applyFont="1" applyBorder="1" applyAlignment="1" applyProtection="1">
      <alignment horizontal="left" vertical="center"/>
      <protection locked="0"/>
    </xf>
    <xf numFmtId="0" fontId="22" fillId="0" borderId="21" xfId="0" applyFont="1" applyBorder="1" applyAlignment="1" applyProtection="1">
      <alignment horizontal="left" vertical="center"/>
      <protection locked="0"/>
    </xf>
    <xf numFmtId="0" fontId="22" fillId="0" borderId="25" xfId="0" applyFont="1" applyBorder="1" applyAlignment="1" applyProtection="1">
      <alignment horizontal="left" vertical="center"/>
      <protection locked="0"/>
    </xf>
    <xf numFmtId="0" fontId="22" fillId="0" borderId="26" xfId="0" applyFont="1" applyBorder="1" applyAlignment="1" applyProtection="1">
      <alignment horizontal="left" vertical="center"/>
      <protection locked="0"/>
    </xf>
    <xf numFmtId="0" fontId="46" fillId="2" borderId="1" xfId="16" applyFont="1" applyFill="1" applyBorder="1" applyAlignment="1" applyProtection="1">
      <alignment horizontal="left" vertical="center"/>
      <protection locked="0"/>
    </xf>
    <xf numFmtId="0" fontId="43" fillId="2" borderId="21" xfId="16" applyFont="1" applyFill="1" applyBorder="1" applyAlignment="1" applyProtection="1">
      <alignment horizontal="left" vertical="center"/>
      <protection locked="0"/>
    </xf>
    <xf numFmtId="0" fontId="16" fillId="0" borderId="28" xfId="0" applyFont="1" applyBorder="1" applyAlignment="1" applyProtection="1">
      <alignment vertical="center"/>
      <protection locked="0"/>
    </xf>
    <xf numFmtId="0" fontId="49" fillId="8" borderId="28" xfId="0" applyFont="1" applyFill="1" applyBorder="1" applyAlignment="1" applyProtection="1">
      <alignment horizontal="left" vertical="center"/>
      <protection locked="0"/>
    </xf>
    <xf numFmtId="0" fontId="16" fillId="0" borderId="28" xfId="0" applyFont="1" applyBorder="1" applyAlignment="1" applyProtection="1">
      <alignment horizontal="right" vertical="center"/>
      <protection locked="0"/>
    </xf>
    <xf numFmtId="0" fontId="69" fillId="0" borderId="28" xfId="0" applyFont="1" applyBorder="1" applyAlignment="1" applyProtection="1">
      <alignment vertical="center"/>
      <protection locked="0"/>
    </xf>
    <xf numFmtId="0" fontId="16" fillId="0" borderId="28" xfId="0" applyFont="1" applyBorder="1" applyProtection="1">
      <protection locked="0"/>
    </xf>
    <xf numFmtId="0" fontId="69" fillId="0" borderId="28" xfId="0" applyFont="1" applyBorder="1" applyProtection="1">
      <protection locked="0"/>
    </xf>
    <xf numFmtId="0" fontId="43" fillId="8" borderId="28" xfId="0" applyFont="1" applyFill="1" applyBorder="1" applyAlignment="1" applyProtection="1">
      <alignment horizontal="left" vertical="center" wrapText="1"/>
      <protection locked="0"/>
    </xf>
    <xf numFmtId="0" fontId="13" fillId="0" borderId="28" xfId="0" applyFont="1" applyBorder="1" applyAlignment="1" applyProtection="1">
      <alignment horizontal="left" vertical="center" wrapText="1"/>
      <protection locked="0"/>
    </xf>
    <xf numFmtId="0" fontId="13" fillId="0" borderId="28" xfId="0" applyFont="1" applyBorder="1" applyAlignment="1" applyProtection="1">
      <alignment horizontal="right" vertical="center" wrapText="1"/>
      <protection locked="0"/>
    </xf>
    <xf numFmtId="0" fontId="13" fillId="0" borderId="28" xfId="0" applyFont="1" applyBorder="1" applyAlignment="1" applyProtection="1">
      <alignment vertical="center"/>
      <protection locked="0"/>
    </xf>
    <xf numFmtId="164" fontId="16" fillId="0" borderId="28" xfId="0" applyNumberFormat="1" applyFont="1" applyBorder="1" applyAlignment="1" applyProtection="1">
      <alignment horizontal="left" vertical="center"/>
      <protection locked="0"/>
    </xf>
    <xf numFmtId="0" fontId="16" fillId="0" borderId="28" xfId="0" applyFont="1" applyBorder="1" applyAlignment="1" applyProtection="1">
      <alignment horizontal="left" vertical="center" wrapText="1"/>
      <protection locked="0"/>
    </xf>
    <xf numFmtId="0" fontId="76" fillId="0" borderId="28" xfId="0" applyFont="1" applyBorder="1" applyAlignment="1" applyProtection="1">
      <alignment vertical="center"/>
      <protection locked="0"/>
    </xf>
    <xf numFmtId="0" fontId="71" fillId="0" borderId="28" xfId="0" applyFont="1" applyBorder="1" applyAlignment="1" applyProtection="1">
      <alignment horizontal="left" vertical="center" wrapText="1"/>
      <protection locked="0"/>
    </xf>
    <xf numFmtId="0" fontId="14" fillId="0" borderId="28" xfId="0" applyFont="1" applyBorder="1" applyAlignment="1" applyProtection="1">
      <alignment horizontal="left" vertical="center" wrapText="1"/>
      <protection locked="0"/>
    </xf>
    <xf numFmtId="0" fontId="71" fillId="0" borderId="28" xfId="0" applyFont="1" applyBorder="1" applyAlignment="1" applyProtection="1">
      <alignment horizontal="right" vertical="center" wrapText="1"/>
      <protection locked="0"/>
    </xf>
    <xf numFmtId="0" fontId="16" fillId="0" borderId="28" xfId="0" applyFont="1" applyBorder="1" applyAlignment="1" applyProtection="1">
      <alignment horizontal="left" vertical="center"/>
      <protection locked="0"/>
    </xf>
    <xf numFmtId="0" fontId="77" fillId="0" borderId="28" xfId="0" applyFont="1" applyBorder="1" applyAlignment="1" applyProtection="1">
      <alignment vertical="center"/>
      <protection locked="0"/>
    </xf>
    <xf numFmtId="0" fontId="13" fillId="8" borderId="28" xfId="0" applyFont="1" applyFill="1" applyBorder="1" applyAlignment="1" applyProtection="1">
      <alignment horizontal="left" vertical="center"/>
      <protection locked="0"/>
    </xf>
    <xf numFmtId="0" fontId="51" fillId="15" borderId="28" xfId="0" applyFont="1" applyFill="1" applyBorder="1" applyAlignment="1" applyProtection="1">
      <alignment horizontal="left" vertical="center"/>
      <protection locked="0"/>
    </xf>
    <xf numFmtId="0" fontId="76" fillId="0" borderId="28" xfId="0" applyFont="1" applyBorder="1" applyAlignment="1" applyProtection="1">
      <alignment horizontal="left" vertical="center" wrapText="1"/>
      <protection locked="0"/>
    </xf>
    <xf numFmtId="49" fontId="40" fillId="0" borderId="33" xfId="0" applyNumberFormat="1" applyFont="1" applyBorder="1" applyAlignment="1" applyProtection="1">
      <alignment vertical="center"/>
      <protection locked="0"/>
    </xf>
    <xf numFmtId="49" fontId="6" fillId="0" borderId="33" xfId="0" applyNumberFormat="1" applyFont="1" applyBorder="1" applyAlignment="1" applyProtection="1">
      <alignment vertical="center"/>
      <protection locked="0"/>
    </xf>
    <xf numFmtId="3" fontId="31" fillId="0" borderId="33" xfId="0" applyNumberFormat="1" applyFont="1" applyBorder="1" applyAlignment="1" applyProtection="1">
      <alignment horizontal="center" vertical="center"/>
      <protection locked="0"/>
    </xf>
    <xf numFmtId="165" fontId="6" fillId="0" borderId="28" xfId="0" applyNumberFormat="1" applyFont="1" applyBorder="1" applyAlignment="1">
      <alignment horizontal="right" vertical="center"/>
    </xf>
    <xf numFmtId="165" fontId="6" fillId="5" borderId="28" xfId="0" applyNumberFormat="1" applyFont="1" applyFill="1" applyBorder="1" applyAlignment="1">
      <alignment horizontal="right" vertical="center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8" fillId="0" borderId="0" xfId="0" applyFont="1" applyAlignment="1" applyProtection="1">
      <alignment horizontal="center" wrapText="1"/>
      <protection locked="0"/>
    </xf>
    <xf numFmtId="0" fontId="5" fillId="4" borderId="19" xfId="5" applyFont="1" applyFill="1" applyBorder="1" applyAlignment="1" applyProtection="1">
      <alignment horizontal="center" vertical="center" wrapText="1"/>
      <protection locked="0"/>
    </xf>
    <xf numFmtId="0" fontId="5" fillId="4" borderId="6" xfId="5" applyFont="1" applyFill="1" applyBorder="1" applyAlignment="1" applyProtection="1">
      <alignment horizontal="center" vertical="center" wrapText="1"/>
      <protection locked="0"/>
    </xf>
    <xf numFmtId="2" fontId="5" fillId="4" borderId="6" xfId="5" applyNumberFormat="1" applyFont="1" applyFill="1" applyBorder="1" applyAlignment="1" applyProtection="1">
      <alignment horizontal="center" vertical="center" wrapText="1"/>
      <protection locked="0"/>
    </xf>
    <xf numFmtId="1" fontId="5" fillId="4" borderId="13" xfId="5" applyNumberFormat="1" applyFont="1" applyFill="1" applyBorder="1" applyAlignment="1" applyProtection="1">
      <alignment horizontal="center" vertical="center" wrapText="1"/>
      <protection locked="0"/>
    </xf>
    <xf numFmtId="164" fontId="5" fillId="7" borderId="31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13" xfId="0" applyFont="1" applyFill="1" applyBorder="1" applyAlignment="1" applyProtection="1">
      <alignment horizontal="left" vertical="center"/>
      <protection locked="0"/>
    </xf>
    <xf numFmtId="0" fontId="47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9" fillId="0" borderId="0" xfId="0" applyFont="1" applyProtection="1">
      <protection locked="0"/>
    </xf>
    <xf numFmtId="0" fontId="13" fillId="0" borderId="0" xfId="0" applyFont="1" applyAlignment="1" applyProtection="1">
      <alignment horizontal="right"/>
      <protection locked="0"/>
    </xf>
    <xf numFmtId="0" fontId="13" fillId="0" borderId="28" xfId="0" applyFont="1" applyBorder="1" applyProtection="1">
      <protection locked="0"/>
    </xf>
    <xf numFmtId="0" fontId="13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24" fillId="0" borderId="0" xfId="0" applyFont="1" applyProtection="1">
      <protection locked="0"/>
    </xf>
    <xf numFmtId="0" fontId="6" fillId="0" borderId="0" xfId="0" applyFont="1" applyAlignment="1" applyProtection="1">
      <alignment horizontal="right"/>
      <protection locked="0"/>
    </xf>
    <xf numFmtId="0" fontId="38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56" fillId="0" borderId="0" xfId="0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37" fillId="0" borderId="0" xfId="0" applyFont="1" applyProtection="1">
      <protection locked="0"/>
    </xf>
    <xf numFmtId="0" fontId="36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0" fontId="42" fillId="0" borderId="0" xfId="0" applyFont="1" applyProtection="1">
      <protection locked="0"/>
    </xf>
    <xf numFmtId="165" fontId="45" fillId="2" borderId="12" xfId="0" applyNumberFormat="1" applyFont="1" applyFill="1" applyBorder="1" applyAlignment="1">
      <alignment horizontal="right" vertical="center"/>
    </xf>
    <xf numFmtId="165" fontId="40" fillId="0" borderId="28" xfId="0" applyNumberFormat="1" applyFont="1" applyBorder="1" applyAlignment="1">
      <alignment horizontal="right" vertical="center"/>
    </xf>
    <xf numFmtId="165" fontId="40" fillId="5" borderId="28" xfId="0" applyNumberFormat="1" applyFont="1" applyFill="1" applyBorder="1" applyAlignment="1">
      <alignment horizontal="right" vertical="center"/>
    </xf>
    <xf numFmtId="0" fontId="45" fillId="2" borderId="11" xfId="6" applyFont="1" applyFill="1" applyBorder="1" applyAlignment="1">
      <alignment horizontal="right" vertical="center" wrapText="1"/>
    </xf>
    <xf numFmtId="0" fontId="45" fillId="2" borderId="12" xfId="0" applyFont="1" applyFill="1" applyBorder="1" applyAlignment="1">
      <alignment horizontal="right" vertical="center"/>
    </xf>
    <xf numFmtId="165" fontId="28" fillId="5" borderId="28" xfId="0" applyNumberFormat="1" applyFont="1" applyFill="1" applyBorder="1" applyAlignment="1">
      <alignment horizontal="right" vertical="center"/>
    </xf>
    <xf numFmtId="165" fontId="69" fillId="5" borderId="28" xfId="0" applyNumberFormat="1" applyFont="1" applyFill="1" applyBorder="1" applyAlignment="1">
      <alignment horizontal="right" vertical="center"/>
    </xf>
    <xf numFmtId="165" fontId="16" fillId="5" borderId="28" xfId="0" applyNumberFormat="1" applyFont="1" applyFill="1" applyBorder="1" applyAlignment="1">
      <alignment horizontal="right" vertical="center"/>
    </xf>
    <xf numFmtId="165" fontId="29" fillId="5" borderId="28" xfId="0" applyNumberFormat="1" applyFont="1" applyFill="1" applyBorder="1" applyAlignment="1">
      <alignment horizontal="right" vertical="center"/>
    </xf>
    <xf numFmtId="165" fontId="15" fillId="3" borderId="28" xfId="0" applyNumberFormat="1" applyFont="1" applyFill="1" applyBorder="1" applyAlignment="1">
      <alignment horizontal="right" vertical="center"/>
    </xf>
    <xf numFmtId="165" fontId="21" fillId="5" borderId="28" xfId="0" applyNumberFormat="1" applyFont="1" applyFill="1" applyBorder="1" applyAlignment="1">
      <alignment horizontal="right" vertical="center"/>
    </xf>
    <xf numFmtId="165" fontId="45" fillId="2" borderId="32" xfId="0" applyNumberFormat="1" applyFont="1" applyFill="1" applyBorder="1" applyAlignment="1">
      <alignment horizontal="right" vertical="center"/>
    </xf>
    <xf numFmtId="6" fontId="17" fillId="0" borderId="28" xfId="0" applyNumberFormat="1" applyFont="1" applyBorder="1" applyAlignment="1">
      <alignment vertical="center"/>
    </xf>
    <xf numFmtId="6" fontId="6" fillId="0" borderId="28" xfId="0" applyNumberFormat="1" applyFont="1" applyBorder="1" applyAlignment="1">
      <alignment vertical="center"/>
    </xf>
    <xf numFmtId="6" fontId="6" fillId="5" borderId="28" xfId="0" applyNumberFormat="1" applyFont="1" applyFill="1" applyBorder="1" applyAlignment="1">
      <alignment vertical="center"/>
    </xf>
    <xf numFmtId="0" fontId="55" fillId="2" borderId="28" xfId="6" applyFont="1" applyFill="1" applyBorder="1" applyAlignment="1">
      <alignment horizontal="right" vertical="center" wrapText="1"/>
    </xf>
    <xf numFmtId="0" fontId="45" fillId="2" borderId="28" xfId="0" applyFont="1" applyFill="1" applyBorder="1" applyAlignment="1">
      <alignment horizontal="right" vertical="center"/>
    </xf>
    <xf numFmtId="165" fontId="21" fillId="0" borderId="11" xfId="0" applyNumberFormat="1" applyFont="1" applyBorder="1" applyAlignment="1">
      <alignment horizontal="right" vertical="center"/>
    </xf>
    <xf numFmtId="165" fontId="22" fillId="0" borderId="28" xfId="0" applyNumberFormat="1" applyFont="1" applyBorder="1" applyAlignment="1">
      <alignment horizontal="right" vertical="center"/>
    </xf>
    <xf numFmtId="0" fontId="35" fillId="2" borderId="12" xfId="0" applyFont="1" applyFill="1" applyBorder="1" applyAlignment="1">
      <alignment horizontal="right" vertical="center"/>
    </xf>
    <xf numFmtId="165" fontId="6" fillId="11" borderId="28" xfId="0" applyNumberFormat="1" applyFont="1" applyFill="1" applyBorder="1" applyAlignment="1">
      <alignment horizontal="right" vertical="center"/>
    </xf>
    <xf numFmtId="165" fontId="22" fillId="5" borderId="28" xfId="0" applyNumberFormat="1" applyFont="1" applyFill="1" applyBorder="1" applyAlignment="1">
      <alignment horizontal="right" vertical="center"/>
    </xf>
    <xf numFmtId="3" fontId="6" fillId="9" borderId="28" xfId="0" applyNumberFormat="1" applyFont="1" applyFill="1" applyBorder="1" applyAlignment="1">
      <alignment horizontal="center" vertical="center"/>
    </xf>
    <xf numFmtId="165" fontId="6" fillId="9" borderId="28" xfId="0" applyNumberFormat="1" applyFont="1" applyFill="1" applyBorder="1" applyAlignment="1">
      <alignment horizontal="right" vertical="center"/>
    </xf>
    <xf numFmtId="165" fontId="39" fillId="9" borderId="28" xfId="0" applyNumberFormat="1" applyFont="1" applyFill="1" applyBorder="1" applyAlignment="1">
      <alignment horizontal="right" vertical="center"/>
    </xf>
    <xf numFmtId="165" fontId="39" fillId="11" borderId="28" xfId="0" applyNumberFormat="1" applyFont="1" applyFill="1" applyBorder="1" applyAlignment="1">
      <alignment horizontal="right" vertical="center"/>
    </xf>
    <xf numFmtId="165" fontId="39" fillId="5" borderId="28" xfId="0" applyNumberFormat="1" applyFont="1" applyFill="1" applyBorder="1" applyAlignment="1">
      <alignment horizontal="right" vertical="center"/>
    </xf>
    <xf numFmtId="165" fontId="25" fillId="5" borderId="28" xfId="0" applyNumberFormat="1" applyFont="1" applyFill="1" applyBorder="1" applyAlignment="1">
      <alignment horizontal="right" vertical="center"/>
    </xf>
    <xf numFmtId="0" fontId="45" fillId="2" borderId="14" xfId="0" applyFont="1" applyFill="1" applyBorder="1" applyAlignment="1">
      <alignment horizontal="right" vertical="center"/>
    </xf>
    <xf numFmtId="165" fontId="41" fillId="0" borderId="28" xfId="0" applyNumberFormat="1" applyFont="1" applyBorder="1" applyAlignment="1">
      <alignment horizontal="right" vertical="center"/>
    </xf>
    <xf numFmtId="165" fontId="6" fillId="13" borderId="28" xfId="0" applyNumberFormat="1" applyFont="1" applyFill="1" applyBorder="1" applyAlignment="1">
      <alignment horizontal="right" vertical="center"/>
    </xf>
    <xf numFmtId="0" fontId="6" fillId="5" borderId="28" xfId="0" applyFont="1" applyFill="1" applyBorder="1"/>
    <xf numFmtId="0" fontId="67" fillId="15" borderId="14" xfId="0" applyFont="1" applyFill="1" applyBorder="1" applyAlignment="1">
      <alignment horizontal="right" vertical="center"/>
    </xf>
    <xf numFmtId="165" fontId="30" fillId="5" borderId="28" xfId="0" applyNumberFormat="1" applyFont="1" applyFill="1" applyBorder="1" applyAlignment="1">
      <alignment horizontal="right" vertical="center"/>
    </xf>
    <xf numFmtId="0" fontId="13" fillId="12" borderId="28" xfId="0" applyFont="1" applyFill="1" applyBorder="1" applyAlignment="1" applyProtection="1">
      <alignment vertical="center"/>
      <protection locked="0"/>
    </xf>
    <xf numFmtId="0" fontId="96" fillId="0" borderId="28" xfId="0" applyFont="1" applyBorder="1" applyAlignment="1" applyProtection="1">
      <alignment horizontal="left" vertical="center" wrapText="1"/>
      <protection locked="0"/>
    </xf>
    <xf numFmtId="0" fontId="97" fillId="0" borderId="28" xfId="0" applyFont="1" applyBorder="1" applyAlignment="1" applyProtection="1">
      <alignment vertical="center"/>
      <protection locked="0"/>
    </xf>
    <xf numFmtId="0" fontId="95" fillId="0" borderId="28" xfId="0" applyFont="1" applyBorder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 wrapText="1"/>
      <protection locked="0"/>
    </xf>
    <xf numFmtId="49" fontId="16" fillId="0" borderId="28" xfId="0" applyNumberFormat="1" applyFont="1" applyBorder="1" applyAlignment="1" applyProtection="1">
      <alignment vertical="center"/>
      <protection locked="0"/>
    </xf>
    <xf numFmtId="0" fontId="24" fillId="0" borderId="28" xfId="0" applyFont="1" applyBorder="1" applyAlignment="1" applyProtection="1">
      <alignment horizontal="left" vertical="center" wrapText="1"/>
      <protection locked="0"/>
    </xf>
    <xf numFmtId="164" fontId="13" fillId="0" borderId="28" xfId="0" applyNumberFormat="1" applyFont="1" applyBorder="1" applyAlignment="1" applyProtection="1">
      <alignment horizontal="left" vertical="center" wrapText="1"/>
      <protection locked="0"/>
    </xf>
    <xf numFmtId="3" fontId="6" fillId="0" borderId="33" xfId="0" applyNumberFormat="1" applyFont="1" applyBorder="1" applyAlignment="1" applyProtection="1">
      <alignment horizontal="center" vertical="center"/>
      <protection locked="0"/>
    </xf>
    <xf numFmtId="0" fontId="21" fillId="0" borderId="33" xfId="0" applyFont="1" applyBorder="1" applyAlignment="1" applyProtection="1">
      <alignment horizontal="left" vertical="center"/>
      <protection locked="0"/>
    </xf>
    <xf numFmtId="0" fontId="21" fillId="0" borderId="27" xfId="0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6" fillId="0" borderId="0" xfId="0" applyFont="1"/>
    <xf numFmtId="0" fontId="16" fillId="0" borderId="0" xfId="0" applyFont="1" applyAlignment="1" applyProtection="1">
      <alignment horizontal="left" vertical="center"/>
      <protection locked="0"/>
    </xf>
    <xf numFmtId="49" fontId="6" fillId="0" borderId="33" xfId="0" applyNumberFormat="1" applyFont="1" applyBorder="1" applyAlignment="1" applyProtection="1">
      <alignment horizontal="left" vertical="center"/>
      <protection locked="0"/>
    </xf>
    <xf numFmtId="0" fontId="16" fillId="0" borderId="0" xfId="0" applyFont="1" applyAlignment="1" applyProtection="1">
      <alignment horizontal="right"/>
      <protection locked="0"/>
    </xf>
    <xf numFmtId="0" fontId="6" fillId="15" borderId="0" xfId="0" applyFont="1" applyFill="1" applyProtection="1">
      <protection locked="0"/>
    </xf>
    <xf numFmtId="0" fontId="16" fillId="15" borderId="0" xfId="0" applyFont="1" applyFill="1" applyProtection="1">
      <protection locked="0"/>
    </xf>
    <xf numFmtId="0" fontId="100" fillId="0" borderId="28" xfId="0" applyFont="1" applyBorder="1" applyAlignment="1" applyProtection="1">
      <alignment vertical="center"/>
      <protection locked="0"/>
    </xf>
    <xf numFmtId="49" fontId="30" fillId="0" borderId="25" xfId="0" applyNumberFormat="1" applyFont="1" applyBorder="1" applyAlignment="1" applyProtection="1">
      <alignment vertical="center"/>
      <protection locked="0"/>
    </xf>
    <xf numFmtId="3" fontId="25" fillId="0" borderId="27" xfId="0" applyNumberFormat="1" applyFont="1" applyBorder="1" applyAlignment="1" applyProtection="1">
      <alignment horizontal="center" vertical="center"/>
      <protection locked="0"/>
    </xf>
    <xf numFmtId="49" fontId="22" fillId="0" borderId="33" xfId="0" applyNumberFormat="1" applyFont="1" applyBorder="1" applyAlignment="1" applyProtection="1">
      <alignment horizontal="left" vertical="center"/>
      <protection locked="0"/>
    </xf>
    <xf numFmtId="0" fontId="6" fillId="17" borderId="20" xfId="0" applyFont="1" applyFill="1" applyBorder="1" applyAlignment="1" applyProtection="1">
      <alignment horizontal="left" vertical="center"/>
      <protection locked="0"/>
    </xf>
    <xf numFmtId="49" fontId="6" fillId="17" borderId="20" xfId="0" applyNumberFormat="1" applyFont="1" applyFill="1" applyBorder="1" applyAlignment="1" applyProtection="1">
      <alignment vertical="center"/>
      <protection locked="0"/>
    </xf>
    <xf numFmtId="49" fontId="6" fillId="17" borderId="25" xfId="0" applyNumberFormat="1" applyFont="1" applyFill="1" applyBorder="1" applyAlignment="1" applyProtection="1">
      <alignment vertical="center"/>
      <protection locked="0"/>
    </xf>
    <xf numFmtId="49" fontId="60" fillId="17" borderId="20" xfId="0" applyNumberFormat="1" applyFont="1" applyFill="1" applyBorder="1" applyAlignment="1" applyProtection="1">
      <alignment vertical="center"/>
      <protection locked="0"/>
    </xf>
    <xf numFmtId="0" fontId="6" fillId="17" borderId="25" xfId="0" applyFont="1" applyFill="1" applyBorder="1" applyAlignment="1" applyProtection="1">
      <alignment horizontal="left" vertical="center"/>
      <protection locked="0"/>
    </xf>
    <xf numFmtId="49" fontId="40" fillId="17" borderId="20" xfId="0" applyNumberFormat="1" applyFont="1" applyFill="1" applyBorder="1" applyAlignment="1" applyProtection="1">
      <alignment vertical="center"/>
      <protection locked="0"/>
    </xf>
    <xf numFmtId="0" fontId="6" fillId="17" borderId="0" xfId="0" applyFont="1" applyFill="1" applyAlignment="1" applyProtection="1">
      <alignment horizontal="left" vertical="center"/>
      <protection locked="0"/>
    </xf>
    <xf numFmtId="49" fontId="17" fillId="17" borderId="0" xfId="0" applyNumberFormat="1" applyFont="1" applyFill="1" applyProtection="1">
      <protection locked="0"/>
    </xf>
    <xf numFmtId="49" fontId="17" fillId="17" borderId="25" xfId="0" applyNumberFormat="1" applyFont="1" applyFill="1" applyBorder="1" applyAlignment="1" applyProtection="1">
      <alignment vertical="center"/>
      <protection locked="0"/>
    </xf>
    <xf numFmtId="49" fontId="17" fillId="0" borderId="33" xfId="0" applyNumberFormat="1" applyFont="1" applyBorder="1" applyAlignment="1" applyProtection="1">
      <alignment vertical="center"/>
      <protection locked="0"/>
    </xf>
    <xf numFmtId="0" fontId="6" fillId="0" borderId="33" xfId="0" applyFont="1" applyBorder="1" applyAlignment="1" applyProtection="1">
      <alignment horizontal="left" vertical="center"/>
      <protection locked="0"/>
    </xf>
    <xf numFmtId="0" fontId="6" fillId="0" borderId="28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left" vertical="center" wrapText="1"/>
      <protection locked="0"/>
    </xf>
    <xf numFmtId="3" fontId="31" fillId="0" borderId="21" xfId="0" applyNumberFormat="1" applyFont="1" applyBorder="1" applyAlignment="1" applyProtection="1">
      <alignment horizontal="center" vertical="center"/>
      <protection locked="0"/>
    </xf>
    <xf numFmtId="49" fontId="22" fillId="17" borderId="20" xfId="0" applyNumberFormat="1" applyFont="1" applyFill="1" applyBorder="1" applyAlignment="1" applyProtection="1">
      <alignment vertical="center"/>
      <protection locked="0"/>
    </xf>
    <xf numFmtId="49" fontId="40" fillId="17" borderId="25" xfId="0" applyNumberFormat="1" applyFont="1" applyFill="1" applyBorder="1" applyAlignment="1" applyProtection="1">
      <alignment vertical="center"/>
      <protection locked="0"/>
    </xf>
    <xf numFmtId="165" fontId="6" fillId="0" borderId="28" xfId="0" applyNumberFormat="1" applyFont="1" applyBorder="1" applyAlignment="1">
      <alignment vertical="center"/>
    </xf>
    <xf numFmtId="0" fontId="13" fillId="0" borderId="0" xfId="0" applyFont="1" applyAlignment="1" applyProtection="1">
      <alignment horizontal="right" vertical="center" wrapText="1"/>
      <protection locked="0"/>
    </xf>
    <xf numFmtId="164" fontId="69" fillId="0" borderId="0" xfId="0" applyNumberFormat="1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vertical="center"/>
      <protection locked="0"/>
    </xf>
    <xf numFmtId="0" fontId="115" fillId="0" borderId="0" xfId="0" applyFont="1" applyProtection="1">
      <protection locked="0"/>
    </xf>
    <xf numFmtId="0" fontId="115" fillId="0" borderId="0" xfId="0" applyFont="1" applyAlignment="1" applyProtection="1">
      <alignment horizontal="right"/>
      <protection locked="0"/>
    </xf>
    <xf numFmtId="0" fontId="41" fillId="0" borderId="0" xfId="0" applyFont="1" applyProtection="1">
      <protection locked="0"/>
    </xf>
    <xf numFmtId="0" fontId="116" fillId="0" borderId="0" xfId="0" applyFont="1" applyProtection="1">
      <protection locked="0"/>
    </xf>
    <xf numFmtId="0" fontId="117" fillId="0" borderId="0" xfId="0" applyFont="1" applyProtection="1">
      <protection locked="0"/>
    </xf>
    <xf numFmtId="0" fontId="115" fillId="0" borderId="0" xfId="0" applyFont="1" applyAlignment="1" applyProtection="1">
      <alignment vertical="center"/>
      <protection locked="0"/>
    </xf>
    <xf numFmtId="0" fontId="108" fillId="0" borderId="0" xfId="0" applyFont="1" applyAlignment="1" applyProtection="1">
      <alignment horizontal="center" wrapText="1"/>
      <protection locked="0"/>
    </xf>
    <xf numFmtId="0" fontId="97" fillId="0" borderId="28" xfId="0" applyFont="1" applyBorder="1" applyProtection="1">
      <protection locked="0"/>
    </xf>
    <xf numFmtId="49" fontId="22" fillId="0" borderId="33" xfId="0" applyNumberFormat="1" applyFont="1" applyBorder="1" applyAlignment="1" applyProtection="1">
      <alignment vertical="center"/>
      <protection locked="0"/>
    </xf>
    <xf numFmtId="49" fontId="22" fillId="17" borderId="25" xfId="0" applyNumberFormat="1" applyFont="1" applyFill="1" applyBorder="1" applyAlignment="1" applyProtection="1">
      <alignment vertical="center"/>
      <protection locked="0"/>
    </xf>
    <xf numFmtId="49" fontId="63" fillId="0" borderId="33" xfId="0" applyNumberFormat="1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164" fontId="16" fillId="0" borderId="28" xfId="0" applyNumberFormat="1" applyFont="1" applyBorder="1" applyAlignment="1" applyProtection="1">
      <alignment vertical="center"/>
      <protection locked="0"/>
    </xf>
    <xf numFmtId="0" fontId="6" fillId="17" borderId="8" xfId="0" applyFont="1" applyFill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25" fillId="0" borderId="38" xfId="0" applyFont="1" applyBorder="1" applyAlignment="1" applyProtection="1">
      <alignment horizontal="center" vertical="center"/>
      <protection locked="0"/>
    </xf>
    <xf numFmtId="0" fontId="6" fillId="20" borderId="25" xfId="0" applyFont="1" applyFill="1" applyBorder="1" applyAlignment="1" applyProtection="1">
      <alignment horizontal="left" vertical="center"/>
      <protection locked="0"/>
    </xf>
    <xf numFmtId="165" fontId="41" fillId="5" borderId="28" xfId="0" applyNumberFormat="1" applyFont="1" applyFill="1" applyBorder="1" applyAlignment="1">
      <alignment horizontal="center" vertical="center"/>
    </xf>
    <xf numFmtId="165" fontId="109" fillId="5" borderId="28" xfId="0" applyNumberFormat="1" applyFont="1" applyFill="1" applyBorder="1" applyAlignment="1">
      <alignment horizontal="center" vertical="center"/>
    </xf>
    <xf numFmtId="0" fontId="22" fillId="17" borderId="20" xfId="0" applyFont="1" applyFill="1" applyBorder="1" applyAlignment="1" applyProtection="1">
      <alignment horizontal="left" vertical="center"/>
      <protection locked="0"/>
    </xf>
    <xf numFmtId="0" fontId="134" fillId="0" borderId="0" xfId="0" applyFont="1" applyAlignment="1" applyProtection="1">
      <alignment horizontal="right"/>
      <protection locked="0"/>
    </xf>
    <xf numFmtId="0" fontId="38" fillId="0" borderId="28" xfId="0" applyFont="1" applyBorder="1" applyAlignment="1" applyProtection="1">
      <alignment horizontal="left" vertical="center" wrapText="1"/>
      <protection locked="0"/>
    </xf>
    <xf numFmtId="49" fontId="137" fillId="0" borderId="20" xfId="0" applyNumberFormat="1" applyFont="1" applyBorder="1" applyAlignment="1" applyProtection="1">
      <alignment vertical="center"/>
      <protection locked="0"/>
    </xf>
    <xf numFmtId="49" fontId="137" fillId="0" borderId="21" xfId="0" applyNumberFormat="1" applyFont="1" applyBorder="1" applyAlignment="1" applyProtection="1">
      <alignment vertical="center"/>
      <protection locked="0"/>
    </xf>
    <xf numFmtId="3" fontId="138" fillId="0" borderId="22" xfId="0" applyNumberFormat="1" applyFont="1" applyBorder="1" applyAlignment="1" applyProtection="1">
      <alignment horizontal="center" vertical="center"/>
      <protection locked="0"/>
    </xf>
    <xf numFmtId="1" fontId="138" fillId="0" borderId="0" xfId="0" applyNumberFormat="1" applyFont="1" applyAlignment="1" applyProtection="1">
      <alignment horizontal="center" vertical="center"/>
      <protection locked="0"/>
    </xf>
    <xf numFmtId="165" fontId="137" fillId="0" borderId="28" xfId="0" applyNumberFormat="1" applyFont="1" applyBorder="1" applyAlignment="1">
      <alignment horizontal="right" vertical="center"/>
    </xf>
    <xf numFmtId="49" fontId="137" fillId="0" borderId="25" xfId="0" applyNumberFormat="1" applyFont="1" applyBorder="1" applyAlignment="1" applyProtection="1">
      <alignment vertical="center"/>
      <protection locked="0"/>
    </xf>
    <xf numFmtId="49" fontId="139" fillId="0" borderId="21" xfId="0" applyNumberFormat="1" applyFont="1" applyBorder="1" applyAlignment="1" applyProtection="1">
      <alignment vertical="center"/>
      <protection locked="0"/>
    </xf>
    <xf numFmtId="3" fontId="138" fillId="0" borderId="26" xfId="0" applyNumberFormat="1" applyFont="1" applyBorder="1" applyAlignment="1" applyProtection="1">
      <alignment horizontal="center" vertical="center"/>
      <protection locked="0"/>
    </xf>
    <xf numFmtId="0" fontId="141" fillId="0" borderId="28" xfId="0" applyFont="1" applyBorder="1" applyAlignment="1" applyProtection="1">
      <alignment vertical="center"/>
      <protection locked="0"/>
    </xf>
    <xf numFmtId="0" fontId="137" fillId="0" borderId="20" xfId="0" applyFont="1" applyBorder="1" applyAlignment="1" applyProtection="1">
      <alignment horizontal="left" vertical="center"/>
      <protection locked="0"/>
    </xf>
    <xf numFmtId="0" fontId="137" fillId="0" borderId="21" xfId="0" applyFont="1" applyBorder="1" applyAlignment="1" applyProtection="1">
      <alignment horizontal="left" vertical="center"/>
      <protection locked="0"/>
    </xf>
    <xf numFmtId="0" fontId="137" fillId="0" borderId="0" xfId="0" applyFont="1" applyAlignment="1" applyProtection="1">
      <alignment horizontal="center" vertical="center"/>
      <protection locked="0"/>
    </xf>
    <xf numFmtId="1" fontId="137" fillId="0" borderId="28" xfId="0" applyNumberFormat="1" applyFont="1" applyBorder="1" applyAlignment="1" applyProtection="1">
      <alignment horizontal="center" vertical="center" wrapText="1"/>
      <protection locked="0"/>
    </xf>
    <xf numFmtId="49" fontId="27" fillId="17" borderId="20" xfId="0" applyNumberFormat="1" applyFont="1" applyFill="1" applyBorder="1" applyAlignment="1" applyProtection="1">
      <alignment vertical="center"/>
      <protection locked="0"/>
    </xf>
    <xf numFmtId="3" fontId="137" fillId="0" borderId="22" xfId="0" applyNumberFormat="1" applyFont="1" applyBorder="1" applyAlignment="1" applyProtection="1">
      <alignment horizontal="center" vertical="center"/>
      <protection locked="0"/>
    </xf>
    <xf numFmtId="1" fontId="137" fillId="0" borderId="0" xfId="0" applyNumberFormat="1" applyFont="1" applyAlignment="1" applyProtection="1">
      <alignment horizontal="center" vertical="center"/>
      <protection locked="0"/>
    </xf>
    <xf numFmtId="49" fontId="137" fillId="0" borderId="26" xfId="0" applyNumberFormat="1" applyFont="1" applyBorder="1" applyAlignment="1" applyProtection="1">
      <alignment vertical="center"/>
      <protection locked="0"/>
    </xf>
    <xf numFmtId="3" fontId="138" fillId="0" borderId="27" xfId="0" applyNumberFormat="1" applyFont="1" applyBorder="1" applyAlignment="1" applyProtection="1">
      <alignment horizontal="center" vertical="center"/>
      <protection locked="0"/>
    </xf>
    <xf numFmtId="3" fontId="137" fillId="0" borderId="27" xfId="0" applyNumberFormat="1" applyFont="1" applyBorder="1" applyAlignment="1" applyProtection="1">
      <alignment horizontal="center" vertical="center"/>
      <protection locked="0"/>
    </xf>
    <xf numFmtId="0" fontId="137" fillId="0" borderId="25" xfId="0" applyFont="1" applyBorder="1" applyAlignment="1" applyProtection="1">
      <alignment horizontal="left" vertical="center"/>
      <protection locked="0"/>
    </xf>
    <xf numFmtId="0" fontId="137" fillId="0" borderId="0" xfId="0" applyFont="1" applyAlignment="1" applyProtection="1">
      <alignment horizontal="left" vertical="center"/>
      <protection locked="0"/>
    </xf>
    <xf numFmtId="0" fontId="137" fillId="0" borderId="33" xfId="0" applyFont="1" applyBorder="1" applyAlignment="1" applyProtection="1">
      <alignment horizontal="center" vertical="center"/>
      <protection locked="0"/>
    </xf>
    <xf numFmtId="1" fontId="137" fillId="0" borderId="0" xfId="0" applyNumberFormat="1" applyFont="1" applyAlignment="1" applyProtection="1">
      <alignment horizontal="center" vertical="center" wrapText="1"/>
      <protection locked="0"/>
    </xf>
    <xf numFmtId="0" fontId="95" fillId="0" borderId="28" xfId="0" applyFont="1" applyBorder="1" applyAlignment="1" applyProtection="1">
      <alignment wrapText="1"/>
      <protection locked="0"/>
    </xf>
    <xf numFmtId="0" fontId="76" fillId="0" borderId="28" xfId="0" applyFont="1" applyBorder="1" applyAlignment="1" applyProtection="1">
      <alignment wrapText="1"/>
      <protection locked="0"/>
    </xf>
    <xf numFmtId="0" fontId="13" fillId="16" borderId="28" xfId="0" applyFont="1" applyFill="1" applyBorder="1" applyAlignment="1" applyProtection="1">
      <alignment horizontal="center" vertical="center" wrapText="1"/>
      <protection locked="0"/>
    </xf>
    <xf numFmtId="2" fontId="16" fillId="0" borderId="28" xfId="0" applyNumberFormat="1" applyFont="1" applyBorder="1" applyAlignment="1" applyProtection="1">
      <alignment vertical="center"/>
      <protection locked="0"/>
    </xf>
    <xf numFmtId="164" fontId="77" fillId="0" borderId="28" xfId="0" applyNumberFormat="1" applyFont="1" applyBorder="1" applyAlignment="1" applyProtection="1">
      <alignment horizontal="left" vertical="center"/>
      <protection locked="0"/>
    </xf>
    <xf numFmtId="0" fontId="144" fillId="0" borderId="28" xfId="0" applyFont="1" applyBorder="1" applyAlignment="1" applyProtection="1">
      <alignment horizontal="left" vertical="center" wrapText="1"/>
      <protection locked="0"/>
    </xf>
    <xf numFmtId="0" fontId="144" fillId="0" borderId="28" xfId="0" applyFont="1" applyBorder="1" applyAlignment="1" applyProtection="1">
      <alignment horizontal="right" vertical="center" wrapText="1"/>
      <protection locked="0"/>
    </xf>
    <xf numFmtId="49" fontId="137" fillId="0" borderId="33" xfId="0" applyNumberFormat="1" applyFont="1" applyBorder="1" applyAlignment="1" applyProtection="1">
      <alignment vertical="center"/>
      <protection locked="0"/>
    </xf>
    <xf numFmtId="3" fontId="137" fillId="0" borderId="28" xfId="0" applyNumberFormat="1" applyFont="1" applyBorder="1" applyAlignment="1" applyProtection="1">
      <alignment horizontal="center" vertical="center"/>
      <protection locked="0"/>
    </xf>
    <xf numFmtId="165" fontId="109" fillId="0" borderId="28" xfId="0" applyNumberFormat="1" applyFont="1" applyBorder="1" applyAlignment="1">
      <alignment horizontal="right" vertical="center"/>
    </xf>
    <xf numFmtId="49" fontId="30" fillId="0" borderId="33" xfId="0" applyNumberFormat="1" applyFont="1" applyBorder="1" applyAlignment="1" applyProtection="1">
      <alignment vertical="center"/>
      <protection locked="0"/>
    </xf>
    <xf numFmtId="3" fontId="147" fillId="0" borderId="27" xfId="0" applyNumberFormat="1" applyFont="1" applyBorder="1" applyAlignment="1" applyProtection="1">
      <alignment horizontal="center" vertical="center"/>
      <protection locked="0"/>
    </xf>
    <xf numFmtId="1" fontId="147" fillId="0" borderId="0" xfId="0" applyNumberFormat="1" applyFont="1" applyAlignment="1" applyProtection="1">
      <alignment horizontal="center" vertical="center"/>
      <protection locked="0"/>
    </xf>
    <xf numFmtId="49" fontId="30" fillId="0" borderId="20" xfId="0" applyNumberFormat="1" applyFont="1" applyBorder="1" applyAlignment="1" applyProtection="1">
      <alignment horizontal="left" vertical="center"/>
      <protection locked="0"/>
    </xf>
    <xf numFmtId="49" fontId="30" fillId="0" borderId="21" xfId="0" applyNumberFormat="1" applyFont="1" applyBorder="1" applyAlignment="1" applyProtection="1">
      <alignment horizontal="left" vertical="center"/>
      <protection locked="0"/>
    </xf>
    <xf numFmtId="3" fontId="30" fillId="0" borderId="27" xfId="0" applyNumberFormat="1" applyFont="1" applyBorder="1" applyAlignment="1" applyProtection="1">
      <alignment horizontal="center" vertical="center"/>
      <protection locked="0"/>
    </xf>
    <xf numFmtId="1" fontId="30" fillId="0" borderId="0" xfId="0" applyNumberFormat="1" applyFont="1" applyAlignment="1" applyProtection="1">
      <alignment horizontal="center" vertical="center"/>
      <protection locked="0"/>
    </xf>
    <xf numFmtId="164" fontId="69" fillId="0" borderId="28" xfId="0" applyNumberFormat="1" applyFont="1" applyBorder="1" applyAlignment="1" applyProtection="1">
      <alignment horizontal="left" vertical="center"/>
      <protection locked="0"/>
    </xf>
    <xf numFmtId="0" fontId="109" fillId="0" borderId="25" xfId="0" applyFont="1" applyBorder="1" applyAlignment="1" applyProtection="1">
      <alignment horizontal="left" vertical="center"/>
      <protection locked="0"/>
    </xf>
    <xf numFmtId="1" fontId="109" fillId="0" borderId="28" xfId="0" applyNumberFormat="1" applyFont="1" applyBorder="1" applyAlignment="1" applyProtection="1">
      <alignment horizontal="center" vertical="center" wrapText="1"/>
      <protection locked="0"/>
    </xf>
    <xf numFmtId="0" fontId="149" fillId="0" borderId="28" xfId="0" applyFont="1" applyBorder="1" applyAlignment="1" applyProtection="1">
      <alignment horizontal="left" vertical="center" wrapText="1"/>
      <protection locked="0"/>
    </xf>
    <xf numFmtId="0" fontId="137" fillId="0" borderId="28" xfId="0" applyFont="1" applyBorder="1" applyAlignment="1" applyProtection="1">
      <alignment horizontal="left" vertical="center"/>
      <protection locked="0"/>
    </xf>
    <xf numFmtId="0" fontId="137" fillId="0" borderId="26" xfId="0" applyFont="1" applyBorder="1" applyAlignment="1" applyProtection="1">
      <alignment horizontal="center" vertical="center"/>
      <protection locked="0"/>
    </xf>
    <xf numFmtId="0" fontId="109" fillId="0" borderId="20" xfId="0" applyFont="1" applyBorder="1" applyAlignment="1" applyProtection="1">
      <alignment horizontal="left" vertical="center"/>
      <protection locked="0"/>
    </xf>
    <xf numFmtId="0" fontId="109" fillId="0" borderId="21" xfId="0" applyFont="1" applyBorder="1" applyAlignment="1" applyProtection="1">
      <alignment horizontal="left" vertical="center"/>
      <protection locked="0"/>
    </xf>
    <xf numFmtId="0" fontId="109" fillId="0" borderId="0" xfId="0" applyFont="1" applyAlignment="1" applyProtection="1">
      <alignment horizontal="center" vertical="center"/>
      <protection locked="0"/>
    </xf>
    <xf numFmtId="165" fontId="152" fillId="5" borderId="28" xfId="0" applyNumberFormat="1" applyFont="1" applyFill="1" applyBorder="1" applyAlignment="1">
      <alignment horizontal="right" vertical="center"/>
    </xf>
    <xf numFmtId="3" fontId="153" fillId="0" borderId="27" xfId="0" applyNumberFormat="1" applyFont="1" applyBorder="1" applyAlignment="1" applyProtection="1">
      <alignment horizontal="center" vertical="center"/>
      <protection locked="0"/>
    </xf>
    <xf numFmtId="0" fontId="119" fillId="0" borderId="28" xfId="0" applyFont="1" applyBorder="1" applyAlignment="1" applyProtection="1">
      <alignment horizontal="center" wrapText="1"/>
      <protection locked="0"/>
    </xf>
    <xf numFmtId="0" fontId="120" fillId="0" borderId="0" xfId="0" applyFont="1" applyAlignment="1" applyProtection="1">
      <alignment horizontal="center" wrapText="1"/>
      <protection locked="0"/>
    </xf>
    <xf numFmtId="0" fontId="121" fillId="0" borderId="0" xfId="0" applyFont="1" applyAlignment="1" applyProtection="1">
      <alignment horizontal="center" wrapText="1"/>
      <protection locked="0"/>
    </xf>
    <xf numFmtId="1" fontId="138" fillId="0" borderId="28" xfId="0" applyNumberFormat="1" applyFont="1" applyBorder="1" applyAlignment="1" applyProtection="1">
      <alignment horizontal="center" vertical="center"/>
      <protection locked="0"/>
    </xf>
    <xf numFmtId="49" fontId="6" fillId="17" borderId="25" xfId="0" applyNumberFormat="1" applyFont="1" applyFill="1" applyBorder="1" applyProtection="1">
      <protection locked="0"/>
    </xf>
    <xf numFmtId="3" fontId="155" fillId="0" borderId="0" xfId="0" applyNumberFormat="1" applyFont="1" applyAlignment="1" applyProtection="1">
      <alignment horizontal="center" vertical="center"/>
      <protection locked="0"/>
    </xf>
    <xf numFmtId="1" fontId="155" fillId="0" borderId="28" xfId="0" applyNumberFormat="1" applyFont="1" applyBorder="1" applyAlignment="1" applyProtection="1">
      <alignment horizontal="center" vertical="center"/>
      <protection locked="0"/>
    </xf>
    <xf numFmtId="0" fontId="40" fillId="0" borderId="25" xfId="0" applyFont="1" applyBorder="1" applyAlignment="1" applyProtection="1">
      <alignment horizontal="left" vertical="center"/>
      <protection locked="0"/>
    </xf>
    <xf numFmtId="0" fontId="40" fillId="0" borderId="33" xfId="0" applyFont="1" applyBorder="1" applyAlignment="1" applyProtection="1">
      <alignment horizontal="left" vertical="center" wrapText="1"/>
      <protection locked="0"/>
    </xf>
    <xf numFmtId="49" fontId="22" fillId="0" borderId="25" xfId="0" applyNumberFormat="1" applyFont="1" applyBorder="1" applyProtection="1">
      <protection locked="0"/>
    </xf>
    <xf numFmtId="3" fontId="23" fillId="0" borderId="27" xfId="0" applyNumberFormat="1" applyFont="1" applyBorder="1" applyAlignment="1" applyProtection="1">
      <alignment horizontal="center"/>
      <protection locked="0"/>
    </xf>
    <xf numFmtId="1" fontId="23" fillId="0" borderId="0" xfId="0" applyNumberFormat="1" applyFont="1" applyAlignment="1" applyProtection="1">
      <alignment horizontal="center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76" fillId="0" borderId="28" xfId="0" applyFont="1" applyBorder="1" applyAlignment="1" applyProtection="1">
      <alignment horizontal="left" vertical="center"/>
      <protection locked="0"/>
    </xf>
    <xf numFmtId="49" fontId="6" fillId="0" borderId="27" xfId="0" applyNumberFormat="1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18" fillId="0" borderId="28" xfId="0" applyFont="1" applyBorder="1" applyAlignment="1" applyProtection="1">
      <alignment horizontal="center"/>
      <protection locked="0"/>
    </xf>
    <xf numFmtId="0" fontId="126" fillId="0" borderId="0" xfId="0" applyFont="1" applyAlignment="1" applyProtection="1">
      <alignment horizontal="center"/>
      <protection locked="0"/>
    </xf>
    <xf numFmtId="3" fontId="137" fillId="0" borderId="0" xfId="0" applyNumberFormat="1" applyFont="1" applyAlignment="1" applyProtection="1">
      <alignment horizontal="center" vertical="center"/>
      <protection locked="0"/>
    </xf>
    <xf numFmtId="1" fontId="137" fillId="0" borderId="28" xfId="0" applyNumberFormat="1" applyFont="1" applyBorder="1" applyAlignment="1" applyProtection="1">
      <alignment horizontal="center" vertical="center"/>
      <protection locked="0"/>
    </xf>
    <xf numFmtId="6" fontId="137" fillId="0" borderId="28" xfId="0" applyNumberFormat="1" applyFont="1" applyBorder="1" applyAlignment="1">
      <alignment vertical="center"/>
    </xf>
    <xf numFmtId="0" fontId="160" fillId="0" borderId="0" xfId="0" applyFont="1" applyAlignment="1" applyProtection="1">
      <alignment horizontal="center" wrapText="1"/>
      <protection locked="0"/>
    </xf>
    <xf numFmtId="0" fontId="123" fillId="22" borderId="34" xfId="0" applyFont="1" applyFill="1" applyBorder="1" applyAlignment="1" applyProtection="1">
      <alignment horizontal="center"/>
      <protection locked="0"/>
    </xf>
    <xf numFmtId="0" fontId="121" fillId="22" borderId="34" xfId="0" applyFont="1" applyFill="1" applyBorder="1" applyAlignment="1" applyProtection="1">
      <alignment horizontal="center"/>
      <protection locked="0"/>
    </xf>
    <xf numFmtId="0" fontId="123" fillId="22" borderId="34" xfId="0" applyFont="1" applyFill="1" applyBorder="1" applyAlignment="1">
      <alignment horizontal="center"/>
    </xf>
    <xf numFmtId="0" fontId="124" fillId="22" borderId="34" xfId="0" applyFont="1" applyFill="1" applyBorder="1" applyAlignment="1" applyProtection="1">
      <alignment horizontal="center"/>
      <protection locked="0"/>
    </xf>
    <xf numFmtId="0" fontId="122" fillId="22" borderId="34" xfId="0" applyFont="1" applyFill="1" applyBorder="1" applyAlignment="1" applyProtection="1">
      <alignment horizontal="center"/>
      <protection locked="0"/>
    </xf>
    <xf numFmtId="0" fontId="123" fillId="22" borderId="34" xfId="0" applyFont="1" applyFill="1" applyBorder="1" applyAlignment="1" applyProtection="1">
      <alignment horizontal="center" vertical="center"/>
      <protection locked="0"/>
    </xf>
    <xf numFmtId="49" fontId="123" fillId="22" borderId="34" xfId="0" applyNumberFormat="1" applyFont="1" applyFill="1" applyBorder="1" applyAlignment="1" applyProtection="1">
      <alignment horizontal="center" vertical="center"/>
      <protection locked="0"/>
    </xf>
    <xf numFmtId="0" fontId="162" fillId="22" borderId="36" xfId="0" applyFont="1" applyFill="1" applyBorder="1" applyAlignment="1" applyProtection="1">
      <alignment horizontal="center" wrapText="1"/>
      <protection locked="0"/>
    </xf>
    <xf numFmtId="0" fontId="162" fillId="22" borderId="37" xfId="0" applyFont="1" applyFill="1" applyBorder="1" applyAlignment="1" applyProtection="1">
      <alignment horizontal="center" wrapText="1"/>
      <protection locked="0"/>
    </xf>
    <xf numFmtId="0" fontId="157" fillId="22" borderId="37" xfId="0" applyFont="1" applyFill="1" applyBorder="1" applyAlignment="1" applyProtection="1">
      <alignment horizontal="center" wrapText="1"/>
      <protection locked="0"/>
    </xf>
    <xf numFmtId="0" fontId="121" fillId="12" borderId="34" xfId="0" applyFont="1" applyFill="1" applyBorder="1" applyAlignment="1" applyProtection="1">
      <alignment horizontal="center"/>
      <protection locked="0"/>
    </xf>
    <xf numFmtId="0" fontId="122" fillId="12" borderId="37" xfId="0" applyFont="1" applyFill="1" applyBorder="1" applyAlignment="1" applyProtection="1">
      <alignment horizontal="center" wrapText="1"/>
      <protection locked="0"/>
    </xf>
    <xf numFmtId="0" fontId="123" fillId="12" borderId="34" xfId="0" applyFont="1" applyFill="1" applyBorder="1" applyAlignment="1" applyProtection="1">
      <alignment horizontal="center"/>
      <protection locked="0"/>
    </xf>
    <xf numFmtId="0" fontId="159" fillId="24" borderId="34" xfId="0" applyFont="1" applyFill="1" applyBorder="1" applyAlignment="1" applyProtection="1">
      <alignment horizontal="center"/>
      <protection locked="0"/>
    </xf>
    <xf numFmtId="49" fontId="109" fillId="0" borderId="21" xfId="0" applyNumberFormat="1" applyFont="1" applyBorder="1" applyAlignment="1" applyProtection="1">
      <alignment vertical="center"/>
      <protection locked="0"/>
    </xf>
    <xf numFmtId="0" fontId="119" fillId="24" borderId="34" xfId="0" applyFont="1" applyFill="1" applyBorder="1" applyAlignment="1" applyProtection="1">
      <alignment horizontal="center"/>
      <protection locked="0"/>
    </xf>
    <xf numFmtId="0" fontId="126" fillId="24" borderId="34" xfId="0" applyFont="1" applyFill="1" applyBorder="1" applyAlignment="1" applyProtection="1">
      <alignment horizontal="center"/>
      <protection locked="0"/>
    </xf>
    <xf numFmtId="0" fontId="30" fillId="24" borderId="28" xfId="0" applyFont="1" applyFill="1" applyBorder="1" applyAlignment="1" applyProtection="1">
      <alignment horizontal="center"/>
      <protection locked="0"/>
    </xf>
    <xf numFmtId="0" fontId="163" fillId="24" borderId="34" xfId="0" applyFont="1" applyFill="1" applyBorder="1" applyAlignment="1" applyProtection="1">
      <alignment horizontal="center"/>
      <protection locked="0"/>
    </xf>
    <xf numFmtId="0" fontId="163" fillId="25" borderId="34" xfId="0" applyFont="1" applyFill="1" applyBorder="1" applyAlignment="1" applyProtection="1">
      <alignment horizontal="center"/>
      <protection locked="0"/>
    </xf>
    <xf numFmtId="0" fontId="125" fillId="12" borderId="34" xfId="0" applyFont="1" applyFill="1" applyBorder="1" applyAlignment="1" applyProtection="1">
      <alignment horizontal="center"/>
      <protection locked="0"/>
    </xf>
    <xf numFmtId="0" fontId="123" fillId="12" borderId="35" xfId="0" applyFont="1" applyFill="1" applyBorder="1" applyAlignment="1" applyProtection="1">
      <alignment horizontal="center"/>
      <protection locked="0"/>
    </xf>
    <xf numFmtId="0" fontId="165" fillId="22" borderId="0" xfId="0" applyFont="1" applyFill="1" applyProtection="1">
      <protection locked="0"/>
    </xf>
    <xf numFmtId="49" fontId="166" fillId="0" borderId="26" xfId="0" applyNumberFormat="1" applyFont="1" applyBorder="1" applyAlignment="1" applyProtection="1">
      <alignment vertical="center"/>
      <protection locked="0"/>
    </xf>
    <xf numFmtId="49" fontId="166" fillId="0" borderId="25" xfId="0" applyNumberFormat="1" applyFont="1" applyBorder="1" applyAlignment="1" applyProtection="1">
      <alignment vertical="center"/>
      <protection locked="0"/>
    </xf>
    <xf numFmtId="3" fontId="166" fillId="0" borderId="27" xfId="0" applyNumberFormat="1" applyFont="1" applyBorder="1" applyAlignment="1" applyProtection="1">
      <alignment horizontal="center" vertical="center"/>
      <protection locked="0"/>
    </xf>
    <xf numFmtId="1" fontId="166" fillId="0" borderId="0" xfId="0" applyNumberFormat="1" applyFont="1" applyAlignment="1" applyProtection="1">
      <alignment horizontal="center" vertical="center"/>
      <protection locked="0"/>
    </xf>
    <xf numFmtId="165" fontId="166" fillId="5" borderId="28" xfId="0" applyNumberFormat="1" applyFont="1" applyFill="1" applyBorder="1" applyAlignment="1">
      <alignment horizontal="right" vertical="center"/>
    </xf>
    <xf numFmtId="49" fontId="6" fillId="0" borderId="28" xfId="0" applyNumberFormat="1" applyFont="1" applyBorder="1" applyAlignment="1" applyProtection="1">
      <alignment vertical="center" wrapText="1"/>
      <protection locked="0"/>
    </xf>
    <xf numFmtId="165" fontId="6" fillId="0" borderId="0" xfId="0" applyNumberFormat="1" applyFont="1" applyAlignment="1">
      <alignment horizontal="right" vertical="center"/>
    </xf>
    <xf numFmtId="165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165" fontId="5" fillId="4" borderId="41" xfId="5" applyNumberFormat="1" applyFont="1" applyFill="1" applyBorder="1" applyAlignment="1" applyProtection="1">
      <alignment horizontal="center" vertical="center" wrapText="1"/>
      <protection locked="0"/>
    </xf>
    <xf numFmtId="164" fontId="45" fillId="2" borderId="2" xfId="6" applyNumberFormat="1" applyFont="1" applyFill="1" applyBorder="1" applyAlignment="1" applyProtection="1">
      <alignment horizontal="center" vertical="center" wrapText="1"/>
      <protection locked="0"/>
    </xf>
    <xf numFmtId="164" fontId="45" fillId="2" borderId="41" xfId="6" applyNumberFormat="1" applyFont="1" applyFill="1" applyBorder="1" applyAlignment="1" applyProtection="1">
      <alignment horizontal="center" vertical="center" wrapText="1"/>
      <protection locked="0"/>
    </xf>
    <xf numFmtId="165" fontId="147" fillId="22" borderId="25" xfId="0" applyNumberFormat="1" applyFont="1" applyFill="1" applyBorder="1" applyAlignment="1">
      <alignment horizontal="center" vertical="center"/>
    </xf>
    <xf numFmtId="165" fontId="147" fillId="22" borderId="42" xfId="0" applyNumberFormat="1" applyFont="1" applyFill="1" applyBorder="1" applyAlignment="1">
      <alignment horizontal="center" vertical="center"/>
    </xf>
    <xf numFmtId="165" fontId="161" fillId="5" borderId="25" xfId="0" applyNumberFormat="1" applyFont="1" applyFill="1" applyBorder="1" applyAlignment="1">
      <alignment horizontal="center" vertical="center"/>
    </xf>
    <xf numFmtId="165" fontId="161" fillId="5" borderId="42" xfId="0" applyNumberFormat="1" applyFont="1" applyFill="1" applyBorder="1" applyAlignment="1">
      <alignment horizontal="center" vertical="center"/>
    </xf>
    <xf numFmtId="165" fontId="45" fillId="2" borderId="9" xfId="0" applyNumberFormat="1" applyFont="1" applyFill="1" applyBorder="1" applyAlignment="1">
      <alignment horizontal="center" vertical="center"/>
    </xf>
    <xf numFmtId="165" fontId="45" fillId="2" borderId="43" xfId="0" applyNumberFormat="1" applyFont="1" applyFill="1" applyBorder="1" applyAlignment="1">
      <alignment horizontal="center" vertical="center"/>
    </xf>
    <xf numFmtId="165" fontId="21" fillId="5" borderId="25" xfId="0" applyNumberFormat="1" applyFont="1" applyFill="1" applyBorder="1" applyAlignment="1">
      <alignment horizontal="center" vertical="center"/>
    </xf>
    <xf numFmtId="165" fontId="21" fillId="5" borderId="42" xfId="0" applyNumberFormat="1" applyFont="1" applyFill="1" applyBorder="1" applyAlignment="1">
      <alignment horizontal="center" vertical="center"/>
    </xf>
    <xf numFmtId="165" fontId="6" fillId="0" borderId="25" xfId="0" applyNumberFormat="1" applyFont="1" applyBorder="1" applyAlignment="1">
      <alignment horizontal="center" vertical="center"/>
    </xf>
    <xf numFmtId="165" fontId="6" fillId="0" borderId="42" xfId="0" applyNumberFormat="1" applyFont="1" applyBorder="1" applyAlignment="1">
      <alignment horizontal="center" vertical="center"/>
    </xf>
    <xf numFmtId="165" fontId="6" fillId="5" borderId="25" xfId="0" applyNumberFormat="1" applyFont="1" applyFill="1" applyBorder="1" applyAlignment="1">
      <alignment horizontal="center" vertical="center"/>
    </xf>
    <xf numFmtId="165" fontId="6" fillId="5" borderId="42" xfId="0" applyNumberFormat="1" applyFont="1" applyFill="1" applyBorder="1" applyAlignment="1">
      <alignment horizontal="center" vertical="center"/>
    </xf>
    <xf numFmtId="165" fontId="25" fillId="22" borderId="25" xfId="0" applyNumberFormat="1" applyFont="1" applyFill="1" applyBorder="1" applyAlignment="1">
      <alignment horizontal="center" vertical="center"/>
    </xf>
    <xf numFmtId="165" fontId="25" fillId="22" borderId="42" xfId="0" applyNumberFormat="1" applyFont="1" applyFill="1" applyBorder="1" applyAlignment="1">
      <alignment horizontal="center" vertical="center"/>
    </xf>
    <xf numFmtId="165" fontId="137" fillId="5" borderId="25" xfId="0" applyNumberFormat="1" applyFont="1" applyFill="1" applyBorder="1" applyAlignment="1">
      <alignment horizontal="center" vertical="center"/>
    </xf>
    <xf numFmtId="165" fontId="137" fillId="5" borderId="42" xfId="0" applyNumberFormat="1" applyFont="1" applyFill="1" applyBorder="1" applyAlignment="1">
      <alignment horizontal="center" vertical="center"/>
    </xf>
    <xf numFmtId="165" fontId="31" fillId="22" borderId="25" xfId="0" applyNumberFormat="1" applyFont="1" applyFill="1" applyBorder="1" applyAlignment="1">
      <alignment horizontal="center" vertical="center"/>
    </xf>
    <xf numFmtId="165" fontId="31" fillId="22" borderId="42" xfId="0" applyNumberFormat="1" applyFont="1" applyFill="1" applyBorder="1" applyAlignment="1">
      <alignment horizontal="center" vertical="center"/>
    </xf>
    <xf numFmtId="165" fontId="40" fillId="5" borderId="25" xfId="0" applyNumberFormat="1" applyFont="1" applyFill="1" applyBorder="1" applyAlignment="1">
      <alignment horizontal="center" vertical="center"/>
    </xf>
    <xf numFmtId="165" fontId="40" fillId="5" borderId="42" xfId="0" applyNumberFormat="1" applyFont="1" applyFill="1" applyBorder="1" applyAlignment="1">
      <alignment horizontal="center" vertical="center"/>
    </xf>
    <xf numFmtId="165" fontId="40" fillId="0" borderId="25" xfId="0" applyNumberFormat="1" applyFont="1" applyBorder="1" applyAlignment="1">
      <alignment horizontal="center" vertical="center"/>
    </xf>
    <xf numFmtId="165" fontId="152" fillId="5" borderId="25" xfId="0" applyNumberFormat="1" applyFont="1" applyFill="1" applyBorder="1" applyAlignment="1">
      <alignment horizontal="center" vertical="center"/>
    </xf>
    <xf numFmtId="165" fontId="152" fillId="5" borderId="42" xfId="0" applyNumberFormat="1" applyFont="1" applyFill="1" applyBorder="1" applyAlignment="1">
      <alignment horizontal="center" vertical="center"/>
    </xf>
    <xf numFmtId="165" fontId="45" fillId="2" borderId="1" xfId="6" applyNumberFormat="1" applyFont="1" applyFill="1" applyBorder="1" applyAlignment="1">
      <alignment horizontal="center" vertical="center" wrapText="1"/>
    </xf>
    <xf numFmtId="165" fontId="45" fillId="2" borderId="44" xfId="6" applyNumberFormat="1" applyFont="1" applyFill="1" applyBorder="1" applyAlignment="1">
      <alignment horizontal="center" vertical="center" wrapText="1"/>
    </xf>
    <xf numFmtId="165" fontId="6" fillId="0" borderId="25" xfId="0" applyNumberFormat="1" applyFont="1" applyBorder="1" applyAlignment="1">
      <alignment horizontal="center" vertical="center" wrapText="1"/>
    </xf>
    <xf numFmtId="165" fontId="6" fillId="0" borderId="42" xfId="0" applyNumberFormat="1" applyFont="1" applyBorder="1" applyAlignment="1">
      <alignment horizontal="center" vertical="center" wrapText="1"/>
    </xf>
    <xf numFmtId="165" fontId="137" fillId="5" borderId="25" xfId="0" applyNumberFormat="1" applyFont="1" applyFill="1" applyBorder="1" applyAlignment="1">
      <alignment horizontal="center" vertical="center" wrapText="1"/>
    </xf>
    <xf numFmtId="165" fontId="137" fillId="5" borderId="42" xfId="0" applyNumberFormat="1" applyFont="1" applyFill="1" applyBorder="1" applyAlignment="1">
      <alignment horizontal="center" vertical="center" wrapText="1"/>
    </xf>
    <xf numFmtId="165" fontId="6" fillId="5" borderId="25" xfId="0" applyNumberFormat="1" applyFont="1" applyFill="1" applyBorder="1" applyAlignment="1">
      <alignment horizontal="center" vertical="center" wrapText="1"/>
    </xf>
    <xf numFmtId="165" fontId="6" fillId="5" borderId="42" xfId="0" applyNumberFormat="1" applyFont="1" applyFill="1" applyBorder="1" applyAlignment="1">
      <alignment horizontal="center" vertical="center" wrapText="1"/>
    </xf>
    <xf numFmtId="165" fontId="53" fillId="2" borderId="45" xfId="9" applyNumberFormat="1" applyFont="1" applyFill="1" applyBorder="1" applyAlignment="1">
      <alignment horizontal="center" vertical="center"/>
    </xf>
    <xf numFmtId="165" fontId="53" fillId="2" borderId="44" xfId="9" applyNumberFormat="1" applyFont="1" applyFill="1" applyBorder="1" applyAlignment="1">
      <alignment horizontal="center" vertical="center"/>
    </xf>
    <xf numFmtId="165" fontId="31" fillId="24" borderId="25" xfId="0" applyNumberFormat="1" applyFont="1" applyFill="1" applyBorder="1" applyAlignment="1">
      <alignment horizontal="center" vertical="center"/>
    </xf>
    <xf numFmtId="165" fontId="31" fillId="24" borderId="42" xfId="0" applyNumberFormat="1" applyFont="1" applyFill="1" applyBorder="1" applyAlignment="1">
      <alignment horizontal="center" vertical="center"/>
    </xf>
    <xf numFmtId="165" fontId="25" fillId="24" borderId="25" xfId="0" applyNumberFormat="1" applyFont="1" applyFill="1" applyBorder="1" applyAlignment="1">
      <alignment horizontal="center" vertical="center"/>
    </xf>
    <xf numFmtId="165" fontId="25" fillId="24" borderId="42" xfId="0" applyNumberFormat="1" applyFont="1" applyFill="1" applyBorder="1" applyAlignment="1">
      <alignment horizontal="center" vertical="center"/>
    </xf>
    <xf numFmtId="165" fontId="54" fillId="2" borderId="45" xfId="6" applyNumberFormat="1" applyFont="1" applyFill="1" applyBorder="1" applyAlignment="1">
      <alignment horizontal="center" vertical="center" wrapText="1"/>
    </xf>
    <xf numFmtId="165" fontId="54" fillId="2" borderId="46" xfId="6" applyNumberFormat="1" applyFont="1" applyFill="1" applyBorder="1" applyAlignment="1">
      <alignment horizontal="center" vertical="center" wrapText="1"/>
    </xf>
    <xf numFmtId="165" fontId="28" fillId="5" borderId="25" xfId="0" applyNumberFormat="1" applyFont="1" applyFill="1" applyBorder="1" applyAlignment="1">
      <alignment horizontal="center" vertical="center"/>
    </xf>
    <xf numFmtId="165" fontId="28" fillId="5" borderId="42" xfId="0" applyNumberFormat="1" applyFont="1" applyFill="1" applyBorder="1" applyAlignment="1">
      <alignment horizontal="center" vertical="center"/>
    </xf>
    <xf numFmtId="166" fontId="6" fillId="5" borderId="25" xfId="0" applyNumberFormat="1" applyFont="1" applyFill="1" applyBorder="1" applyAlignment="1">
      <alignment horizontal="center" vertical="center"/>
    </xf>
    <xf numFmtId="165" fontId="30" fillId="0" borderId="42" xfId="0" applyNumberFormat="1" applyFont="1" applyBorder="1" applyAlignment="1">
      <alignment horizontal="center" vertical="center" wrapText="1"/>
    </xf>
    <xf numFmtId="165" fontId="43" fillId="2" borderId="17" xfId="6" applyNumberFormat="1" applyFont="1" applyFill="1" applyBorder="1" applyAlignment="1">
      <alignment horizontal="center" vertical="center" wrapText="1"/>
    </xf>
    <xf numFmtId="165" fontId="43" fillId="2" borderId="47" xfId="6" applyNumberFormat="1" applyFont="1" applyFill="1" applyBorder="1" applyAlignment="1">
      <alignment horizontal="center" vertical="center" wrapText="1"/>
    </xf>
    <xf numFmtId="6" fontId="17" fillId="0" borderId="25" xfId="0" applyNumberFormat="1" applyFont="1" applyBorder="1" applyAlignment="1">
      <alignment horizontal="center" vertical="center"/>
    </xf>
    <xf numFmtId="6" fontId="17" fillId="0" borderId="42" xfId="0" applyNumberFormat="1" applyFont="1" applyBorder="1" applyAlignment="1">
      <alignment horizontal="center" vertical="center"/>
    </xf>
    <xf numFmtId="6" fontId="137" fillId="0" borderId="25" xfId="0" applyNumberFormat="1" applyFont="1" applyBorder="1" applyAlignment="1">
      <alignment horizontal="center" vertical="center"/>
    </xf>
    <xf numFmtId="6" fontId="137" fillId="0" borderId="42" xfId="0" applyNumberFormat="1" applyFont="1" applyBorder="1" applyAlignment="1">
      <alignment horizontal="center" vertical="center"/>
    </xf>
    <xf numFmtId="6" fontId="6" fillId="0" borderId="25" xfId="0" applyNumberFormat="1" applyFont="1" applyBorder="1" applyAlignment="1">
      <alignment horizontal="center" vertical="center"/>
    </xf>
    <xf numFmtId="6" fontId="6" fillId="0" borderId="42" xfId="0" applyNumberFormat="1" applyFont="1" applyBorder="1" applyAlignment="1">
      <alignment horizontal="center" vertical="center"/>
    </xf>
    <xf numFmtId="6" fontId="156" fillId="5" borderId="25" xfId="0" applyNumberFormat="1" applyFont="1" applyFill="1" applyBorder="1" applyAlignment="1">
      <alignment horizontal="center" vertical="center"/>
    </xf>
    <xf numFmtId="6" fontId="156" fillId="5" borderId="42" xfId="0" applyNumberFormat="1" applyFont="1" applyFill="1" applyBorder="1" applyAlignment="1">
      <alignment horizontal="center" vertical="center"/>
    </xf>
    <xf numFmtId="6" fontId="22" fillId="5" borderId="25" xfId="0" applyNumberFormat="1" applyFont="1" applyFill="1" applyBorder="1" applyAlignment="1">
      <alignment horizontal="center" vertical="center"/>
    </xf>
    <xf numFmtId="6" fontId="22" fillId="5" borderId="42" xfId="0" applyNumberFormat="1" applyFont="1" applyFill="1" applyBorder="1" applyAlignment="1">
      <alignment horizontal="center" vertical="center"/>
    </xf>
    <xf numFmtId="6" fontId="6" fillId="5" borderId="25" xfId="0" applyNumberFormat="1" applyFont="1" applyFill="1" applyBorder="1" applyAlignment="1">
      <alignment horizontal="center" vertical="center"/>
    </xf>
    <xf numFmtId="6" fontId="6" fillId="5" borderId="42" xfId="0" applyNumberFormat="1" applyFont="1" applyFill="1" applyBorder="1" applyAlignment="1">
      <alignment horizontal="center" vertical="center"/>
    </xf>
    <xf numFmtId="6" fontId="40" fillId="5" borderId="25" xfId="0" applyNumberFormat="1" applyFont="1" applyFill="1" applyBorder="1" applyAlignment="1">
      <alignment horizontal="center" vertical="center"/>
    </xf>
    <xf numFmtId="6" fontId="40" fillId="5" borderId="42" xfId="0" applyNumberFormat="1" applyFont="1" applyFill="1" applyBorder="1" applyAlignment="1">
      <alignment horizontal="center" vertical="center"/>
    </xf>
    <xf numFmtId="165" fontId="55" fillId="2" borderId="25" xfId="6" applyNumberFormat="1" applyFont="1" applyFill="1" applyBorder="1" applyAlignment="1">
      <alignment horizontal="center" vertical="center" wrapText="1"/>
    </xf>
    <xf numFmtId="165" fontId="55" fillId="2" borderId="42" xfId="6" applyNumberFormat="1" applyFont="1" applyFill="1" applyBorder="1" applyAlignment="1">
      <alignment horizontal="center" vertical="center" wrapText="1"/>
    </xf>
    <xf numFmtId="165" fontId="137" fillId="0" borderId="25" xfId="0" applyNumberFormat="1" applyFont="1" applyBorder="1" applyAlignment="1">
      <alignment horizontal="center" vertical="center" wrapText="1"/>
    </xf>
    <xf numFmtId="165" fontId="137" fillId="0" borderId="42" xfId="0" applyNumberFormat="1" applyFont="1" applyBorder="1" applyAlignment="1">
      <alignment horizontal="center" vertical="center" wrapText="1"/>
    </xf>
    <xf numFmtId="165" fontId="109" fillId="0" borderId="25" xfId="0" applyNumberFormat="1" applyFont="1" applyBorder="1" applyAlignment="1">
      <alignment horizontal="center" vertical="center" wrapText="1"/>
    </xf>
    <xf numFmtId="165" fontId="109" fillId="0" borderId="42" xfId="0" applyNumberFormat="1" applyFont="1" applyBorder="1" applyAlignment="1">
      <alignment horizontal="center" vertical="center" wrapText="1"/>
    </xf>
    <xf numFmtId="165" fontId="25" fillId="24" borderId="25" xfId="0" applyNumberFormat="1" applyFont="1" applyFill="1" applyBorder="1" applyAlignment="1">
      <alignment horizontal="center" vertical="center" wrapText="1"/>
    </xf>
    <xf numFmtId="165" fontId="25" fillId="24" borderId="42" xfId="0" applyNumberFormat="1" applyFont="1" applyFill="1" applyBorder="1" applyAlignment="1">
      <alignment horizontal="center" vertical="center" wrapText="1"/>
    </xf>
    <xf numFmtId="165" fontId="53" fillId="2" borderId="25" xfId="9" applyNumberFormat="1" applyFont="1" applyFill="1" applyBorder="1" applyAlignment="1">
      <alignment horizontal="center" vertical="center"/>
    </xf>
    <xf numFmtId="165" fontId="53" fillId="2" borderId="42" xfId="9" applyNumberFormat="1" applyFont="1" applyFill="1" applyBorder="1" applyAlignment="1">
      <alignment horizontal="center" vertical="center"/>
    </xf>
    <xf numFmtId="165" fontId="21" fillId="0" borderId="25" xfId="0" applyNumberFormat="1" applyFont="1" applyBorder="1" applyAlignment="1">
      <alignment horizontal="center" vertical="center"/>
    </xf>
    <xf numFmtId="165" fontId="21" fillId="0" borderId="42" xfId="0" applyNumberFormat="1" applyFont="1" applyBorder="1" applyAlignment="1">
      <alignment horizontal="center" vertical="center"/>
    </xf>
    <xf numFmtId="165" fontId="31" fillId="5" borderId="25" xfId="0" applyNumberFormat="1" applyFont="1" applyFill="1" applyBorder="1" applyAlignment="1">
      <alignment horizontal="center" vertical="center"/>
    </xf>
    <xf numFmtId="165" fontId="138" fillId="0" borderId="25" xfId="0" applyNumberFormat="1" applyFont="1" applyBorder="1" applyAlignment="1">
      <alignment horizontal="center" vertical="center"/>
    </xf>
    <xf numFmtId="165" fontId="23" fillId="24" borderId="25" xfId="0" applyNumberFormat="1" applyFont="1" applyFill="1" applyBorder="1" applyAlignment="1">
      <alignment horizontal="center" vertical="center"/>
    </xf>
    <xf numFmtId="165" fontId="138" fillId="5" borderId="25" xfId="0" applyNumberFormat="1" applyFont="1" applyFill="1" applyBorder="1" applyAlignment="1">
      <alignment horizontal="center" vertical="center"/>
    </xf>
    <xf numFmtId="165" fontId="25" fillId="5" borderId="25" xfId="0" applyNumberFormat="1" applyFont="1" applyFill="1" applyBorder="1" applyAlignment="1">
      <alignment horizontal="center" vertical="center"/>
    </xf>
    <xf numFmtId="165" fontId="25" fillId="5" borderId="42" xfId="0" applyNumberFormat="1" applyFont="1" applyFill="1" applyBorder="1" applyAlignment="1">
      <alignment horizontal="center" vertical="center"/>
    </xf>
    <xf numFmtId="165" fontId="34" fillId="2" borderId="45" xfId="6" applyNumberFormat="1" applyFont="1" applyFill="1" applyBorder="1" applyAlignment="1">
      <alignment horizontal="center" vertical="center"/>
    </xf>
    <xf numFmtId="165" fontId="34" fillId="2" borderId="46" xfId="6" applyNumberFormat="1" applyFont="1" applyFill="1" applyBorder="1" applyAlignment="1">
      <alignment horizontal="center" vertical="center"/>
    </xf>
    <xf numFmtId="165" fontId="137" fillId="0" borderId="25" xfId="0" applyNumberFormat="1" applyFont="1" applyBorder="1" applyAlignment="1">
      <alignment horizontal="center" vertical="center"/>
    </xf>
    <xf numFmtId="165" fontId="164" fillId="24" borderId="25" xfId="0" applyNumberFormat="1" applyFont="1" applyFill="1" applyBorder="1" applyAlignment="1">
      <alignment horizontal="center" vertical="center"/>
    </xf>
    <xf numFmtId="165" fontId="166" fillId="5" borderId="25" xfId="0" applyNumberFormat="1" applyFont="1" applyFill="1" applyBorder="1" applyAlignment="1">
      <alignment horizontal="center" vertical="center"/>
    </xf>
    <xf numFmtId="165" fontId="60" fillId="5" borderId="25" xfId="0" applyNumberFormat="1" applyFont="1" applyFill="1" applyBorder="1" applyAlignment="1">
      <alignment horizontal="center" vertical="center"/>
    </xf>
    <xf numFmtId="165" fontId="60" fillId="5" borderId="42" xfId="0" applyNumberFormat="1" applyFont="1" applyFill="1" applyBorder="1" applyAlignment="1">
      <alignment horizontal="center" vertical="center"/>
    </xf>
    <xf numFmtId="165" fontId="60" fillId="24" borderId="25" xfId="0" applyNumberFormat="1" applyFont="1" applyFill="1" applyBorder="1" applyAlignment="1">
      <alignment horizontal="center" vertical="center"/>
    </xf>
    <xf numFmtId="165" fontId="60" fillId="24" borderId="42" xfId="0" applyNumberFormat="1" applyFont="1" applyFill="1" applyBorder="1" applyAlignment="1">
      <alignment horizontal="center" vertical="center"/>
    </xf>
    <xf numFmtId="165" fontId="53" fillId="2" borderId="9" xfId="9" applyNumberFormat="1" applyFont="1" applyFill="1" applyBorder="1" applyAlignment="1">
      <alignment horizontal="center" vertical="center"/>
    </xf>
    <xf numFmtId="165" fontId="53" fillId="2" borderId="43" xfId="9" applyNumberFormat="1" applyFont="1" applyFill="1" applyBorder="1" applyAlignment="1">
      <alignment horizontal="center" vertical="center"/>
    </xf>
    <xf numFmtId="165" fontId="53" fillId="2" borderId="46" xfId="9" applyNumberFormat="1" applyFont="1" applyFill="1" applyBorder="1" applyAlignment="1">
      <alignment horizontal="center" vertical="center"/>
    </xf>
    <xf numFmtId="165" fontId="66" fillId="15" borderId="9" xfId="0" applyNumberFormat="1" applyFont="1" applyFill="1" applyBorder="1" applyAlignment="1">
      <alignment horizontal="center" vertical="center"/>
    </xf>
    <xf numFmtId="165" fontId="66" fillId="15" borderId="43" xfId="0" applyNumberFormat="1" applyFont="1" applyFill="1" applyBorder="1" applyAlignment="1">
      <alignment horizontal="center" vertical="center"/>
    </xf>
    <xf numFmtId="165" fontId="23" fillId="22" borderId="25" xfId="0" applyNumberFormat="1" applyFont="1" applyFill="1" applyBorder="1" applyAlignment="1">
      <alignment horizontal="center" vertical="center"/>
    </xf>
    <xf numFmtId="165" fontId="23" fillId="22" borderId="42" xfId="0" applyNumberFormat="1" applyFont="1" applyFill="1" applyBorder="1" applyAlignment="1">
      <alignment horizontal="center" vertical="center"/>
    </xf>
    <xf numFmtId="49" fontId="25" fillId="9" borderId="25" xfId="0" applyNumberFormat="1" applyFont="1" applyFill="1" applyBorder="1" applyAlignment="1">
      <alignment horizontal="center" vertical="center"/>
    </xf>
    <xf numFmtId="49" fontId="25" fillId="9" borderId="42" xfId="0" applyNumberFormat="1" applyFont="1" applyFill="1" applyBorder="1" applyAlignment="1">
      <alignment horizontal="center" vertical="center"/>
    </xf>
    <xf numFmtId="49" fontId="25" fillId="22" borderId="25" xfId="0" applyNumberFormat="1" applyFont="1" applyFill="1" applyBorder="1" applyAlignment="1">
      <alignment horizontal="center" vertical="center"/>
    </xf>
    <xf numFmtId="49" fontId="25" fillId="22" borderId="42" xfId="0" applyNumberFormat="1" applyFont="1" applyFill="1" applyBorder="1" applyAlignment="1">
      <alignment horizontal="center" vertical="center"/>
    </xf>
    <xf numFmtId="49" fontId="25" fillId="5" borderId="25" xfId="0" applyNumberFormat="1" applyFont="1" applyFill="1" applyBorder="1" applyAlignment="1">
      <alignment horizontal="center" vertical="center"/>
    </xf>
    <xf numFmtId="49" fontId="25" fillId="5" borderId="42" xfId="0" applyNumberFormat="1" applyFont="1" applyFill="1" applyBorder="1" applyAlignment="1">
      <alignment horizontal="center" vertical="center"/>
    </xf>
    <xf numFmtId="165" fontId="54" fillId="2" borderId="1" xfId="6" applyNumberFormat="1" applyFont="1" applyFill="1" applyBorder="1" applyAlignment="1">
      <alignment horizontal="center" vertical="center" wrapText="1"/>
    </xf>
    <xf numFmtId="165" fontId="54" fillId="2" borderId="44" xfId="6" applyNumberFormat="1" applyFont="1" applyFill="1" applyBorder="1" applyAlignment="1">
      <alignment horizontal="center" vertical="center" wrapText="1"/>
    </xf>
    <xf numFmtId="165" fontId="25" fillId="22" borderId="25" xfId="0" applyNumberFormat="1" applyFont="1" applyFill="1" applyBorder="1" applyAlignment="1">
      <alignment horizontal="center" vertical="center" wrapText="1"/>
    </xf>
    <xf numFmtId="165" fontId="25" fillId="22" borderId="42" xfId="0" applyNumberFormat="1" applyFont="1" applyFill="1" applyBorder="1" applyAlignment="1">
      <alignment horizontal="center" vertical="center" wrapText="1"/>
    </xf>
    <xf numFmtId="165" fontId="25" fillId="5" borderId="25" xfId="0" applyNumberFormat="1" applyFont="1" applyFill="1" applyBorder="1" applyAlignment="1">
      <alignment horizontal="center" vertical="center" wrapText="1"/>
    </xf>
    <xf numFmtId="165" fontId="25" fillId="5" borderId="42" xfId="0" applyNumberFormat="1" applyFont="1" applyFill="1" applyBorder="1" applyAlignment="1">
      <alignment horizontal="center" vertical="center" wrapText="1"/>
    </xf>
    <xf numFmtId="165" fontId="23" fillId="22" borderId="25" xfId="0" applyNumberFormat="1" applyFont="1" applyFill="1" applyBorder="1" applyAlignment="1">
      <alignment horizontal="center" vertical="center" wrapText="1"/>
    </xf>
    <xf numFmtId="165" fontId="23" fillId="22" borderId="42" xfId="0" applyNumberFormat="1" applyFont="1" applyFill="1" applyBorder="1" applyAlignment="1">
      <alignment horizontal="center" vertical="center" wrapText="1"/>
    </xf>
    <xf numFmtId="165" fontId="23" fillId="5" borderId="25" xfId="0" applyNumberFormat="1" applyFont="1" applyFill="1" applyBorder="1" applyAlignment="1">
      <alignment horizontal="center" vertical="center"/>
    </xf>
    <xf numFmtId="165" fontId="23" fillId="5" borderId="42" xfId="0" applyNumberFormat="1" applyFont="1" applyFill="1" applyBorder="1" applyAlignment="1">
      <alignment horizontal="center" vertical="center"/>
    </xf>
    <xf numFmtId="165" fontId="22" fillId="5" borderId="25" xfId="0" applyNumberFormat="1" applyFont="1" applyFill="1" applyBorder="1" applyAlignment="1">
      <alignment horizontal="center" vertical="center"/>
    </xf>
    <xf numFmtId="165" fontId="22" fillId="5" borderId="42" xfId="0" applyNumberFormat="1" applyFont="1" applyFill="1" applyBorder="1" applyAlignment="1">
      <alignment horizontal="center" vertical="center"/>
    </xf>
    <xf numFmtId="0" fontId="99" fillId="15" borderId="16" xfId="0" applyFont="1" applyFill="1" applyBorder="1" applyAlignment="1" applyProtection="1">
      <alignment horizontal="center"/>
      <protection locked="0"/>
    </xf>
    <xf numFmtId="0" fontId="99" fillId="15" borderId="48" xfId="0" applyFont="1" applyFill="1" applyBorder="1" applyAlignment="1" applyProtection="1">
      <alignment horizontal="center"/>
      <protection locked="0"/>
    </xf>
    <xf numFmtId="164" fontId="5" fillId="4" borderId="49" xfId="5" applyNumberFormat="1" applyFont="1" applyFill="1" applyBorder="1" applyAlignment="1" applyProtection="1">
      <alignment horizontal="center" vertical="center" wrapText="1"/>
      <protection locked="0"/>
    </xf>
    <xf numFmtId="0" fontId="50" fillId="2" borderId="31" xfId="0" applyFont="1" applyFill="1" applyBorder="1" applyAlignment="1" applyProtection="1">
      <alignment horizontal="left" vertical="center"/>
      <protection locked="0"/>
    </xf>
    <xf numFmtId="0" fontId="18" fillId="17" borderId="0" xfId="0" applyFont="1" applyFill="1" applyAlignment="1" applyProtection="1">
      <alignment vertical="center"/>
      <protection locked="0"/>
    </xf>
    <xf numFmtId="0" fontId="50" fillId="2" borderId="40" xfId="0" applyFont="1" applyFill="1" applyBorder="1" applyAlignment="1" applyProtection="1">
      <alignment horizontal="left" vertical="center"/>
      <protection locked="0"/>
    </xf>
    <xf numFmtId="0" fontId="75" fillId="0" borderId="27" xfId="0" applyFont="1" applyBorder="1" applyAlignment="1" applyProtection="1">
      <alignment horizontal="left" vertical="center"/>
      <protection locked="0"/>
    </xf>
    <xf numFmtId="0" fontId="112" fillId="17" borderId="0" xfId="0" applyFont="1" applyFill="1" applyAlignment="1" applyProtection="1">
      <alignment horizontal="left" vertical="center" wrapText="1"/>
      <protection locked="0"/>
    </xf>
    <xf numFmtId="0" fontId="113" fillId="17" borderId="0" xfId="0" applyFont="1" applyFill="1" applyAlignment="1" applyProtection="1">
      <alignment horizontal="left" vertical="center" wrapText="1"/>
      <protection locked="0"/>
    </xf>
    <xf numFmtId="164" fontId="20" fillId="0" borderId="0" xfId="0" applyNumberFormat="1" applyFont="1" applyAlignment="1" applyProtection="1">
      <alignment horizontal="left" vertical="center" wrapText="1"/>
      <protection locked="0"/>
    </xf>
    <xf numFmtId="0" fontId="113" fillId="0" borderId="0" xfId="0" applyFont="1" applyAlignment="1" applyProtection="1">
      <alignment vertical="center"/>
      <protection locked="0"/>
    </xf>
    <xf numFmtId="0" fontId="113" fillId="17" borderId="0" xfId="0" applyFont="1" applyFill="1" applyAlignment="1" applyProtection="1">
      <alignment vertical="center"/>
      <protection locked="0"/>
    </xf>
    <xf numFmtId="0" fontId="75" fillId="17" borderId="0" xfId="0" applyFont="1" applyFill="1" applyAlignment="1" applyProtection="1">
      <alignment horizontal="left" vertical="center" wrapText="1"/>
      <protection locked="0"/>
    </xf>
    <xf numFmtId="0" fontId="75" fillId="17" borderId="0" xfId="0" applyFont="1" applyFill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112" fillId="17" borderId="0" xfId="0" applyFont="1" applyFill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8" fillId="16" borderId="0" xfId="0" applyFont="1" applyFill="1" applyAlignment="1" applyProtection="1">
      <alignment vertical="center"/>
      <protection locked="0"/>
    </xf>
    <xf numFmtId="0" fontId="75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vertical="center" wrapText="1"/>
      <protection locked="0"/>
    </xf>
    <xf numFmtId="0" fontId="43" fillId="2" borderId="39" xfId="6" applyFont="1" applyFill="1" applyBorder="1" applyAlignment="1" applyProtection="1">
      <alignment horizontal="left" vertical="center" wrapText="1"/>
      <protection locked="0"/>
    </xf>
    <xf numFmtId="0" fontId="114" fillId="17" borderId="50" xfId="0" applyFont="1" applyFill="1" applyBorder="1" applyAlignment="1" applyProtection="1">
      <alignment vertical="center"/>
      <protection locked="0"/>
    </xf>
    <xf numFmtId="0" fontId="114" fillId="17" borderId="27" xfId="0" applyFont="1" applyFill="1" applyBorder="1" applyAlignment="1" applyProtection="1">
      <alignment vertical="center"/>
      <protection locked="0"/>
    </xf>
    <xf numFmtId="0" fontId="113" fillId="19" borderId="27" xfId="0" applyFont="1" applyFill="1" applyBorder="1" applyAlignment="1" applyProtection="1">
      <alignment vertical="center"/>
      <protection locked="0"/>
    </xf>
    <xf numFmtId="0" fontId="75" fillId="0" borderId="0" xfId="0" applyFont="1" applyAlignment="1" applyProtection="1">
      <alignment vertical="center"/>
      <protection locked="0"/>
    </xf>
    <xf numFmtId="0" fontId="19" fillId="0" borderId="27" xfId="0" applyFont="1" applyBorder="1" applyAlignment="1" applyProtection="1">
      <alignment vertical="center"/>
      <protection locked="0"/>
    </xf>
    <xf numFmtId="0" fontId="20" fillId="0" borderId="27" xfId="0" applyFont="1" applyBorder="1" applyAlignment="1" applyProtection="1">
      <alignment vertical="center"/>
      <protection locked="0"/>
    </xf>
    <xf numFmtId="0" fontId="113" fillId="19" borderId="50" xfId="0" applyFont="1" applyFill="1" applyBorder="1" applyAlignment="1" applyProtection="1">
      <alignment vertical="center"/>
      <protection locked="0"/>
    </xf>
    <xf numFmtId="0" fontId="19" fillId="16" borderId="0" xfId="0" applyFont="1" applyFill="1" applyAlignment="1" applyProtection="1">
      <alignment vertical="center"/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114" fillId="0" borderId="27" xfId="0" applyFont="1" applyBorder="1" applyAlignment="1" applyProtection="1">
      <alignment vertical="center"/>
      <protection locked="0"/>
    </xf>
    <xf numFmtId="0" fontId="20" fillId="16" borderId="27" xfId="0" applyFont="1" applyFill="1" applyBorder="1" applyAlignment="1" applyProtection="1">
      <alignment vertical="center"/>
      <protection locked="0"/>
    </xf>
    <xf numFmtId="0" fontId="112" fillId="17" borderId="27" xfId="0" applyFont="1" applyFill="1" applyBorder="1" applyAlignment="1" applyProtection="1">
      <alignment vertical="center"/>
      <protection locked="0"/>
    </xf>
    <xf numFmtId="0" fontId="50" fillId="2" borderId="15" xfId="0" applyFont="1" applyFill="1" applyBorder="1" applyAlignment="1" applyProtection="1">
      <alignment horizontal="left" vertical="center"/>
      <protection locked="0"/>
    </xf>
    <xf numFmtId="0" fontId="154" fillId="0" borderId="0" xfId="0" applyFont="1" applyAlignment="1" applyProtection="1">
      <alignment vertical="center"/>
      <protection locked="0"/>
    </xf>
    <xf numFmtId="0" fontId="112" fillId="17" borderId="0" xfId="5" applyFont="1" applyFill="1" applyAlignment="1" applyProtection="1">
      <alignment horizontal="left" vertical="center" wrapText="1"/>
      <protection locked="0"/>
    </xf>
    <xf numFmtId="0" fontId="20" fillId="0" borderId="0" xfId="5" applyFont="1" applyAlignment="1" applyProtection="1">
      <alignment horizontal="left" vertical="center" wrapText="1"/>
      <protection locked="0"/>
    </xf>
    <xf numFmtId="0" fontId="52" fillId="2" borderId="39" xfId="6" applyFont="1" applyFill="1" applyBorder="1" applyAlignment="1" applyProtection="1">
      <alignment horizontal="left" vertical="center" wrapText="1"/>
      <protection locked="0"/>
    </xf>
    <xf numFmtId="0" fontId="112" fillId="17" borderId="0" xfId="0" applyFont="1" applyFill="1" applyAlignment="1" applyProtection="1">
      <alignment horizontal="left" vertical="center"/>
      <protection locked="0"/>
    </xf>
    <xf numFmtId="0" fontId="20" fillId="0" borderId="0" xfId="0" applyFont="1" applyAlignment="1" applyProtection="1">
      <alignment horizontal="left" vertical="center"/>
      <protection locked="0"/>
    </xf>
    <xf numFmtId="0" fontId="20" fillId="17" borderId="0" xfId="0" applyFont="1" applyFill="1" applyAlignment="1" applyProtection="1">
      <alignment vertical="center"/>
      <protection locked="0"/>
    </xf>
    <xf numFmtId="0" fontId="50" fillId="2" borderId="0" xfId="0" applyFont="1" applyFill="1" applyAlignment="1" applyProtection="1">
      <alignment horizontal="left" vertical="center"/>
      <protection locked="0"/>
    </xf>
    <xf numFmtId="165" fontId="20" fillId="0" borderId="0" xfId="0" applyNumberFormat="1" applyFont="1" applyAlignment="1" applyProtection="1">
      <alignment vertical="center"/>
      <protection locked="0"/>
    </xf>
    <xf numFmtId="0" fontId="18" fillId="26" borderId="0" xfId="0" applyFont="1" applyFill="1" applyAlignment="1" applyProtection="1">
      <alignment vertical="center"/>
      <protection locked="0"/>
    </xf>
    <xf numFmtId="0" fontId="135" fillId="16" borderId="0" xfId="0" applyFont="1" applyFill="1" applyAlignment="1" applyProtection="1">
      <alignment vertical="center"/>
      <protection locked="0"/>
    </xf>
    <xf numFmtId="0" fontId="20" fillId="17" borderId="0" xfId="0" applyFont="1" applyFill="1" applyAlignment="1" applyProtection="1">
      <alignment horizontal="left" vertical="center"/>
      <protection locked="0"/>
    </xf>
    <xf numFmtId="0" fontId="18" fillId="0" borderId="27" xfId="0" applyFont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12" fillId="0" borderId="0" xfId="0" applyFont="1" applyAlignment="1" applyProtection="1">
      <alignment horizontal="left" vertical="center"/>
      <protection locked="0"/>
    </xf>
    <xf numFmtId="0" fontId="36" fillId="2" borderId="40" xfId="0" applyFont="1" applyFill="1" applyBorder="1" applyAlignment="1" applyProtection="1">
      <alignment horizontal="left" vertical="center"/>
      <protection locked="0"/>
    </xf>
    <xf numFmtId="164" fontId="113" fillId="17" borderId="0" xfId="0" applyNumberFormat="1" applyFont="1" applyFill="1" applyAlignment="1" applyProtection="1">
      <alignment vertical="center"/>
      <protection locked="0"/>
    </xf>
    <xf numFmtId="0" fontId="112" fillId="17" borderId="27" xfId="0" applyFont="1" applyFill="1" applyBorder="1" applyAlignment="1" applyProtection="1">
      <alignment horizontal="left" vertical="center"/>
      <protection locked="0"/>
    </xf>
    <xf numFmtId="0" fontId="20" fillId="0" borderId="0" xfId="0" applyFont="1" applyProtection="1">
      <protection locked="0"/>
    </xf>
    <xf numFmtId="0" fontId="50" fillId="2" borderId="39" xfId="0" applyFont="1" applyFill="1" applyBorder="1" applyAlignment="1" applyProtection="1">
      <alignment horizontal="left" vertical="center"/>
      <protection locked="0"/>
    </xf>
    <xf numFmtId="3" fontId="6" fillId="0" borderId="0" xfId="0" applyNumberFormat="1" applyFont="1" applyAlignment="1" applyProtection="1">
      <alignment horizontal="right" vertical="center"/>
      <protection locked="0"/>
    </xf>
    <xf numFmtId="0" fontId="50" fillId="2" borderId="30" xfId="0" applyFont="1" applyFill="1" applyBorder="1" applyAlignment="1" applyProtection="1">
      <alignment horizontal="left" vertical="center"/>
      <protection locked="0"/>
    </xf>
    <xf numFmtId="0" fontId="103" fillId="16" borderId="0" xfId="0" applyFont="1" applyFill="1" applyProtection="1">
      <protection locked="0"/>
    </xf>
    <xf numFmtId="0" fontId="20" fillId="0" borderId="27" xfId="0" applyFont="1" applyBorder="1" applyAlignment="1" applyProtection="1">
      <alignment horizontal="left" vertical="center"/>
      <protection locked="0"/>
    </xf>
    <xf numFmtId="164" fontId="20" fillId="0" borderId="27" xfId="0" applyNumberFormat="1" applyFont="1" applyBorder="1" applyAlignment="1" applyProtection="1">
      <alignment horizontal="left" vertical="center"/>
      <protection locked="0"/>
    </xf>
    <xf numFmtId="0" fontId="18" fillId="14" borderId="0" xfId="0" applyFont="1" applyFill="1" applyAlignment="1" applyProtection="1">
      <alignment vertical="center"/>
      <protection locked="0"/>
    </xf>
    <xf numFmtId="0" fontId="18" fillId="0" borderId="27" xfId="0" applyFont="1" applyBorder="1" applyAlignment="1" applyProtection="1">
      <alignment vertical="center"/>
      <protection locked="0"/>
    </xf>
    <xf numFmtId="0" fontId="68" fillId="15" borderId="50" xfId="0" applyFont="1" applyFill="1" applyBorder="1" applyAlignment="1" applyProtection="1">
      <alignment horizontal="left" vertical="center"/>
      <protection locked="0"/>
    </xf>
    <xf numFmtId="0" fontId="112" fillId="0" borderId="27" xfId="0" applyFont="1" applyBorder="1" applyAlignment="1" applyProtection="1">
      <alignment horizontal="left" vertical="center"/>
      <protection locked="0"/>
    </xf>
    <xf numFmtId="0" fontId="18" fillId="16" borderId="27" xfId="0" applyFont="1" applyFill="1" applyBorder="1" applyAlignment="1" applyProtection="1">
      <alignment vertical="center"/>
      <protection locked="0"/>
    </xf>
    <xf numFmtId="49" fontId="20" fillId="0" borderId="27" xfId="0" applyNumberFormat="1" applyFont="1" applyBorder="1" applyAlignment="1" applyProtection="1">
      <alignment vertical="center"/>
      <protection locked="0"/>
    </xf>
    <xf numFmtId="49" fontId="75" fillId="6" borderId="27" xfId="0" applyNumberFormat="1" applyFont="1" applyFill="1" applyBorder="1" applyAlignment="1" applyProtection="1">
      <alignment vertical="center"/>
      <protection locked="0"/>
    </xf>
    <xf numFmtId="49" fontId="75" fillId="0" borderId="27" xfId="0" applyNumberFormat="1" applyFont="1" applyBorder="1" applyAlignment="1" applyProtection="1">
      <alignment vertical="center"/>
      <protection locked="0"/>
    </xf>
    <xf numFmtId="164" fontId="20" fillId="0" borderId="27" xfId="0" applyNumberFormat="1" applyFont="1" applyBorder="1" applyAlignment="1" applyProtection="1">
      <alignment vertical="center"/>
      <protection locked="0"/>
    </xf>
    <xf numFmtId="0" fontId="52" fillId="2" borderId="50" xfId="6" applyFont="1" applyFill="1" applyBorder="1" applyAlignment="1" applyProtection="1">
      <alignment horizontal="left" vertical="center" wrapText="1"/>
      <protection locked="0"/>
    </xf>
    <xf numFmtId="0" fontId="75" fillId="16" borderId="27" xfId="0" applyFont="1" applyFill="1" applyBorder="1" applyAlignment="1" applyProtection="1">
      <alignment horizontal="left" vertical="center"/>
      <protection locked="0"/>
    </xf>
    <xf numFmtId="164" fontId="75" fillId="0" borderId="27" xfId="0" applyNumberFormat="1" applyFont="1" applyBorder="1" applyAlignment="1" applyProtection="1">
      <alignment horizontal="left" vertical="center"/>
      <protection locked="0"/>
    </xf>
    <xf numFmtId="0" fontId="20" fillId="17" borderId="27" xfId="0" applyFont="1" applyFill="1" applyBorder="1" applyAlignment="1" applyProtection="1">
      <alignment horizontal="left" vertical="center"/>
      <protection locked="0"/>
    </xf>
    <xf numFmtId="0" fontId="43" fillId="2" borderId="50" xfId="6" applyFont="1" applyFill="1" applyBorder="1" applyAlignment="1" applyProtection="1">
      <alignment horizontal="left" vertical="center" wrapText="1"/>
      <protection locked="0"/>
    </xf>
    <xf numFmtId="0" fontId="113" fillId="17" borderId="27" xfId="0" applyFont="1" applyFill="1" applyBorder="1" applyAlignment="1" applyProtection="1">
      <alignment horizontal="left" vertical="center"/>
      <protection locked="0"/>
    </xf>
    <xf numFmtId="164" fontId="5" fillId="4" borderId="41" xfId="5" applyNumberFormat="1" applyFont="1" applyFill="1" applyBorder="1" applyAlignment="1" applyProtection="1">
      <alignment horizontal="right" vertical="center" wrapText="1"/>
      <protection locked="0"/>
    </xf>
    <xf numFmtId="0" fontId="45" fillId="2" borderId="2" xfId="0" applyFont="1" applyFill="1" applyBorder="1" applyAlignment="1" applyProtection="1">
      <alignment horizontal="right" vertical="center"/>
      <protection locked="0"/>
    </xf>
    <xf numFmtId="0" fontId="49" fillId="2" borderId="41" xfId="0" applyFont="1" applyFill="1" applyBorder="1" applyAlignment="1" applyProtection="1">
      <alignment horizontal="right" vertical="center"/>
      <protection locked="0"/>
    </xf>
    <xf numFmtId="165" fontId="6" fillId="0" borderId="25" xfId="0" applyNumberFormat="1" applyFont="1" applyBorder="1" applyAlignment="1">
      <alignment horizontal="right" vertical="center"/>
    </xf>
    <xf numFmtId="3" fontId="6" fillId="0" borderId="42" xfId="0" applyNumberFormat="1" applyFont="1" applyBorder="1" applyAlignment="1" applyProtection="1">
      <alignment horizontal="right" vertical="center"/>
      <protection locked="0"/>
    </xf>
    <xf numFmtId="165" fontId="137" fillId="0" borderId="25" xfId="0" applyNumberFormat="1" applyFont="1" applyBorder="1" applyAlignment="1">
      <alignment horizontal="right" vertical="center"/>
    </xf>
    <xf numFmtId="3" fontId="137" fillId="0" borderId="42" xfId="0" applyNumberFormat="1" applyFont="1" applyBorder="1" applyAlignment="1" applyProtection="1">
      <alignment horizontal="right" vertical="center"/>
      <protection locked="0"/>
    </xf>
    <xf numFmtId="165" fontId="45" fillId="2" borderId="9" xfId="0" applyNumberFormat="1" applyFont="1" applyFill="1" applyBorder="1" applyAlignment="1">
      <alignment horizontal="right" vertical="center"/>
    </xf>
    <xf numFmtId="0" fontId="49" fillId="2" borderId="46" xfId="0" applyFont="1" applyFill="1" applyBorder="1" applyAlignment="1" applyProtection="1">
      <alignment horizontal="right" vertical="center"/>
      <protection locked="0"/>
    </xf>
    <xf numFmtId="165" fontId="21" fillId="0" borderId="25" xfId="0" applyNumberFormat="1" applyFont="1" applyBorder="1" applyAlignment="1">
      <alignment horizontal="right" vertical="center"/>
    </xf>
    <xf numFmtId="164" fontId="6" fillId="9" borderId="42" xfId="0" applyNumberFormat="1" applyFont="1" applyFill="1" applyBorder="1" applyAlignment="1">
      <alignment horizontal="right"/>
    </xf>
    <xf numFmtId="3" fontId="30" fillId="0" borderId="42" xfId="0" applyNumberFormat="1" applyFont="1" applyBorder="1" applyAlignment="1" applyProtection="1">
      <alignment horizontal="right" vertical="center"/>
      <protection locked="0"/>
    </xf>
    <xf numFmtId="3" fontId="6" fillId="5" borderId="42" xfId="0" applyNumberFormat="1" applyFont="1" applyFill="1" applyBorder="1" applyAlignment="1" applyProtection="1">
      <alignment horizontal="right" vertical="center"/>
      <protection locked="0"/>
    </xf>
    <xf numFmtId="165" fontId="40" fillId="0" borderId="25" xfId="0" applyNumberFormat="1" applyFont="1" applyBorder="1" applyAlignment="1">
      <alignment horizontal="right" vertical="center"/>
    </xf>
    <xf numFmtId="3" fontId="40" fillId="5" borderId="42" xfId="0" applyNumberFormat="1" applyFont="1" applyFill="1" applyBorder="1" applyAlignment="1" applyProtection="1">
      <alignment horizontal="right" vertical="center"/>
      <protection locked="0"/>
    </xf>
    <xf numFmtId="165" fontId="152" fillId="0" borderId="25" xfId="0" applyNumberFormat="1" applyFont="1" applyBorder="1" applyAlignment="1">
      <alignment horizontal="right" vertical="center"/>
    </xf>
    <xf numFmtId="3" fontId="152" fillId="5" borderId="42" xfId="0" applyNumberFormat="1" applyFont="1" applyFill="1" applyBorder="1" applyAlignment="1" applyProtection="1">
      <alignment horizontal="right" vertical="center"/>
      <protection locked="0"/>
    </xf>
    <xf numFmtId="165" fontId="40" fillId="5" borderId="42" xfId="0" applyNumberFormat="1" applyFont="1" applyFill="1" applyBorder="1" applyAlignment="1">
      <alignment horizontal="right" vertical="center"/>
    </xf>
    <xf numFmtId="3" fontId="40" fillId="0" borderId="42" xfId="0" applyNumberFormat="1" applyFont="1" applyBorder="1" applyAlignment="1" applyProtection="1">
      <alignment horizontal="right" vertical="center"/>
      <protection locked="0"/>
    </xf>
    <xf numFmtId="164" fontId="45" fillId="2" borderId="1" xfId="6" applyNumberFormat="1" applyFont="1" applyFill="1" applyBorder="1" applyAlignment="1">
      <alignment horizontal="right" vertical="center" wrapText="1"/>
    </xf>
    <xf numFmtId="0" fontId="43" fillId="2" borderId="44" xfId="6" applyFont="1" applyFill="1" applyBorder="1" applyAlignment="1" applyProtection="1">
      <alignment horizontal="right" vertical="center" wrapText="1"/>
      <protection locked="0"/>
    </xf>
    <xf numFmtId="165" fontId="6" fillId="0" borderId="25" xfId="0" applyNumberFormat="1" applyFont="1" applyBorder="1" applyAlignment="1">
      <alignment horizontal="right" vertical="center" wrapText="1"/>
    </xf>
    <xf numFmtId="0" fontId="6" fillId="0" borderId="42" xfId="0" applyFont="1" applyBorder="1" applyAlignment="1" applyProtection="1">
      <alignment horizontal="right" vertical="center" wrapText="1"/>
      <protection locked="0"/>
    </xf>
    <xf numFmtId="165" fontId="137" fillId="0" borderId="25" xfId="0" applyNumberFormat="1" applyFont="1" applyBorder="1" applyAlignment="1">
      <alignment horizontal="right" vertical="center" wrapText="1"/>
    </xf>
    <xf numFmtId="0" fontId="137" fillId="0" borderId="42" xfId="0" applyFont="1" applyBorder="1" applyAlignment="1" applyProtection="1">
      <alignment horizontal="right" vertical="center" wrapText="1"/>
      <protection locked="0"/>
    </xf>
    <xf numFmtId="0" fontId="45" fillId="2" borderId="1" xfId="0" applyFont="1" applyFill="1" applyBorder="1" applyAlignment="1">
      <alignment horizontal="right" vertical="center"/>
    </xf>
    <xf numFmtId="0" fontId="45" fillId="2" borderId="45" xfId="0" applyFont="1" applyFill="1" applyBorder="1" applyAlignment="1">
      <alignment horizontal="right" vertical="center"/>
    </xf>
    <xf numFmtId="3" fontId="16" fillId="5" borderId="42" xfId="0" applyNumberFormat="1" applyFont="1" applyFill="1" applyBorder="1" applyAlignment="1" applyProtection="1">
      <alignment horizontal="right" vertical="center"/>
      <protection locked="0"/>
    </xf>
    <xf numFmtId="3" fontId="69" fillId="5" borderId="42" xfId="0" applyNumberFormat="1" applyFont="1" applyFill="1" applyBorder="1" applyAlignment="1" applyProtection="1">
      <alignment horizontal="right" vertical="center"/>
      <protection locked="0"/>
    </xf>
    <xf numFmtId="3" fontId="13" fillId="5" borderId="42" xfId="0" applyNumberFormat="1" applyFont="1" applyFill="1" applyBorder="1" applyAlignment="1" applyProtection="1">
      <alignment horizontal="right" vertical="center"/>
      <protection locked="0"/>
    </xf>
    <xf numFmtId="0" fontId="6" fillId="5" borderId="42" xfId="0" applyFont="1" applyFill="1" applyBorder="1" applyAlignment="1" applyProtection="1">
      <alignment horizontal="right" vertical="center" wrapText="1"/>
      <protection locked="0"/>
    </xf>
    <xf numFmtId="165" fontId="30" fillId="0" borderId="25" xfId="0" applyNumberFormat="1" applyFont="1" applyBorder="1" applyAlignment="1">
      <alignment horizontal="right" vertical="center" wrapText="1"/>
    </xf>
    <xf numFmtId="165" fontId="6" fillId="0" borderId="25" xfId="0" applyNumberFormat="1" applyFont="1" applyBorder="1" applyAlignment="1">
      <alignment vertical="center" wrapText="1"/>
    </xf>
    <xf numFmtId="0" fontId="21" fillId="5" borderId="42" xfId="0" applyFont="1" applyFill="1" applyBorder="1" applyAlignment="1" applyProtection="1">
      <alignment horizontal="right" vertical="center" wrapText="1"/>
      <protection locked="0"/>
    </xf>
    <xf numFmtId="165" fontId="45" fillId="2" borderId="17" xfId="0" applyNumberFormat="1" applyFont="1" applyFill="1" applyBorder="1" applyAlignment="1">
      <alignment horizontal="right" vertical="center"/>
    </xf>
    <xf numFmtId="6" fontId="17" fillId="0" borderId="25" xfId="0" applyNumberFormat="1" applyFont="1" applyBorder="1" applyAlignment="1">
      <alignment horizontal="right" vertical="center"/>
    </xf>
    <xf numFmtId="6" fontId="137" fillId="0" borderId="25" xfId="0" applyNumberFormat="1" applyFont="1" applyBorder="1" applyAlignment="1">
      <alignment horizontal="right" vertical="center"/>
    </xf>
    <xf numFmtId="6" fontId="6" fillId="0" borderId="25" xfId="0" applyNumberFormat="1" applyFont="1" applyBorder="1" applyAlignment="1">
      <alignment horizontal="right" vertical="center"/>
    </xf>
    <xf numFmtId="3" fontId="156" fillId="0" borderId="42" xfId="0" applyNumberFormat="1" applyFont="1" applyBorder="1" applyAlignment="1" applyProtection="1">
      <alignment horizontal="right" vertical="center"/>
      <protection locked="0"/>
    </xf>
    <xf numFmtId="6" fontId="22" fillId="0" borderId="25" xfId="0" applyNumberFormat="1" applyFont="1" applyBorder="1" applyAlignment="1">
      <alignment horizontal="right" vertical="center"/>
    </xf>
    <xf numFmtId="6" fontId="40" fillId="0" borderId="25" xfId="0" applyNumberFormat="1" applyFont="1" applyBorder="1" applyAlignment="1">
      <alignment horizontal="right" vertical="center"/>
    </xf>
    <xf numFmtId="164" fontId="55" fillId="2" borderId="25" xfId="6" applyNumberFormat="1" applyFont="1" applyFill="1" applyBorder="1" applyAlignment="1">
      <alignment horizontal="right" vertical="center" wrapText="1"/>
    </xf>
    <xf numFmtId="0" fontId="109" fillId="0" borderId="42" xfId="0" applyFont="1" applyBorder="1" applyAlignment="1" applyProtection="1">
      <alignment horizontal="right" vertical="center" wrapText="1"/>
      <protection locked="0"/>
    </xf>
    <xf numFmtId="165" fontId="109" fillId="0" borderId="25" xfId="0" applyNumberFormat="1" applyFont="1" applyBorder="1" applyAlignment="1">
      <alignment horizontal="right" vertical="center" wrapText="1"/>
    </xf>
    <xf numFmtId="0" fontId="45" fillId="2" borderId="25" xfId="0" applyFont="1" applyFill="1" applyBorder="1" applyAlignment="1">
      <alignment horizontal="right" vertical="center"/>
    </xf>
    <xf numFmtId="0" fontId="49" fillId="2" borderId="42" xfId="0" applyFont="1" applyFill="1" applyBorder="1" applyAlignment="1" applyProtection="1">
      <alignment horizontal="right" vertical="center"/>
      <protection locked="0"/>
    </xf>
    <xf numFmtId="165" fontId="21" fillId="0" borderId="42" xfId="0" applyNumberFormat="1" applyFont="1" applyBorder="1" applyAlignment="1" applyProtection="1">
      <alignment horizontal="right" vertical="center"/>
      <protection locked="0"/>
    </xf>
    <xf numFmtId="165" fontId="22" fillId="0" borderId="25" xfId="0" applyNumberFormat="1" applyFont="1" applyBorder="1" applyAlignment="1">
      <alignment horizontal="right" vertical="center"/>
    </xf>
    <xf numFmtId="0" fontId="35" fillId="2" borderId="45" xfId="0" applyFont="1" applyFill="1" applyBorder="1" applyAlignment="1">
      <alignment horizontal="right" vertical="center"/>
    </xf>
    <xf numFmtId="0" fontId="36" fillId="2" borderId="46" xfId="0" applyFont="1" applyFill="1" applyBorder="1" applyAlignment="1" applyProtection="1">
      <alignment horizontal="right" vertical="center"/>
      <protection locked="0"/>
    </xf>
    <xf numFmtId="165" fontId="137" fillId="0" borderId="42" xfId="0" applyNumberFormat="1" applyFont="1" applyBorder="1" applyAlignment="1" applyProtection="1">
      <alignment horizontal="right" vertical="center"/>
      <protection locked="0"/>
    </xf>
    <xf numFmtId="165" fontId="22" fillId="0" borderId="42" xfId="0" applyNumberFormat="1" applyFont="1" applyBorder="1" applyAlignment="1" applyProtection="1">
      <alignment horizontal="right" vertical="center"/>
      <protection locked="0"/>
    </xf>
    <xf numFmtId="165" fontId="98" fillId="5" borderId="42" xfId="0" applyNumberFormat="1" applyFont="1" applyFill="1" applyBorder="1" applyAlignment="1" applyProtection="1">
      <alignment horizontal="right" vertical="center"/>
      <protection locked="0"/>
    </xf>
    <xf numFmtId="165" fontId="6" fillId="0" borderId="42" xfId="0" applyNumberFormat="1" applyFont="1" applyBorder="1" applyAlignment="1" applyProtection="1">
      <alignment horizontal="right" vertical="center"/>
      <protection locked="0"/>
    </xf>
    <xf numFmtId="165" fontId="63" fillId="0" borderId="25" xfId="0" applyNumberFormat="1" applyFont="1" applyBorder="1" applyAlignment="1">
      <alignment horizontal="right" vertical="center"/>
    </xf>
    <xf numFmtId="165" fontId="6" fillId="5" borderId="42" xfId="0" applyNumberFormat="1" applyFont="1" applyFill="1" applyBorder="1" applyAlignment="1" applyProtection="1">
      <alignment horizontal="right" vertical="center"/>
      <protection locked="0"/>
    </xf>
    <xf numFmtId="165" fontId="6" fillId="9" borderId="42" xfId="0" applyNumberFormat="1" applyFont="1" applyFill="1" applyBorder="1" applyAlignment="1" applyProtection="1">
      <alignment horizontal="right" vertical="center"/>
      <protection locked="0"/>
    </xf>
    <xf numFmtId="165" fontId="166" fillId="0" borderId="25" xfId="0" applyNumberFormat="1" applyFont="1" applyBorder="1" applyAlignment="1">
      <alignment horizontal="right" vertical="center"/>
    </xf>
    <xf numFmtId="3" fontId="166" fillId="5" borderId="42" xfId="0" applyNumberFormat="1" applyFont="1" applyFill="1" applyBorder="1" applyAlignment="1" applyProtection="1">
      <alignment horizontal="right" vertical="center"/>
      <protection locked="0"/>
    </xf>
    <xf numFmtId="165" fontId="60" fillId="0" borderId="25" xfId="0" applyNumberFormat="1" applyFont="1" applyBorder="1" applyAlignment="1">
      <alignment horizontal="right" vertical="center"/>
    </xf>
    <xf numFmtId="3" fontId="25" fillId="5" borderId="42" xfId="0" applyNumberFormat="1" applyFont="1" applyFill="1" applyBorder="1" applyAlignment="1" applyProtection="1">
      <alignment horizontal="right" vertical="center"/>
      <protection locked="0"/>
    </xf>
    <xf numFmtId="0" fontId="45" fillId="2" borderId="9" xfId="0" applyFont="1" applyFill="1" applyBorder="1" applyAlignment="1">
      <alignment horizontal="right" vertical="center"/>
    </xf>
    <xf numFmtId="0" fontId="49" fillId="2" borderId="43" xfId="0" applyFont="1" applyFill="1" applyBorder="1" applyAlignment="1" applyProtection="1">
      <alignment horizontal="right" vertical="center"/>
      <protection locked="0"/>
    </xf>
    <xf numFmtId="165" fontId="6" fillId="0" borderId="42" xfId="0" applyNumberFormat="1" applyFont="1" applyBorder="1" applyAlignment="1">
      <alignment horizontal="right" vertical="center"/>
    </xf>
    <xf numFmtId="3" fontId="41" fillId="0" borderId="42" xfId="0" applyNumberFormat="1" applyFont="1" applyBorder="1" applyAlignment="1" applyProtection="1">
      <alignment horizontal="right" vertical="center"/>
      <protection locked="0"/>
    </xf>
    <xf numFmtId="165" fontId="6" fillId="5" borderId="25" xfId="0" applyNumberFormat="1" applyFont="1" applyFill="1" applyBorder="1" applyAlignment="1">
      <alignment horizontal="right" vertical="center"/>
    </xf>
    <xf numFmtId="165" fontId="41" fillId="14" borderId="25" xfId="0" applyNumberFormat="1" applyFont="1" applyFill="1" applyBorder="1" applyAlignment="1">
      <alignment horizontal="right" vertical="center"/>
    </xf>
    <xf numFmtId="0" fontId="67" fillId="15" borderId="9" xfId="0" applyFont="1" applyFill="1" applyBorder="1" applyAlignment="1">
      <alignment horizontal="right" vertical="center"/>
    </xf>
    <xf numFmtId="0" fontId="51" fillId="15" borderId="43" xfId="0" applyFont="1" applyFill="1" applyBorder="1" applyAlignment="1" applyProtection="1">
      <alignment horizontal="right" vertical="center"/>
      <protection locked="0"/>
    </xf>
    <xf numFmtId="0" fontId="6" fillId="0" borderId="42" xfId="0" applyFont="1" applyBorder="1" applyAlignment="1" applyProtection="1">
      <alignment horizontal="right" vertical="center"/>
      <protection locked="0"/>
    </xf>
    <xf numFmtId="165" fontId="73" fillId="6" borderId="25" xfId="0" applyNumberFormat="1" applyFont="1" applyFill="1" applyBorder="1" applyAlignment="1">
      <alignment horizontal="right" vertical="center"/>
    </xf>
    <xf numFmtId="0" fontId="6" fillId="5" borderId="42" xfId="0" applyFont="1" applyFill="1" applyBorder="1" applyAlignment="1" applyProtection="1">
      <alignment horizontal="right" vertical="center"/>
      <protection locked="0"/>
    </xf>
    <xf numFmtId="165" fontId="73" fillId="5" borderId="25" xfId="0" applyNumberFormat="1" applyFont="1" applyFill="1" applyBorder="1" applyAlignment="1">
      <alignment horizontal="right" vertical="center"/>
    </xf>
    <xf numFmtId="49" fontId="6" fillId="5" borderId="42" xfId="0" applyNumberFormat="1" applyFont="1" applyFill="1" applyBorder="1" applyAlignment="1" applyProtection="1">
      <alignment horizontal="right" vertical="center"/>
      <protection locked="0"/>
    </xf>
    <xf numFmtId="0" fontId="22" fillId="5" borderId="42" xfId="0" applyFont="1" applyFill="1" applyBorder="1" applyAlignment="1" applyProtection="1">
      <alignment horizontal="right" vertical="center" wrapText="1"/>
      <protection locked="0"/>
    </xf>
    <xf numFmtId="165" fontId="22" fillId="0" borderId="25" xfId="0" applyNumberFormat="1" applyFont="1" applyBorder="1" applyAlignment="1">
      <alignment horizontal="right" vertical="center" wrapText="1"/>
    </xf>
    <xf numFmtId="0" fontId="99" fillId="15" borderId="16" xfId="0" applyFont="1" applyFill="1" applyBorder="1" applyProtection="1">
      <protection locked="0"/>
    </xf>
    <xf numFmtId="0" fontId="99" fillId="15" borderId="15" xfId="0" applyFont="1" applyFill="1" applyBorder="1" applyProtection="1">
      <protection locked="0"/>
    </xf>
    <xf numFmtId="0" fontId="6" fillId="15" borderId="48" xfId="0" applyFont="1" applyFill="1" applyBorder="1" applyAlignment="1" applyProtection="1">
      <alignment horizontal="right"/>
      <protection locked="0"/>
    </xf>
    <xf numFmtId="165" fontId="6" fillId="0" borderId="8" xfId="0" applyNumberFormat="1" applyFont="1" applyBorder="1" applyAlignment="1">
      <alignment horizontal="right" vertical="center"/>
    </xf>
    <xf numFmtId="165" fontId="6" fillId="0" borderId="33" xfId="0" applyNumberFormat="1" applyFont="1" applyBorder="1" applyAlignment="1">
      <alignment horizontal="right" vertical="center"/>
    </xf>
    <xf numFmtId="165" fontId="40" fillId="0" borderId="8" xfId="0" applyNumberFormat="1" applyFont="1" applyBorder="1" applyAlignment="1" applyProtection="1">
      <alignment horizontal="center" vertical="center"/>
      <protection locked="0"/>
    </xf>
    <xf numFmtId="6" fontId="40" fillId="0" borderId="25" xfId="0" applyNumberFormat="1" applyFont="1" applyBorder="1" applyAlignment="1">
      <alignment horizontal="center" vertical="center"/>
    </xf>
    <xf numFmtId="0" fontId="112" fillId="0" borderId="0" xfId="5" applyFont="1" applyAlignment="1" applyProtection="1">
      <alignment horizontal="left" vertical="center" wrapText="1"/>
      <protection locked="0"/>
    </xf>
    <xf numFmtId="49" fontId="6" fillId="0" borderId="33" xfId="0" applyNumberFormat="1" applyFont="1" applyBorder="1" applyAlignment="1" applyProtection="1">
      <alignment vertical="top" wrapText="1"/>
      <protection locked="0"/>
    </xf>
    <xf numFmtId="165" fontId="171" fillId="24" borderId="42" xfId="0" applyNumberFormat="1" applyFont="1" applyFill="1" applyBorder="1" applyAlignment="1">
      <alignment horizontal="center" vertical="center"/>
    </xf>
    <xf numFmtId="165" fontId="90" fillId="5" borderId="42" xfId="0" applyNumberFormat="1" applyFont="1" applyFill="1" applyBorder="1" applyAlignment="1">
      <alignment horizontal="center" vertical="center"/>
    </xf>
    <xf numFmtId="165" fontId="172" fillId="5" borderId="42" xfId="0" applyNumberFormat="1" applyFont="1" applyFill="1" applyBorder="1" applyAlignment="1">
      <alignment horizontal="center" vertical="center"/>
    </xf>
    <xf numFmtId="165" fontId="173" fillId="11" borderId="42" xfId="0" applyNumberFormat="1" applyFont="1" applyFill="1" applyBorder="1" applyAlignment="1">
      <alignment horizontal="center" vertical="center"/>
    </xf>
    <xf numFmtId="165" fontId="173" fillId="25" borderId="42" xfId="0" applyNumberFormat="1" applyFont="1" applyFill="1" applyBorder="1" applyAlignment="1">
      <alignment horizontal="center" vertical="center"/>
    </xf>
    <xf numFmtId="165" fontId="174" fillId="24" borderId="42" xfId="0" applyNumberFormat="1" applyFont="1" applyFill="1" applyBorder="1" applyAlignment="1">
      <alignment horizontal="center" vertical="center"/>
    </xf>
    <xf numFmtId="165" fontId="174" fillId="5" borderId="42" xfId="0" applyNumberFormat="1" applyFont="1" applyFill="1" applyBorder="1" applyAlignment="1">
      <alignment horizontal="center" vertical="center"/>
    </xf>
    <xf numFmtId="165" fontId="175" fillId="0" borderId="42" xfId="0" applyNumberFormat="1" applyFont="1" applyBorder="1" applyAlignment="1">
      <alignment horizontal="center" vertical="center"/>
    </xf>
    <xf numFmtId="165" fontId="176" fillId="24" borderId="42" xfId="0" applyNumberFormat="1" applyFont="1" applyFill="1" applyBorder="1" applyAlignment="1">
      <alignment horizontal="center" vertical="center"/>
    </xf>
    <xf numFmtId="165" fontId="175" fillId="5" borderId="42" xfId="0" applyNumberFormat="1" applyFont="1" applyFill="1" applyBorder="1" applyAlignment="1">
      <alignment horizontal="center" vertical="center"/>
    </xf>
    <xf numFmtId="165" fontId="177" fillId="24" borderId="42" xfId="0" applyNumberFormat="1" applyFont="1" applyFill="1" applyBorder="1" applyAlignment="1">
      <alignment horizontal="center" vertical="center"/>
    </xf>
    <xf numFmtId="165" fontId="177" fillId="5" borderId="42" xfId="0" applyNumberFormat="1" applyFont="1" applyFill="1" applyBorder="1" applyAlignment="1">
      <alignment horizontal="center" vertical="center"/>
    </xf>
    <xf numFmtId="165" fontId="143" fillId="0" borderId="42" xfId="0" applyNumberFormat="1" applyFont="1" applyBorder="1" applyAlignment="1">
      <alignment horizontal="center" vertical="center"/>
    </xf>
    <xf numFmtId="165" fontId="178" fillId="24" borderId="42" xfId="0" applyNumberFormat="1" applyFont="1" applyFill="1" applyBorder="1" applyAlignment="1">
      <alignment horizontal="center" vertical="center"/>
    </xf>
    <xf numFmtId="165" fontId="179" fillId="5" borderId="42" xfId="0" applyNumberFormat="1" applyFont="1" applyFill="1" applyBorder="1" applyAlignment="1">
      <alignment horizontal="center" vertical="center"/>
    </xf>
    <xf numFmtId="165" fontId="181" fillId="24" borderId="25" xfId="0" applyNumberFormat="1" applyFont="1" applyFill="1" applyBorder="1" applyAlignment="1">
      <alignment horizontal="center" vertical="center"/>
    </xf>
    <xf numFmtId="165" fontId="182" fillId="0" borderId="25" xfId="0" applyNumberFormat="1" applyFont="1" applyBorder="1" applyAlignment="1">
      <alignment horizontal="right" vertical="center"/>
    </xf>
    <xf numFmtId="165" fontId="182" fillId="0" borderId="28" xfId="0" applyNumberFormat="1" applyFont="1" applyBorder="1" applyAlignment="1">
      <alignment horizontal="right" vertical="center"/>
    </xf>
    <xf numFmtId="3" fontId="182" fillId="0" borderId="42" xfId="0" applyNumberFormat="1" applyFont="1" applyBorder="1" applyAlignment="1" applyProtection="1">
      <alignment horizontal="right" vertical="center"/>
      <protection locked="0"/>
    </xf>
    <xf numFmtId="0" fontId="183" fillId="17" borderId="0" xfId="0" applyFont="1" applyFill="1" applyAlignment="1" applyProtection="1">
      <alignment vertical="center" wrapText="1"/>
      <protection locked="0"/>
    </xf>
    <xf numFmtId="165" fontId="173" fillId="0" borderId="42" xfId="0" applyNumberFormat="1" applyFont="1" applyBorder="1" applyAlignment="1">
      <alignment horizontal="center" vertical="center"/>
    </xf>
    <xf numFmtId="49" fontId="184" fillId="0" borderId="25" xfId="0" applyNumberFormat="1" applyFont="1" applyBorder="1" applyAlignment="1" applyProtection="1">
      <alignment vertical="center"/>
      <protection locked="0"/>
    </xf>
    <xf numFmtId="49" fontId="184" fillId="0" borderId="26" xfId="0" applyNumberFormat="1" applyFont="1" applyBorder="1" applyAlignment="1" applyProtection="1">
      <alignment vertical="center"/>
      <protection locked="0"/>
    </xf>
    <xf numFmtId="3" fontId="187" fillId="0" borderId="27" xfId="0" applyNumberFormat="1" applyFont="1" applyBorder="1" applyAlignment="1" applyProtection="1">
      <alignment horizontal="center" vertical="center"/>
      <protection locked="0"/>
    </xf>
    <xf numFmtId="1" fontId="187" fillId="0" borderId="0" xfId="0" applyNumberFormat="1" applyFont="1" applyAlignment="1" applyProtection="1">
      <alignment horizontal="center" vertical="center"/>
      <protection locked="0"/>
    </xf>
    <xf numFmtId="165" fontId="188" fillId="0" borderId="42" xfId="0" applyNumberFormat="1" applyFont="1" applyBorder="1" applyAlignment="1">
      <alignment horizontal="center" vertical="center"/>
    </xf>
    <xf numFmtId="165" fontId="184" fillId="0" borderId="25" xfId="0" applyNumberFormat="1" applyFont="1" applyBorder="1" applyAlignment="1">
      <alignment horizontal="right" vertical="center"/>
    </xf>
    <xf numFmtId="165" fontId="184" fillId="0" borderId="28" xfId="0" applyNumberFormat="1" applyFont="1" applyBorder="1" applyAlignment="1">
      <alignment horizontal="right" vertical="center"/>
    </xf>
    <xf numFmtId="3" fontId="184" fillId="0" borderId="42" xfId="0" applyNumberFormat="1" applyFont="1" applyBorder="1" applyAlignment="1" applyProtection="1">
      <alignment horizontal="right" vertical="center"/>
      <protection locked="0"/>
    </xf>
    <xf numFmtId="49" fontId="137" fillId="0" borderId="20" xfId="0" applyNumberFormat="1" applyFont="1" applyBorder="1" applyAlignment="1" applyProtection="1">
      <alignment vertical="center" wrapText="1"/>
      <protection locked="0"/>
    </xf>
    <xf numFmtId="49" fontId="137" fillId="0" borderId="21" xfId="0" applyNumberFormat="1" applyFont="1" applyBorder="1" applyAlignment="1" applyProtection="1">
      <alignment vertical="center" wrapText="1"/>
      <protection locked="0"/>
    </xf>
    <xf numFmtId="3" fontId="137" fillId="0" borderId="27" xfId="0" applyNumberFormat="1" applyFont="1" applyBorder="1" applyAlignment="1" applyProtection="1">
      <alignment horizontal="center" vertical="center" wrapText="1"/>
      <protection locked="0"/>
    </xf>
    <xf numFmtId="165" fontId="143" fillId="5" borderId="42" xfId="0" applyNumberFormat="1" applyFont="1" applyFill="1" applyBorder="1" applyAlignment="1">
      <alignment horizontal="center" vertical="center" wrapText="1"/>
    </xf>
    <xf numFmtId="165" fontId="137" fillId="5" borderId="28" xfId="0" applyNumberFormat="1" applyFont="1" applyFill="1" applyBorder="1" applyAlignment="1">
      <alignment horizontal="right" vertical="center" wrapText="1"/>
    </xf>
    <xf numFmtId="3" fontId="137" fillId="5" borderId="42" xfId="0" applyNumberFormat="1" applyFont="1" applyFill="1" applyBorder="1" applyAlignment="1" applyProtection="1">
      <alignment horizontal="right"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45" fillId="0" borderId="28" xfId="0" applyFont="1" applyBorder="1" applyAlignment="1" applyProtection="1">
      <alignment vertical="center" wrapText="1"/>
      <protection locked="0"/>
    </xf>
    <xf numFmtId="0" fontId="163" fillId="24" borderId="34" xfId="0" applyFont="1" applyFill="1" applyBorder="1" applyAlignment="1" applyProtection="1">
      <alignment horizontal="center" wrapText="1"/>
      <protection locked="0"/>
    </xf>
    <xf numFmtId="0" fontId="115" fillId="0" borderId="0" xfId="0" applyFont="1" applyAlignment="1" applyProtection="1">
      <alignment wrapText="1"/>
      <protection locked="0"/>
    </xf>
    <xf numFmtId="0" fontId="13" fillId="0" borderId="0" xfId="0" applyFont="1" applyAlignment="1" applyProtection="1">
      <alignment wrapText="1"/>
      <protection locked="0"/>
    </xf>
    <xf numFmtId="165" fontId="40" fillId="6" borderId="25" xfId="0" applyNumberFormat="1" applyFont="1" applyFill="1" applyBorder="1" applyAlignment="1">
      <alignment horizontal="right" vertical="center"/>
    </xf>
    <xf numFmtId="165" fontId="40" fillId="6" borderId="28" xfId="0" applyNumberFormat="1" applyFont="1" applyFill="1" applyBorder="1" applyAlignment="1">
      <alignment horizontal="right" vertical="center"/>
    </xf>
    <xf numFmtId="0" fontId="165" fillId="0" borderId="0" xfId="0" applyFont="1" applyProtection="1">
      <protection locked="0"/>
    </xf>
    <xf numFmtId="0" fontId="189" fillId="23" borderId="34" xfId="0" applyFont="1" applyFill="1" applyBorder="1" applyAlignment="1" applyProtection="1">
      <alignment horizontal="center"/>
      <protection locked="0"/>
    </xf>
    <xf numFmtId="165" fontId="147" fillId="22" borderId="25" xfId="0" applyNumberFormat="1" applyFont="1" applyFill="1" applyBorder="1" applyAlignment="1">
      <alignment horizontal="center" vertical="center" wrapText="1"/>
    </xf>
    <xf numFmtId="0" fontId="122" fillId="0" borderId="34" xfId="0" applyFont="1" applyBorder="1" applyAlignment="1" applyProtection="1">
      <alignment horizontal="center"/>
      <protection locked="0"/>
    </xf>
    <xf numFmtId="0" fontId="123" fillId="0" borderId="34" xfId="0" applyFont="1" applyBorder="1" applyAlignment="1" applyProtection="1">
      <alignment horizontal="center" vertical="center"/>
      <protection locked="0"/>
    </xf>
    <xf numFmtId="0" fontId="123" fillId="0" borderId="34" xfId="0" applyFont="1" applyBorder="1" applyAlignment="1" applyProtection="1">
      <alignment horizontal="center"/>
      <protection locked="0"/>
    </xf>
    <xf numFmtId="0" fontId="0" fillId="5" borderId="0" xfId="0" applyFill="1"/>
    <xf numFmtId="165" fontId="40" fillId="5" borderId="37" xfId="0" applyNumberFormat="1" applyFont="1" applyFill="1" applyBorder="1" applyAlignment="1" applyProtection="1">
      <alignment horizontal="center" vertical="center"/>
      <protection locked="0"/>
    </xf>
    <xf numFmtId="165" fontId="30" fillId="0" borderId="25" xfId="0" applyNumberFormat="1" applyFont="1" applyBorder="1" applyAlignment="1">
      <alignment horizontal="center" vertical="center"/>
    </xf>
    <xf numFmtId="165" fontId="30" fillId="0" borderId="25" xfId="0" applyNumberFormat="1" applyFont="1" applyBorder="1" applyAlignment="1">
      <alignment horizontal="right" vertical="center"/>
    </xf>
    <xf numFmtId="165" fontId="6" fillId="22" borderId="25" xfId="0" applyNumberFormat="1" applyFont="1" applyFill="1" applyBorder="1" applyAlignment="1">
      <alignment horizontal="center" vertical="center" wrapText="1"/>
    </xf>
    <xf numFmtId="165" fontId="6" fillId="4" borderId="42" xfId="0" applyNumberFormat="1" applyFont="1" applyFill="1" applyBorder="1" applyAlignment="1">
      <alignment horizontal="center" vertical="center" wrapText="1"/>
    </xf>
    <xf numFmtId="165" fontId="137" fillId="4" borderId="42" xfId="0" applyNumberFormat="1" applyFont="1" applyFill="1" applyBorder="1" applyAlignment="1">
      <alignment horizontal="center" vertical="center" wrapText="1"/>
    </xf>
    <xf numFmtId="165" fontId="6" fillId="4" borderId="37" xfId="0" applyNumberFormat="1" applyFont="1" applyFill="1" applyBorder="1" applyAlignment="1">
      <alignment horizontal="center" vertical="center" wrapText="1"/>
    </xf>
    <xf numFmtId="165" fontId="31" fillId="5" borderId="42" xfId="0" applyNumberFormat="1" applyFont="1" applyFill="1" applyBorder="1" applyAlignment="1">
      <alignment horizontal="center" vertical="center"/>
    </xf>
    <xf numFmtId="165" fontId="30" fillId="0" borderId="28" xfId="0" applyNumberFormat="1" applyFont="1" applyBorder="1" applyAlignment="1">
      <alignment horizontal="right" vertical="center"/>
    </xf>
    <xf numFmtId="6" fontId="17" fillId="5" borderId="25" xfId="0" applyNumberFormat="1" applyFont="1" applyFill="1" applyBorder="1" applyAlignment="1">
      <alignment horizontal="center" vertical="center"/>
    </xf>
    <xf numFmtId="165" fontId="6" fillId="24" borderId="25" xfId="0" applyNumberFormat="1" applyFont="1" applyFill="1" applyBorder="1" applyAlignment="1">
      <alignment horizontal="center" vertical="center" wrapText="1"/>
    </xf>
    <xf numFmtId="165" fontId="164" fillId="5" borderId="25" xfId="0" applyNumberFormat="1" applyFont="1" applyFill="1" applyBorder="1" applyAlignment="1">
      <alignment horizontal="center" vertical="center"/>
    </xf>
    <xf numFmtId="165" fontId="143" fillId="5" borderId="42" xfId="0" applyNumberFormat="1" applyFont="1" applyFill="1" applyBorder="1" applyAlignment="1">
      <alignment horizontal="center" vertical="center"/>
    </xf>
    <xf numFmtId="49" fontId="137" fillId="17" borderId="25" xfId="0" applyNumberFormat="1" applyFont="1" applyFill="1" applyBorder="1" applyAlignment="1" applyProtection="1">
      <alignment vertical="center"/>
      <protection locked="0"/>
    </xf>
    <xf numFmtId="165" fontId="138" fillId="24" borderId="25" xfId="0" applyNumberFormat="1" applyFont="1" applyFill="1" applyBorder="1" applyAlignment="1">
      <alignment horizontal="center" vertical="center"/>
    </xf>
    <xf numFmtId="165" fontId="138" fillId="24" borderId="42" xfId="0" applyNumberFormat="1" applyFont="1" applyFill="1" applyBorder="1" applyAlignment="1">
      <alignment horizontal="center" vertical="center"/>
    </xf>
    <xf numFmtId="165" fontId="98" fillId="5" borderId="25" xfId="0" applyNumberFormat="1" applyFont="1" applyFill="1" applyBorder="1" applyAlignment="1">
      <alignment horizontal="right" vertical="center"/>
    </xf>
    <xf numFmtId="0" fontId="38" fillId="5" borderId="0" xfId="0" applyFont="1" applyFill="1" applyProtection="1">
      <protection locked="0"/>
    </xf>
    <xf numFmtId="164" fontId="18" fillId="0" borderId="0" xfId="0" applyNumberFormat="1" applyFont="1" applyAlignment="1" applyProtection="1">
      <alignment horizontal="left" vertical="center"/>
      <protection locked="0"/>
    </xf>
    <xf numFmtId="0" fontId="20" fillId="17" borderId="27" xfId="0" applyFont="1" applyFill="1" applyBorder="1" applyAlignment="1" applyProtection="1">
      <alignment vertical="center"/>
      <protection locked="0"/>
    </xf>
    <xf numFmtId="49" fontId="137" fillId="0" borderId="25" xfId="0" applyNumberFormat="1" applyFont="1" applyBorder="1" applyProtection="1">
      <protection locked="0"/>
    </xf>
    <xf numFmtId="3" fontId="137" fillId="0" borderId="27" xfId="0" applyNumberFormat="1" applyFont="1" applyBorder="1" applyAlignment="1" applyProtection="1">
      <alignment horizontal="center"/>
      <protection locked="0"/>
    </xf>
    <xf numFmtId="1" fontId="137" fillId="0" borderId="0" xfId="0" applyNumberFormat="1" applyFont="1" applyAlignment="1" applyProtection="1">
      <alignment horizontal="center"/>
      <protection locked="0"/>
    </xf>
    <xf numFmtId="0" fontId="137" fillId="0" borderId="42" xfId="0" applyFont="1" applyBorder="1" applyAlignment="1" applyProtection="1">
      <alignment horizontal="right" vertical="center"/>
      <protection locked="0"/>
    </xf>
    <xf numFmtId="49" fontId="40" fillId="17" borderId="25" xfId="0" applyNumberFormat="1" applyFont="1" applyFill="1" applyBorder="1" applyProtection="1">
      <protection locked="0"/>
    </xf>
    <xf numFmtId="49" fontId="18" fillId="0" borderId="27" xfId="0" applyNumberFormat="1" applyFont="1" applyBorder="1" applyAlignment="1" applyProtection="1">
      <alignment vertical="center"/>
      <protection locked="0"/>
    </xf>
    <xf numFmtId="165" fontId="6" fillId="22" borderId="42" xfId="0" applyNumberFormat="1" applyFont="1" applyFill="1" applyBorder="1" applyAlignment="1">
      <alignment horizontal="center" vertical="center" wrapText="1"/>
    </xf>
    <xf numFmtId="0" fontId="22" fillId="17" borderId="25" xfId="0" applyFont="1" applyFill="1" applyBorder="1" applyAlignment="1" applyProtection="1">
      <alignment horizontal="left" vertical="center"/>
      <protection locked="0"/>
    </xf>
    <xf numFmtId="165" fontId="22" fillId="0" borderId="25" xfId="0" applyNumberFormat="1" applyFont="1" applyBorder="1" applyAlignment="1">
      <alignment horizontal="center" vertical="center"/>
    </xf>
    <xf numFmtId="49" fontId="195" fillId="0" borderId="25" xfId="0" applyNumberFormat="1" applyFont="1" applyBorder="1" applyAlignment="1" applyProtection="1">
      <alignment vertical="center"/>
      <protection locked="0"/>
    </xf>
    <xf numFmtId="49" fontId="195" fillId="0" borderId="26" xfId="0" applyNumberFormat="1" applyFont="1" applyBorder="1" applyAlignment="1" applyProtection="1">
      <alignment vertical="center"/>
      <protection locked="0"/>
    </xf>
    <xf numFmtId="3" fontId="196" fillId="0" borderId="27" xfId="0" applyNumberFormat="1" applyFont="1" applyBorder="1" applyAlignment="1" applyProtection="1">
      <alignment horizontal="center" vertical="center"/>
      <protection locked="0"/>
    </xf>
    <xf numFmtId="1" fontId="196" fillId="0" borderId="0" xfId="0" applyNumberFormat="1" applyFont="1" applyAlignment="1" applyProtection="1">
      <alignment horizontal="center" vertical="center"/>
      <protection locked="0"/>
    </xf>
    <xf numFmtId="165" fontId="196" fillId="24" borderId="25" xfId="0" applyNumberFormat="1" applyFont="1" applyFill="1" applyBorder="1" applyAlignment="1">
      <alignment horizontal="center" vertical="center"/>
    </xf>
    <xf numFmtId="165" fontId="196" fillId="24" borderId="42" xfId="0" applyNumberFormat="1" applyFont="1" applyFill="1" applyBorder="1" applyAlignment="1">
      <alignment horizontal="center" vertical="center"/>
    </xf>
    <xf numFmtId="165" fontId="195" fillId="0" borderId="25" xfId="0" applyNumberFormat="1" applyFont="1" applyBorder="1" applyAlignment="1">
      <alignment horizontal="right" vertical="center"/>
    </xf>
    <xf numFmtId="49" fontId="6" fillId="0" borderId="23" xfId="0" applyNumberFormat="1" applyFont="1" applyBorder="1" applyAlignment="1" applyProtection="1">
      <alignment vertical="center"/>
      <protection locked="0"/>
    </xf>
    <xf numFmtId="165" fontId="31" fillId="6" borderId="25" xfId="0" applyNumberFormat="1" applyFont="1" applyFill="1" applyBorder="1" applyAlignment="1">
      <alignment horizontal="center" vertical="center"/>
    </xf>
    <xf numFmtId="165" fontId="31" fillId="6" borderId="42" xfId="0" applyNumberFormat="1" applyFont="1" applyFill="1" applyBorder="1" applyAlignment="1">
      <alignment horizontal="center" vertical="center"/>
    </xf>
    <xf numFmtId="49" fontId="6" fillId="0" borderId="42" xfId="0" applyNumberFormat="1" applyFont="1" applyBorder="1" applyAlignment="1" applyProtection="1">
      <alignment horizontal="right" vertical="center"/>
      <protection locked="0"/>
    </xf>
    <xf numFmtId="0" fontId="58" fillId="21" borderId="2" xfId="0" applyFont="1" applyFill="1" applyBorder="1" applyAlignment="1" applyProtection="1">
      <alignment horizontal="left" vertical="center" wrapText="1"/>
      <protection locked="0"/>
    </xf>
    <xf numFmtId="0" fontId="58" fillId="21" borderId="31" xfId="0" applyFont="1" applyFill="1" applyBorder="1" applyAlignment="1" applyProtection="1">
      <alignment horizontal="left" vertical="center" wrapText="1"/>
      <protection locked="0"/>
    </xf>
    <xf numFmtId="0" fontId="9" fillId="10" borderId="17" xfId="0" applyFont="1" applyFill="1" applyBorder="1" applyAlignment="1" applyProtection="1">
      <alignment horizontal="center" vertical="center" wrapText="1"/>
      <protection locked="0"/>
    </xf>
    <xf numFmtId="0" fontId="9" fillId="10" borderId="18" xfId="0" applyFont="1" applyFill="1" applyBorder="1" applyAlignment="1" applyProtection="1">
      <alignment horizontal="center" vertical="center" wrapText="1"/>
      <protection locked="0"/>
    </xf>
    <xf numFmtId="0" fontId="12" fillId="18" borderId="2" xfId="0" applyFont="1" applyFill="1" applyBorder="1" applyAlignment="1" applyProtection="1">
      <alignment horizontal="left" vertical="center" wrapText="1"/>
      <protection locked="0"/>
    </xf>
    <xf numFmtId="0" fontId="12" fillId="18" borderId="31" xfId="0" applyFont="1" applyFill="1" applyBorder="1" applyAlignment="1" applyProtection="1">
      <alignment horizontal="left" vertical="center" wrapText="1"/>
      <protection locked="0"/>
    </xf>
    <xf numFmtId="0" fontId="62" fillId="17" borderId="2" xfId="0" applyFont="1" applyFill="1" applyBorder="1" applyAlignment="1" applyProtection="1">
      <alignment horizontal="left" vertical="center" wrapText="1"/>
      <protection locked="0"/>
    </xf>
    <xf numFmtId="0" fontId="62" fillId="17" borderId="31" xfId="0" applyFont="1" applyFill="1" applyBorder="1" applyAlignment="1" applyProtection="1">
      <alignment horizontal="left" vertical="center" wrapText="1"/>
      <protection locked="0"/>
    </xf>
    <xf numFmtId="0" fontId="62" fillId="6" borderId="2" xfId="0" applyFont="1" applyFill="1" applyBorder="1" applyAlignment="1" applyProtection="1">
      <alignment horizontal="left" vertical="center" wrapText="1"/>
      <protection locked="0"/>
    </xf>
    <xf numFmtId="0" fontId="62" fillId="6" borderId="31" xfId="0" applyFont="1" applyFill="1" applyBorder="1" applyAlignment="1" applyProtection="1">
      <alignment horizontal="left" vertical="center" wrapText="1"/>
      <protection locked="0"/>
    </xf>
    <xf numFmtId="0" fontId="10" fillId="10" borderId="20" xfId="0" applyFont="1" applyFill="1" applyBorder="1" applyAlignment="1" applyProtection="1">
      <alignment horizontal="center" vertical="center" wrapText="1"/>
      <protection locked="0"/>
    </xf>
    <xf numFmtId="0" fontId="10" fillId="10" borderId="0" xfId="0" applyFont="1" applyFill="1" applyAlignment="1" applyProtection="1">
      <alignment horizontal="center" vertical="center" wrapText="1"/>
      <protection locked="0"/>
    </xf>
    <xf numFmtId="0" fontId="11" fillId="10" borderId="20" xfId="0" applyFont="1" applyFill="1" applyBorder="1" applyAlignment="1" applyProtection="1">
      <alignment horizontal="center" vertical="center" wrapText="1"/>
      <protection locked="0"/>
    </xf>
    <xf numFmtId="0" fontId="11" fillId="10" borderId="0" xfId="0" applyFont="1" applyFill="1" applyAlignment="1" applyProtection="1">
      <alignment horizontal="center" vertical="center" wrapText="1"/>
      <protection locked="0"/>
    </xf>
    <xf numFmtId="0" fontId="12" fillId="10" borderId="16" xfId="0" applyFont="1" applyFill="1" applyBorder="1" applyAlignment="1" applyProtection="1">
      <alignment horizontal="center" vertical="center" wrapText="1"/>
      <protection locked="0"/>
    </xf>
    <xf numFmtId="0" fontId="58" fillId="10" borderId="15" xfId="0" applyFont="1" applyFill="1" applyBorder="1" applyAlignment="1" applyProtection="1">
      <alignment horizontal="center" vertical="center" wrapText="1"/>
      <protection locked="0"/>
    </xf>
    <xf numFmtId="0" fontId="112" fillId="0" borderId="27" xfId="0" applyFont="1" applyFill="1" applyBorder="1" applyAlignment="1" applyProtection="1">
      <alignment horizontal="left" vertical="center"/>
      <protection locked="0"/>
    </xf>
    <xf numFmtId="0" fontId="18" fillId="0" borderId="27" xfId="0" applyFont="1" applyFill="1" applyBorder="1" applyAlignment="1" applyProtection="1">
      <alignment horizontal="left" vertical="center"/>
      <protection locked="0"/>
    </xf>
    <xf numFmtId="0" fontId="21" fillId="17" borderId="25" xfId="0" applyFont="1" applyFill="1" applyBorder="1" applyAlignment="1" applyProtection="1">
      <alignment horizontal="left" vertical="center"/>
      <protection locked="0"/>
    </xf>
    <xf numFmtId="0" fontId="75" fillId="17" borderId="27" xfId="0" applyFont="1" applyFill="1" applyBorder="1" applyAlignment="1" applyProtection="1">
      <alignment horizontal="left" vertical="center"/>
      <protection locked="0"/>
    </xf>
    <xf numFmtId="3" fontId="18" fillId="0" borderId="27" xfId="0" applyNumberFormat="1" applyFont="1" applyBorder="1" applyAlignment="1" applyProtection="1">
      <alignment horizontal="left" vertical="center"/>
      <protection locked="0"/>
    </xf>
    <xf numFmtId="0" fontId="167" fillId="0" borderId="27" xfId="0" applyFont="1" applyBorder="1" applyAlignment="1" applyProtection="1">
      <alignment vertical="center"/>
      <protection locked="0"/>
    </xf>
    <xf numFmtId="165" fontId="137" fillId="5" borderId="28" xfId="0" applyNumberFormat="1" applyFont="1" applyFill="1" applyBorder="1" applyAlignment="1">
      <alignment horizontal="right" vertical="center"/>
    </xf>
    <xf numFmtId="0" fontId="137" fillId="5" borderId="42" xfId="0" applyFont="1" applyFill="1" applyBorder="1" applyAlignment="1" applyProtection="1">
      <alignment horizontal="right" vertical="center" wrapText="1"/>
      <protection locked="0"/>
    </xf>
    <xf numFmtId="165" fontId="6" fillId="9" borderId="28" xfId="0" applyNumberFormat="1" applyFont="1" applyFill="1" applyBorder="1" applyAlignment="1">
      <alignment horizontal="center"/>
    </xf>
    <xf numFmtId="49" fontId="109" fillId="0" borderId="20" xfId="0" applyNumberFormat="1" applyFont="1" applyBorder="1" applyAlignment="1" applyProtection="1">
      <alignment vertical="center"/>
      <protection locked="0"/>
    </xf>
    <xf numFmtId="3" fontId="109" fillId="0" borderId="27" xfId="0" applyNumberFormat="1" applyFont="1" applyBorder="1" applyAlignment="1" applyProtection="1">
      <alignment horizontal="center" vertical="center"/>
      <protection locked="0"/>
    </xf>
    <xf numFmtId="1" fontId="109" fillId="0" borderId="0" xfId="0" applyNumberFormat="1" applyFont="1" applyAlignment="1" applyProtection="1">
      <alignment horizontal="center" vertical="center"/>
      <protection locked="0"/>
    </xf>
    <xf numFmtId="165" fontId="109" fillId="0" borderId="25" xfId="0" applyNumberFormat="1" applyFont="1" applyBorder="1" applyAlignment="1">
      <alignment horizontal="right" vertical="center"/>
    </xf>
    <xf numFmtId="165" fontId="41" fillId="5" borderId="25" xfId="0" applyNumberFormat="1" applyFont="1" applyFill="1" applyBorder="1" applyAlignment="1">
      <alignment horizontal="center" vertical="center"/>
    </xf>
    <xf numFmtId="165" fontId="197" fillId="24" borderId="42" xfId="0" applyNumberFormat="1" applyFont="1" applyFill="1" applyBorder="1" applyAlignment="1">
      <alignment horizontal="center" vertical="center"/>
    </xf>
    <xf numFmtId="49" fontId="6" fillId="0" borderId="25" xfId="0" applyNumberFormat="1" applyFont="1" applyFill="1" applyBorder="1" applyAlignment="1" applyProtection="1">
      <alignment vertical="center"/>
      <protection locked="0"/>
    </xf>
    <xf numFmtId="0" fontId="113" fillId="0" borderId="0" xfId="0" applyFont="1" applyFill="1" applyAlignment="1" applyProtection="1">
      <alignment vertical="center"/>
      <protection locked="0"/>
    </xf>
    <xf numFmtId="3" fontId="6" fillId="0" borderId="28" xfId="0" applyNumberFormat="1" applyFont="1" applyBorder="1" applyAlignment="1" applyProtection="1">
      <alignment horizontal="right" vertical="center"/>
      <protection locked="0"/>
    </xf>
    <xf numFmtId="0" fontId="6" fillId="0" borderId="20" xfId="0" applyFont="1" applyFill="1" applyBorder="1" applyAlignment="1" applyProtection="1">
      <alignment horizontal="left" vertical="center"/>
      <protection locked="0"/>
    </xf>
    <xf numFmtId="165" fontId="6" fillId="5" borderId="25" xfId="0" applyNumberFormat="1" applyFont="1" applyFill="1" applyBorder="1" applyAlignment="1">
      <alignment horizontal="right" vertical="center" wrapText="1"/>
    </xf>
    <xf numFmtId="0" fontId="112" fillId="0" borderId="0" xfId="0" applyFont="1" applyFill="1" applyAlignment="1" applyProtection="1">
      <alignment vertical="center" wrapText="1"/>
      <protection locked="0"/>
    </xf>
    <xf numFmtId="165" fontId="138" fillId="22" borderId="25" xfId="0" applyNumberFormat="1" applyFont="1" applyFill="1" applyBorder="1" applyAlignment="1">
      <alignment horizontal="center" vertical="center" wrapText="1"/>
    </xf>
    <xf numFmtId="0" fontId="18" fillId="0" borderId="0" xfId="0" applyFont="1" applyFill="1" applyAlignment="1" applyProtection="1">
      <alignment vertical="center"/>
      <protection locked="0"/>
    </xf>
    <xf numFmtId="0" fontId="137" fillId="0" borderId="20" xfId="0" applyFont="1" applyFill="1" applyBorder="1" applyAlignment="1" applyProtection="1">
      <alignment horizontal="left" vertical="center"/>
      <protection locked="0"/>
    </xf>
    <xf numFmtId="0" fontId="6" fillId="0" borderId="25" xfId="0" applyFont="1" applyFill="1" applyBorder="1" applyAlignment="1" applyProtection="1">
      <alignment horizontal="left" vertical="center"/>
      <protection locked="0"/>
    </xf>
    <xf numFmtId="0" fontId="20" fillId="0" borderId="27" xfId="0" applyFont="1" applyFill="1" applyBorder="1" applyAlignment="1" applyProtection="1">
      <alignment horizontal="left" vertical="center"/>
      <protection locked="0"/>
    </xf>
    <xf numFmtId="0" fontId="114" fillId="0" borderId="50" xfId="0" applyFont="1" applyFill="1" applyBorder="1" applyAlignment="1" applyProtection="1">
      <alignment vertical="center"/>
      <protection locked="0"/>
    </xf>
    <xf numFmtId="0" fontId="114" fillId="0" borderId="27" xfId="0" applyFont="1" applyFill="1" applyBorder="1" applyAlignment="1" applyProtection="1">
      <alignment vertical="center"/>
      <protection locked="0"/>
    </xf>
    <xf numFmtId="164" fontId="6" fillId="0" borderId="0" xfId="0" applyNumberFormat="1" applyFont="1" applyProtection="1">
      <protection locked="0"/>
    </xf>
    <xf numFmtId="49" fontId="6" fillId="0" borderId="25" xfId="0" applyNumberFormat="1" applyFont="1" applyFill="1" applyBorder="1" applyAlignment="1" applyProtection="1">
      <alignment horizontal="left" vertical="center"/>
      <protection locked="0"/>
    </xf>
    <xf numFmtId="0" fontId="112" fillId="0" borderId="0" xfId="0" applyFont="1" applyFill="1" applyAlignment="1" applyProtection="1">
      <alignment horizontal="left" vertical="center" wrapText="1"/>
      <protection locked="0"/>
    </xf>
    <xf numFmtId="0" fontId="113" fillId="0" borderId="0" xfId="0" applyFont="1" applyFill="1" applyAlignment="1" applyProtection="1">
      <alignment horizontal="left" vertical="center" wrapText="1"/>
      <protection locked="0"/>
    </xf>
    <xf numFmtId="0" fontId="20" fillId="0" borderId="0" xfId="0" applyFont="1" applyFill="1" applyAlignment="1" applyProtection="1">
      <alignment horizontal="left" vertical="center" wrapText="1"/>
      <protection locked="0"/>
    </xf>
    <xf numFmtId="49" fontId="6" fillId="0" borderId="20" xfId="0" applyNumberFormat="1" applyFont="1" applyFill="1" applyBorder="1" applyAlignment="1" applyProtection="1">
      <alignment horizontal="left" vertical="center"/>
      <protection locked="0"/>
    </xf>
    <xf numFmtId="0" fontId="18" fillId="0" borderId="0" xfId="0" applyFont="1" applyFill="1" applyAlignment="1" applyProtection="1">
      <alignment horizontal="left" vertical="center" wrapText="1"/>
      <protection locked="0"/>
    </xf>
    <xf numFmtId="49" fontId="40" fillId="20" borderId="25" xfId="0" applyNumberFormat="1" applyFont="1" applyFill="1" applyBorder="1" applyAlignment="1" applyProtection="1">
      <alignment vertical="center"/>
      <protection locked="0"/>
    </xf>
    <xf numFmtId="0" fontId="201" fillId="0" borderId="0" xfId="0" applyFont="1" applyAlignment="1" applyProtection="1">
      <alignment vertical="center"/>
      <protection locked="0"/>
    </xf>
    <xf numFmtId="49" fontId="6" fillId="0" borderId="20" xfId="0" applyNumberFormat="1" applyFont="1" applyFill="1" applyBorder="1" applyAlignment="1" applyProtection="1">
      <alignment vertical="center"/>
      <protection locked="0"/>
    </xf>
    <xf numFmtId="49" fontId="40" fillId="0" borderId="20" xfId="0" applyNumberFormat="1" applyFont="1" applyFill="1" applyBorder="1" applyAlignment="1" applyProtection="1">
      <alignment vertical="center"/>
      <protection locked="0"/>
    </xf>
    <xf numFmtId="49" fontId="40" fillId="0" borderId="25" xfId="0" applyNumberFormat="1" applyFont="1" applyFill="1" applyBorder="1" applyAlignment="1" applyProtection="1">
      <alignment vertical="center"/>
      <protection locked="0"/>
    </xf>
    <xf numFmtId="49" fontId="22" fillId="0" borderId="25" xfId="0" applyNumberFormat="1" applyFont="1" applyFill="1" applyBorder="1" applyAlignment="1" applyProtection="1">
      <alignment vertical="center"/>
      <protection locked="0"/>
    </xf>
    <xf numFmtId="49" fontId="22" fillId="0" borderId="20" xfId="0" applyNumberFormat="1" applyFont="1" applyFill="1" applyBorder="1" applyAlignment="1" applyProtection="1">
      <alignment vertical="center"/>
      <protection locked="0"/>
    </xf>
    <xf numFmtId="0" fontId="43" fillId="2" borderId="24" xfId="27" applyFont="1" applyFill="1" applyBorder="1" applyAlignment="1" applyProtection="1">
      <alignment horizontal="left" vertical="center"/>
      <protection locked="0"/>
    </xf>
    <xf numFmtId="0" fontId="43" fillId="2" borderId="5" xfId="36" applyFont="1" applyFill="1" applyBorder="1" applyAlignment="1" applyProtection="1">
      <alignment horizontal="left" vertical="center"/>
      <protection locked="0"/>
    </xf>
    <xf numFmtId="2" fontId="44" fillId="2" borderId="5" xfId="29" applyNumberFormat="1" applyFont="1" applyFill="1" applyBorder="1" applyAlignment="1" applyProtection="1">
      <alignment horizontal="center" vertical="center" wrapText="1"/>
      <protection locked="0"/>
    </xf>
    <xf numFmtId="1" fontId="44" fillId="2" borderId="11" xfId="29" applyNumberFormat="1" applyFont="1" applyFill="1" applyBorder="1" applyAlignment="1" applyProtection="1">
      <alignment horizontal="center" vertical="center" wrapText="1"/>
      <protection locked="0"/>
    </xf>
    <xf numFmtId="165" fontId="54" fillId="2" borderId="1" xfId="27" applyNumberFormat="1" applyFont="1" applyFill="1" applyBorder="1" applyAlignment="1">
      <alignment horizontal="center" vertical="center" wrapText="1"/>
    </xf>
    <xf numFmtId="165" fontId="54" fillId="2" borderId="44" xfId="27" applyNumberFormat="1" applyFont="1" applyFill="1" applyBorder="1" applyAlignment="1">
      <alignment horizontal="center" vertical="center" wrapText="1"/>
    </xf>
    <xf numFmtId="49" fontId="27" fillId="0" borderId="17" xfId="0" applyNumberFormat="1" applyFont="1" applyBorder="1" applyAlignment="1" applyProtection="1">
      <alignment vertical="center"/>
      <protection locked="0"/>
    </xf>
    <xf numFmtId="49" fontId="6" fillId="0" borderId="51" xfId="0" applyNumberFormat="1" applyFont="1" applyBorder="1" applyAlignment="1" applyProtection="1">
      <alignment vertical="center"/>
      <protection locked="0"/>
    </xf>
    <xf numFmtId="3" fontId="6" fillId="0" borderId="51" xfId="0" applyNumberFormat="1" applyFont="1" applyBorder="1" applyAlignment="1" applyProtection="1">
      <alignment horizontal="center" vertical="center"/>
      <protection locked="0"/>
    </xf>
    <xf numFmtId="1" fontId="6" fillId="0" borderId="32" xfId="0" applyNumberFormat="1" applyFont="1" applyBorder="1" applyAlignment="1" applyProtection="1">
      <alignment horizontal="center" vertical="center"/>
      <protection locked="0"/>
    </xf>
    <xf numFmtId="164" fontId="6" fillId="27" borderId="17" xfId="0" applyNumberFormat="1" applyFont="1" applyFill="1" applyBorder="1" applyAlignment="1">
      <alignment horizontal="center" vertical="center"/>
    </xf>
    <xf numFmtId="3" fontId="6" fillId="27" borderId="47" xfId="0" applyNumberFormat="1" applyFont="1" applyFill="1" applyBorder="1" applyAlignment="1" applyProtection="1">
      <alignment horizontal="center" vertical="center"/>
      <protection locked="0"/>
    </xf>
    <xf numFmtId="49" fontId="27" fillId="0" borderId="25" xfId="0" applyNumberFormat="1" applyFont="1" applyBorder="1" applyAlignment="1" applyProtection="1">
      <alignment vertical="center"/>
      <protection locked="0"/>
    </xf>
    <xf numFmtId="164" fontId="6" fillId="27" borderId="25" xfId="0" applyNumberFormat="1" applyFont="1" applyFill="1" applyBorder="1" applyAlignment="1">
      <alignment horizontal="center" vertical="center"/>
    </xf>
    <xf numFmtId="3" fontId="6" fillId="27" borderId="42" xfId="0" applyNumberFormat="1" applyFont="1" applyFill="1" applyBorder="1" applyAlignment="1" applyProtection="1">
      <alignment horizontal="center" vertical="center"/>
      <protection locked="0"/>
    </xf>
    <xf numFmtId="49" fontId="27" fillId="0" borderId="1" xfId="0" applyNumberFormat="1" applyFont="1" applyBorder="1" applyAlignment="1" applyProtection="1">
      <alignment vertical="center"/>
      <protection locked="0"/>
    </xf>
    <xf numFmtId="49" fontId="6" fillId="0" borderId="5" xfId="0" applyNumberFormat="1" applyFont="1" applyBorder="1" applyAlignment="1" applyProtection="1">
      <alignment vertical="center"/>
      <protection locked="0"/>
    </xf>
    <xf numFmtId="3" fontId="6" fillId="0" borderId="5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4" fontId="6" fillId="27" borderId="1" xfId="0" applyNumberFormat="1" applyFont="1" applyFill="1" applyBorder="1" applyAlignment="1">
      <alignment horizontal="center" vertical="center"/>
    </xf>
    <xf numFmtId="3" fontId="6" fillId="27" borderId="44" xfId="0" applyNumberFormat="1" applyFont="1" applyFill="1" applyBorder="1" applyAlignment="1" applyProtection="1">
      <alignment horizontal="center" vertical="center"/>
      <protection locked="0"/>
    </xf>
    <xf numFmtId="49" fontId="27" fillId="0" borderId="16" xfId="0" applyNumberFormat="1" applyFont="1" applyBorder="1" applyAlignment="1" applyProtection="1">
      <alignment vertical="center"/>
      <protection locked="0"/>
    </xf>
    <xf numFmtId="49" fontId="6" fillId="0" borderId="38" xfId="0" applyNumberFormat="1" applyFont="1" applyBorder="1" applyAlignment="1" applyProtection="1">
      <alignment vertical="center"/>
      <protection locked="0"/>
    </xf>
    <xf numFmtId="3" fontId="6" fillId="0" borderId="38" xfId="0" applyNumberFormat="1" applyFont="1" applyBorder="1" applyAlignment="1" applyProtection="1">
      <alignment horizontal="center" vertical="center"/>
      <protection locked="0"/>
    </xf>
    <xf numFmtId="1" fontId="6" fillId="0" borderId="52" xfId="0" applyNumberFormat="1" applyFont="1" applyBorder="1" applyAlignment="1" applyProtection="1">
      <alignment horizontal="center" vertical="center"/>
      <protection locked="0"/>
    </xf>
    <xf numFmtId="164" fontId="6" fillId="27" borderId="16" xfId="0" applyNumberFormat="1" applyFont="1" applyFill="1" applyBorder="1" applyAlignment="1">
      <alignment horizontal="center" vertical="center"/>
    </xf>
    <xf numFmtId="3" fontId="6" fillId="27" borderId="53" xfId="0" applyNumberFormat="1" applyFont="1" applyFill="1" applyBorder="1" applyAlignment="1" applyProtection="1">
      <alignment horizontal="center" vertical="center"/>
      <protection locked="0"/>
    </xf>
    <xf numFmtId="0" fontId="45" fillId="2" borderId="11" xfId="0" applyFont="1" applyFill="1" applyBorder="1" applyAlignment="1">
      <alignment horizontal="right" vertical="center"/>
    </xf>
    <xf numFmtId="0" fontId="49" fillId="2" borderId="44" xfId="0" applyFont="1" applyFill="1" applyBorder="1" applyAlignment="1" applyProtection="1">
      <alignment horizontal="right" vertical="center"/>
      <protection locked="0"/>
    </xf>
    <xf numFmtId="0" fontId="13" fillId="12" borderId="42" xfId="0" applyFont="1" applyFill="1" applyBorder="1" applyAlignment="1" applyProtection="1">
      <alignment vertical="center"/>
      <protection locked="0"/>
    </xf>
    <xf numFmtId="164" fontId="6" fillId="28" borderId="17" xfId="0" applyNumberFormat="1" applyFont="1" applyFill="1" applyBorder="1" applyAlignment="1">
      <alignment horizontal="center" vertical="center"/>
    </xf>
    <xf numFmtId="165" fontId="6" fillId="5" borderId="32" xfId="0" applyNumberFormat="1" applyFont="1" applyFill="1" applyBorder="1" applyAlignment="1">
      <alignment horizontal="center" vertical="center"/>
    </xf>
    <xf numFmtId="3" fontId="6" fillId="28" borderId="47" xfId="0" applyNumberFormat="1" applyFont="1" applyFill="1" applyBorder="1" applyAlignment="1" applyProtection="1">
      <alignment horizontal="center" vertical="center"/>
      <protection locked="0"/>
    </xf>
    <xf numFmtId="164" fontId="6" fillId="28" borderId="25" xfId="0" applyNumberFormat="1" applyFont="1" applyFill="1" applyBorder="1" applyAlignment="1">
      <alignment horizontal="center" vertical="center"/>
    </xf>
    <xf numFmtId="164" fontId="6" fillId="28" borderId="28" xfId="0" applyNumberFormat="1" applyFont="1" applyFill="1" applyBorder="1" applyAlignment="1">
      <alignment horizontal="center" vertical="center"/>
    </xf>
    <xf numFmtId="3" fontId="6" fillId="28" borderId="42" xfId="0" applyNumberFormat="1" applyFont="1" applyFill="1" applyBorder="1" applyAlignment="1" applyProtection="1">
      <alignment horizontal="center" vertical="center"/>
      <protection locked="0"/>
    </xf>
    <xf numFmtId="164" fontId="6" fillId="28" borderId="1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3" fontId="6" fillId="28" borderId="44" xfId="0" applyNumberFormat="1" applyFont="1" applyFill="1" applyBorder="1" applyAlignment="1" applyProtection="1">
      <alignment horizontal="center" vertical="center"/>
      <protection locked="0"/>
    </xf>
    <xf numFmtId="164" fontId="6" fillId="28" borderId="16" xfId="0" applyNumberFormat="1" applyFont="1" applyFill="1" applyBorder="1" applyAlignment="1">
      <alignment horizontal="center" vertical="center"/>
    </xf>
    <xf numFmtId="164" fontId="6" fillId="28" borderId="52" xfId="0" applyNumberFormat="1" applyFont="1" applyFill="1" applyBorder="1" applyAlignment="1">
      <alignment horizontal="center" vertical="center"/>
    </xf>
    <xf numFmtId="3" fontId="6" fillId="28" borderId="53" xfId="0" applyNumberFormat="1" applyFont="1" applyFill="1" applyBorder="1" applyAlignment="1" applyProtection="1">
      <alignment horizontal="center" vertical="center"/>
      <protection locked="0"/>
    </xf>
    <xf numFmtId="0" fontId="13" fillId="12" borderId="0" xfId="0" applyFont="1" applyFill="1" applyProtection="1">
      <protection locked="0"/>
    </xf>
    <xf numFmtId="8" fontId="202" fillId="0" borderId="37" xfId="0" applyNumberFormat="1" applyFont="1" applyBorder="1" applyAlignment="1" applyProtection="1">
      <alignment horizontal="center"/>
      <protection locked="0"/>
    </xf>
    <xf numFmtId="49" fontId="60" fillId="0" borderId="20" xfId="0" applyNumberFormat="1" applyFont="1" applyFill="1" applyBorder="1" applyAlignment="1" applyProtection="1">
      <alignment vertical="center"/>
      <protection locked="0"/>
    </xf>
    <xf numFmtId="0" fontId="128" fillId="0" borderId="27" xfId="0" applyFont="1" applyBorder="1" applyAlignment="1" applyProtection="1">
      <alignment horizontal="left" vertical="center" wrapText="1"/>
      <protection locked="0"/>
    </xf>
    <xf numFmtId="0" fontId="16" fillId="0" borderId="28" xfId="0" applyFont="1" applyBorder="1" applyAlignment="1" applyProtection="1">
      <alignment wrapText="1"/>
      <protection locked="0"/>
    </xf>
    <xf numFmtId="0" fontId="166" fillId="0" borderId="28" xfId="0" applyFont="1" applyBorder="1" applyAlignment="1" applyProtection="1">
      <alignment horizontal="left" vertical="center" wrapText="1"/>
      <protection locked="0"/>
    </xf>
    <xf numFmtId="173" fontId="76" fillId="0" borderId="28" xfId="0" applyNumberFormat="1" applyFont="1" applyBorder="1" applyAlignment="1" applyProtection="1">
      <alignment vertical="center"/>
      <protection locked="0"/>
    </xf>
  </cellXfs>
  <cellStyles count="40">
    <cellStyle name="Comma 2" xfId="1" xr:uid="{00000000-0005-0000-0000-000000000000}"/>
    <cellStyle name="Comma 2 2" xfId="23" xr:uid="{00000000-0005-0000-0000-000001000000}"/>
    <cellStyle name="Comma 3" xfId="2" xr:uid="{00000000-0005-0000-0000-000002000000}"/>
    <cellStyle name="Comma 3 2" xfId="24" xr:uid="{00000000-0005-0000-0000-000003000000}"/>
    <cellStyle name="Currency 2" xfId="3" xr:uid="{00000000-0005-0000-0000-000004000000}"/>
    <cellStyle name="Currency 2 2" xfId="25" xr:uid="{00000000-0005-0000-0000-000005000000}"/>
    <cellStyle name="Currency 3" xfId="4" xr:uid="{00000000-0005-0000-0000-000006000000}"/>
    <cellStyle name="Currency 3 2" xfId="26" xr:uid="{00000000-0005-0000-0000-000007000000}"/>
    <cellStyle name="Normal" xfId="0" builtinId="0"/>
    <cellStyle name="Normal 11" xfId="5" xr:uid="{00000000-0005-0000-0000-000009000000}"/>
    <cellStyle name="Normal 11 2" xfId="6" xr:uid="{00000000-0005-0000-0000-00000A000000}"/>
    <cellStyle name="Normal 11 2 2" xfId="27" xr:uid="{00000000-0005-0000-0000-00000B000000}"/>
    <cellStyle name="Normal 11 3" xfId="7" xr:uid="{00000000-0005-0000-0000-00000C000000}"/>
    <cellStyle name="Normal 11 3 2" xfId="28" xr:uid="{00000000-0005-0000-0000-00000D000000}"/>
    <cellStyle name="Normal 13" xfId="8" xr:uid="{00000000-0005-0000-0000-00000E000000}"/>
    <cellStyle name="Normal 13 2" xfId="9" xr:uid="{00000000-0005-0000-0000-00000F000000}"/>
    <cellStyle name="Normal 13 2 2" xfId="29" xr:uid="{00000000-0005-0000-0000-000010000000}"/>
    <cellStyle name="Normal 13 3" xfId="10" xr:uid="{00000000-0005-0000-0000-000011000000}"/>
    <cellStyle name="Normal 13 3 2" xfId="30" xr:uid="{00000000-0005-0000-0000-000012000000}"/>
    <cellStyle name="Normal 14" xfId="11" xr:uid="{00000000-0005-0000-0000-000013000000}"/>
    <cellStyle name="Normal 14 2" xfId="12" xr:uid="{00000000-0005-0000-0000-000014000000}"/>
    <cellStyle name="Normal 14 2 2" xfId="31" xr:uid="{00000000-0005-0000-0000-000015000000}"/>
    <cellStyle name="Normal 14 3" xfId="13" xr:uid="{00000000-0005-0000-0000-000016000000}"/>
    <cellStyle name="Normal 14 3 2" xfId="32" xr:uid="{00000000-0005-0000-0000-000017000000}"/>
    <cellStyle name="Normal 16" xfId="14" xr:uid="{00000000-0005-0000-0000-000018000000}"/>
    <cellStyle name="Normal 16 2" xfId="15" xr:uid="{00000000-0005-0000-0000-000019000000}"/>
    <cellStyle name="Normal 16 2 2" xfId="33" xr:uid="{00000000-0005-0000-0000-00001A000000}"/>
    <cellStyle name="Normal 16 3" xfId="16" xr:uid="{00000000-0005-0000-0000-00001B000000}"/>
    <cellStyle name="Normal 16 3 2" xfId="34" xr:uid="{00000000-0005-0000-0000-00001C000000}"/>
    <cellStyle name="Normal 2" xfId="17" xr:uid="{00000000-0005-0000-0000-00001D000000}"/>
    <cellStyle name="Normal 2 2" xfId="35" xr:uid="{00000000-0005-0000-0000-00001E000000}"/>
    <cellStyle name="Normal 21" xfId="18" xr:uid="{00000000-0005-0000-0000-00001F000000}"/>
    <cellStyle name="Normal 21 2" xfId="19" xr:uid="{00000000-0005-0000-0000-000020000000}"/>
    <cellStyle name="Normal 21 2 2" xfId="36" xr:uid="{00000000-0005-0000-0000-000021000000}"/>
    <cellStyle name="Normal 21 3" xfId="20" xr:uid="{00000000-0005-0000-0000-000022000000}"/>
    <cellStyle name="Normal 21 3 2" xfId="37" xr:uid="{00000000-0005-0000-0000-000023000000}"/>
    <cellStyle name="Percent 2" xfId="21" xr:uid="{00000000-0005-0000-0000-000024000000}"/>
    <cellStyle name="Percent 2 2" xfId="38" xr:uid="{00000000-0005-0000-0000-000025000000}"/>
    <cellStyle name="Percent 3" xfId="22" xr:uid="{00000000-0005-0000-0000-000026000000}"/>
    <cellStyle name="Percent 3 2" xfId="39" xr:uid="{00000000-0005-0000-0000-000027000000}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A00"/>
      <color rgb="FFFF40FF"/>
      <color rgb="FF0000FF"/>
      <color rgb="FFFF85FF"/>
      <color rgb="FF008F00"/>
      <color rgb="FFFFFC00"/>
      <color rgb="FF521B93"/>
      <color rgb="FF941100"/>
      <color rgb="FF73FEFF"/>
      <color rgb="FF00F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2276683</xdr:colOff>
      <xdr:row>46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F267D68-203D-4CC3-9EE5-1F225B0FBF6E}"/>
            </a:ext>
          </a:extLst>
        </xdr:cNvPr>
        <xdr:cNvSpPr txBox="1"/>
      </xdr:nvSpPr>
      <xdr:spPr>
        <a:xfrm>
          <a:off x="12382708" y="7067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twoCellAnchor editAs="oneCell">
    <xdr:from>
      <xdr:col>0</xdr:col>
      <xdr:colOff>253271</xdr:colOff>
      <xdr:row>0</xdr:row>
      <xdr:rowOff>0</xdr:rowOff>
    </xdr:from>
    <xdr:to>
      <xdr:col>1</xdr:col>
      <xdr:colOff>753155</xdr:colOff>
      <xdr:row>2</xdr:row>
      <xdr:rowOff>148590</xdr:rowOff>
    </xdr:to>
    <xdr:pic>
      <xdr:nvPicPr>
        <xdr:cNvPr id="23748" name="Picture 2">
          <a:extLst>
            <a:ext uri="{FF2B5EF4-FFF2-40B4-BE49-F238E27FC236}">
              <a16:creationId xmlns:a16="http://schemas.microsoft.com/office/drawing/2014/main" id="{18DA896A-CC16-43E1-9008-55A0DE1C6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71" y="119505"/>
          <a:ext cx="1563062" cy="908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1365103</xdr:colOff>
      <xdr:row>0</xdr:row>
      <xdr:rowOff>0</xdr:rowOff>
    </xdr:from>
    <xdr:ext cx="19110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F94953C-6A13-4964-B8AD-8B3F7BAED99A}"/>
            </a:ext>
          </a:extLst>
        </xdr:cNvPr>
        <xdr:cNvSpPr txBox="1"/>
      </xdr:nvSpPr>
      <xdr:spPr>
        <a:xfrm>
          <a:off x="10022443" y="36004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10</xdr:col>
      <xdr:colOff>2276683</xdr:colOff>
      <xdr:row>46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7EBC4F4-68FD-42DF-AC13-27ACB1502AE5}"/>
            </a:ext>
          </a:extLst>
        </xdr:cNvPr>
        <xdr:cNvSpPr txBox="1"/>
      </xdr:nvSpPr>
      <xdr:spPr>
        <a:xfrm>
          <a:off x="12382708" y="7067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10</xdr:col>
      <xdr:colOff>137160</xdr:colOff>
      <xdr:row>0</xdr:row>
      <xdr:rowOff>12701</xdr:rowOff>
    </xdr:from>
    <xdr:to>
      <xdr:col>11</xdr:col>
      <xdr:colOff>0</xdr:colOff>
      <xdr:row>4</xdr:row>
      <xdr:rowOff>19540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E4AC380-27B3-4438-B973-72EE0056068A}"/>
            </a:ext>
          </a:extLst>
        </xdr:cNvPr>
        <xdr:cNvSpPr txBox="1"/>
      </xdr:nvSpPr>
      <xdr:spPr>
        <a:xfrm>
          <a:off x="13696852" y="12701"/>
          <a:ext cx="3125763" cy="120845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0</xdr:row>
      <xdr:rowOff>11721</xdr:rowOff>
    </xdr:from>
    <xdr:to>
      <xdr:col>1</xdr:col>
      <xdr:colOff>1905000</xdr:colOff>
      <xdr:row>4</xdr:row>
      <xdr:rowOff>12229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CC1F69F-8481-4DDF-9DEB-766CF8360B2D}"/>
            </a:ext>
          </a:extLst>
        </xdr:cNvPr>
        <xdr:cNvSpPr txBox="1"/>
      </xdr:nvSpPr>
      <xdr:spPr>
        <a:xfrm>
          <a:off x="0" y="11721"/>
          <a:ext cx="2819400" cy="12197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/>
  </xdr:twoCellAnchor>
  <xdr:twoCellAnchor editAs="oneCell">
    <xdr:from>
      <xdr:col>10</xdr:col>
      <xdr:colOff>875714</xdr:colOff>
      <xdr:row>0</xdr:row>
      <xdr:rowOff>136460</xdr:rowOff>
    </xdr:from>
    <xdr:to>
      <xdr:col>10</xdr:col>
      <xdr:colOff>2603872</xdr:colOff>
      <xdr:row>3</xdr:row>
      <xdr:rowOff>111421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F6277F7D-2EDA-4600-9282-70BE2350E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35406" y="136460"/>
          <a:ext cx="1728158" cy="9128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606880</xdr:colOff>
      <xdr:row>0</xdr:row>
      <xdr:rowOff>215901</xdr:rowOff>
    </xdr:from>
    <xdr:to>
      <xdr:col>1</xdr:col>
      <xdr:colOff>1063709</xdr:colOff>
      <xdr:row>3</xdr:row>
      <xdr:rowOff>76201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32DB30E2-1CCE-4619-B452-741186946D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880" y="215901"/>
          <a:ext cx="1590192" cy="805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1342878</xdr:colOff>
      <xdr:row>0</xdr:row>
      <xdr:rowOff>360045</xdr:rowOff>
    </xdr:from>
    <xdr:ext cx="208559" cy="280358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3C6252C-C219-456D-9117-05653FAF7634}"/>
            </a:ext>
          </a:extLst>
        </xdr:cNvPr>
        <xdr:cNvSpPr txBox="1"/>
      </xdr:nvSpPr>
      <xdr:spPr>
        <a:xfrm>
          <a:off x="9420078" y="360045"/>
          <a:ext cx="208559" cy="280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twoCellAnchor editAs="oneCell">
    <xdr:from>
      <xdr:col>9</xdr:col>
      <xdr:colOff>2196</xdr:colOff>
      <xdr:row>26</xdr:row>
      <xdr:rowOff>37547</xdr:rowOff>
    </xdr:from>
    <xdr:to>
      <xdr:col>9</xdr:col>
      <xdr:colOff>363286</xdr:colOff>
      <xdr:row>26</xdr:row>
      <xdr:rowOff>323622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AFA8898-50BD-8E5F-EB59-7CCC718AAA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3259" y="7308297"/>
          <a:ext cx="361090" cy="286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26007</xdr:colOff>
      <xdr:row>28</xdr:row>
      <xdr:rowOff>17337</xdr:rowOff>
    </xdr:from>
    <xdr:ext cx="361090" cy="286075"/>
    <xdr:pic>
      <xdr:nvPicPr>
        <xdr:cNvPr id="16" name="Picture 15">
          <a:extLst>
            <a:ext uri="{FF2B5EF4-FFF2-40B4-BE49-F238E27FC236}">
              <a16:creationId xmlns:a16="http://schemas.microsoft.com/office/drawing/2014/main" id="{72062A63-E48E-824C-88CE-E4862F74B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2253" y="7858395"/>
          <a:ext cx="361090" cy="286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26007</xdr:colOff>
      <xdr:row>26</xdr:row>
      <xdr:rowOff>17338</xdr:rowOff>
    </xdr:from>
    <xdr:to>
      <xdr:col>1</xdr:col>
      <xdr:colOff>387097</xdr:colOff>
      <xdr:row>26</xdr:row>
      <xdr:rowOff>303413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68B4A1E-DC16-FC4E-B7C1-ABFBFCA19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04" y="7351263"/>
          <a:ext cx="361090" cy="286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433447</xdr:colOff>
      <xdr:row>26</xdr:row>
      <xdr:rowOff>121365</xdr:rowOff>
    </xdr:from>
    <xdr:to>
      <xdr:col>1</xdr:col>
      <xdr:colOff>5171023</xdr:colOff>
      <xdr:row>27</xdr:row>
      <xdr:rowOff>4334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2E9F091F-71B8-4736-E67B-14FBFBD5C000}"/>
            </a:ext>
          </a:extLst>
        </xdr:cNvPr>
        <xdr:cNvSpPr txBox="1"/>
      </xdr:nvSpPr>
      <xdr:spPr>
        <a:xfrm>
          <a:off x="1690444" y="7455290"/>
          <a:ext cx="4737576" cy="21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 i="1">
              <a:solidFill>
                <a:schemeClr val="accent4">
                  <a:lumMod val="75000"/>
                </a:schemeClr>
              </a:solidFill>
            </a:rPr>
            <a:t>SPECIAL COMMEMORATIVE LABEL </a:t>
          </a:r>
          <a:r>
            <a:rPr lang="en-US" sz="800" b="1" i="1">
              <a:solidFill>
                <a:srgbClr val="FF0000"/>
              </a:solidFill>
            </a:rPr>
            <a:t>- VERY LIMITED</a:t>
          </a:r>
        </a:p>
      </xdr:txBody>
    </xdr:sp>
    <xdr:clientData/>
  </xdr:twoCellAnchor>
  <xdr:oneCellAnchor>
    <xdr:from>
      <xdr:col>1</xdr:col>
      <xdr:colOff>26007</xdr:colOff>
      <xdr:row>28</xdr:row>
      <xdr:rowOff>17338</xdr:rowOff>
    </xdr:from>
    <xdr:ext cx="361090" cy="286075"/>
    <xdr:pic>
      <xdr:nvPicPr>
        <xdr:cNvPr id="20" name="Picture 19">
          <a:extLst>
            <a:ext uri="{FF2B5EF4-FFF2-40B4-BE49-F238E27FC236}">
              <a16:creationId xmlns:a16="http://schemas.microsoft.com/office/drawing/2014/main" id="{FF0FF8D4-CC2F-BE4B-AD13-450865504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04" y="7351263"/>
          <a:ext cx="361090" cy="286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433447</xdr:colOff>
      <xdr:row>28</xdr:row>
      <xdr:rowOff>121365</xdr:rowOff>
    </xdr:from>
    <xdr:to>
      <xdr:col>1</xdr:col>
      <xdr:colOff>5171023</xdr:colOff>
      <xdr:row>29</xdr:row>
      <xdr:rowOff>4334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CAC2861F-5726-454A-A8E8-DAE86D4A294A}"/>
            </a:ext>
          </a:extLst>
        </xdr:cNvPr>
        <xdr:cNvSpPr txBox="1"/>
      </xdr:nvSpPr>
      <xdr:spPr>
        <a:xfrm>
          <a:off x="1690444" y="7455290"/>
          <a:ext cx="4737576" cy="21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 i="1">
              <a:solidFill>
                <a:schemeClr val="accent4">
                  <a:lumMod val="75000"/>
                </a:schemeClr>
              </a:solidFill>
            </a:rPr>
            <a:t>SPECIAL COMMEMORATIVE LABEL </a:t>
          </a:r>
          <a:r>
            <a:rPr lang="en-US" sz="800" b="1" i="1">
              <a:solidFill>
                <a:srgbClr val="FF0000"/>
              </a:solidFill>
            </a:rPr>
            <a:t>- VERY LIMITED</a:t>
          </a:r>
        </a:p>
      </xdr:txBody>
    </xdr:sp>
    <xdr:clientData/>
  </xdr:twoCellAnchor>
  <xdr:oneCellAnchor>
    <xdr:from>
      <xdr:col>9</xdr:col>
      <xdr:colOff>2276683</xdr:colOff>
      <xdr:row>58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065286A-5CA4-1845-873D-9312E6370F0D}"/>
            </a:ext>
          </a:extLst>
        </xdr:cNvPr>
        <xdr:cNvSpPr txBox="1"/>
      </xdr:nvSpPr>
      <xdr:spPr>
        <a:xfrm>
          <a:off x="9883983" y="177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S391"/>
  <sheetViews>
    <sheetView tabSelected="1" topLeftCell="A307" zoomScale="150" zoomScaleNormal="150" zoomScaleSheetLayoutView="90" workbookViewId="0">
      <selection activeCell="B333" sqref="B333"/>
    </sheetView>
  </sheetViews>
  <sheetFormatPr baseColWidth="10" defaultColWidth="8.5" defaultRowHeight="12" x14ac:dyDescent="0.15"/>
  <cols>
    <col min="1" max="1" width="16.5" style="164" customWidth="1"/>
    <col min="2" max="2" width="74.33203125" style="164" customWidth="1"/>
    <col min="3" max="3" width="4.5" style="164" customWidth="1"/>
    <col min="4" max="4" width="5" style="164" bestFit="1" customWidth="1"/>
    <col min="5" max="5" width="6.83203125" style="350" customWidth="1"/>
    <col min="6" max="6" width="9" style="350" customWidth="1"/>
    <col min="7" max="7" width="5.5" style="185" customWidth="1"/>
    <col min="8" max="8" width="6" style="185" customWidth="1"/>
    <col min="9" max="9" width="6.33203125" style="171" customWidth="1"/>
    <col min="10" max="10" width="44" style="164" customWidth="1"/>
    <col min="11" max="11" width="42.83203125" style="168" customWidth="1"/>
    <col min="12" max="12" width="48.5" style="353" customWidth="1"/>
    <col min="13" max="13" width="38.6640625" style="164" customWidth="1"/>
    <col min="14" max="16384" width="8.5" style="164"/>
  </cols>
  <sheetData>
    <row r="1" spans="1:19" s="155" customFormat="1" ht="34" x14ac:dyDescent="0.15">
      <c r="A1" s="753" t="s">
        <v>59</v>
      </c>
      <c r="B1" s="754"/>
      <c r="C1" s="754"/>
      <c r="D1" s="754"/>
      <c r="E1" s="754"/>
      <c r="F1" s="754"/>
      <c r="G1" s="754"/>
      <c r="H1" s="754"/>
      <c r="I1" s="754"/>
      <c r="J1" s="754"/>
      <c r="K1" s="754"/>
      <c r="L1" s="352"/>
    </row>
    <row r="2" spans="1:19" s="155" customFormat="1" ht="26" x14ac:dyDescent="0.15">
      <c r="A2" s="761" t="s">
        <v>975</v>
      </c>
      <c r="B2" s="762"/>
      <c r="C2" s="762"/>
      <c r="D2" s="762"/>
      <c r="E2" s="762"/>
      <c r="F2" s="762"/>
      <c r="G2" s="762"/>
      <c r="H2" s="762"/>
      <c r="I2" s="762"/>
      <c r="J2" s="762"/>
      <c r="K2" s="762"/>
      <c r="L2" s="352"/>
    </row>
    <row r="3" spans="1:19" s="156" customFormat="1" ht="14" x14ac:dyDescent="0.2">
      <c r="A3" s="763" t="s">
        <v>94</v>
      </c>
      <c r="B3" s="764"/>
      <c r="C3" s="764"/>
      <c r="D3" s="764"/>
      <c r="E3" s="764"/>
      <c r="F3" s="764"/>
      <c r="G3" s="764"/>
      <c r="H3" s="764"/>
      <c r="I3" s="764"/>
      <c r="J3" s="764"/>
      <c r="K3" s="764"/>
      <c r="L3" s="335"/>
    </row>
    <row r="4" spans="1:19" s="156" customFormat="1" ht="21" customHeight="1" thickBot="1" x14ac:dyDescent="0.25">
      <c r="A4" s="765" t="s">
        <v>60</v>
      </c>
      <c r="B4" s="766"/>
      <c r="C4" s="766"/>
      <c r="D4" s="766"/>
      <c r="E4" s="766"/>
      <c r="F4" s="766"/>
      <c r="G4" s="766"/>
      <c r="H4" s="766"/>
      <c r="I4" s="766"/>
      <c r="J4" s="766"/>
      <c r="K4" s="766"/>
      <c r="L4" s="335"/>
    </row>
    <row r="5" spans="1:19" s="156" customFormat="1" ht="29" customHeight="1" thickBot="1" x14ac:dyDescent="0.25">
      <c r="A5" s="759" t="s">
        <v>100</v>
      </c>
      <c r="B5" s="760"/>
      <c r="C5" s="760"/>
      <c r="D5" s="760"/>
      <c r="E5" s="760"/>
      <c r="F5" s="760"/>
      <c r="G5" s="760"/>
      <c r="H5" s="760"/>
      <c r="I5" s="760"/>
      <c r="J5" s="760"/>
      <c r="K5" s="760"/>
      <c r="L5" s="336"/>
    </row>
    <row r="6" spans="1:19" s="156" customFormat="1" ht="29" customHeight="1" thickBot="1" x14ac:dyDescent="0.25">
      <c r="A6" s="757" t="s">
        <v>480</v>
      </c>
      <c r="B6" s="758"/>
      <c r="C6" s="758"/>
      <c r="D6" s="758"/>
      <c r="E6" s="758"/>
      <c r="F6" s="758"/>
      <c r="G6" s="758"/>
      <c r="H6" s="758"/>
      <c r="I6" s="758"/>
      <c r="J6" s="758"/>
      <c r="K6" s="758"/>
      <c r="L6" s="336"/>
    </row>
    <row r="7" spans="1:19" s="268" customFormat="1" ht="29" customHeight="1" thickBot="1" x14ac:dyDescent="0.25">
      <c r="A7" s="755" t="s">
        <v>501</v>
      </c>
      <c r="B7" s="756"/>
      <c r="C7" s="756"/>
      <c r="D7" s="756"/>
      <c r="E7" s="756"/>
      <c r="F7" s="756"/>
      <c r="G7" s="756"/>
      <c r="H7" s="756"/>
      <c r="I7" s="756"/>
      <c r="J7" s="756"/>
      <c r="K7" s="756"/>
      <c r="L7" s="337"/>
    </row>
    <row r="8" spans="1:19" s="357" customFormat="1" ht="29" customHeight="1" thickBot="1" x14ac:dyDescent="0.35">
      <c r="A8" s="751" t="s">
        <v>573</v>
      </c>
      <c r="B8" s="752"/>
      <c r="C8" s="752"/>
      <c r="D8" s="752"/>
      <c r="E8" s="752"/>
      <c r="F8" s="752"/>
      <c r="G8" s="752"/>
      <c r="H8" s="752"/>
      <c r="I8" s="752"/>
      <c r="J8" s="752"/>
      <c r="K8" s="752"/>
      <c r="L8" s="365" t="s">
        <v>791</v>
      </c>
      <c r="S8" s="357">
        <f>620</f>
        <v>620</v>
      </c>
    </row>
    <row r="9" spans="1:19" s="357" customFormat="1" ht="29" customHeight="1" thickBot="1" x14ac:dyDescent="0.35">
      <c r="A9" s="751" t="s">
        <v>582</v>
      </c>
      <c r="B9" s="752"/>
      <c r="C9" s="752"/>
      <c r="D9" s="752"/>
      <c r="E9" s="752"/>
      <c r="F9" s="752"/>
      <c r="G9" s="752"/>
      <c r="H9" s="752"/>
      <c r="I9" s="752"/>
      <c r="J9" s="752"/>
      <c r="K9" s="752"/>
      <c r="L9" s="366" t="s">
        <v>580</v>
      </c>
    </row>
    <row r="10" spans="1:19" s="154" customFormat="1" ht="45.75" customHeight="1" thickBot="1" x14ac:dyDescent="0.25">
      <c r="A10" s="157" t="s">
        <v>0</v>
      </c>
      <c r="B10" s="158" t="s">
        <v>1</v>
      </c>
      <c r="C10" s="159" t="s">
        <v>2</v>
      </c>
      <c r="D10" s="160" t="s">
        <v>3</v>
      </c>
      <c r="E10" s="388" t="s">
        <v>182</v>
      </c>
      <c r="F10" s="389" t="s">
        <v>818</v>
      </c>
      <c r="G10" s="388" t="s">
        <v>183</v>
      </c>
      <c r="H10" s="71" t="s">
        <v>184</v>
      </c>
      <c r="I10" s="577" t="s">
        <v>185</v>
      </c>
      <c r="J10" s="505" t="s">
        <v>16</v>
      </c>
      <c r="K10" s="161" t="s">
        <v>4</v>
      </c>
      <c r="L10" s="367" t="s">
        <v>583</v>
      </c>
    </row>
    <row r="11" spans="1:19" s="163" customFormat="1" ht="20" customHeight="1" thickBot="1" x14ac:dyDescent="0.25">
      <c r="A11" s="73" t="s">
        <v>103</v>
      </c>
      <c r="B11" s="74"/>
      <c r="C11" s="75"/>
      <c r="D11" s="76"/>
      <c r="E11" s="390"/>
      <c r="F11" s="391"/>
      <c r="G11" s="578"/>
      <c r="H11" s="72"/>
      <c r="I11" s="579"/>
      <c r="J11" s="506"/>
      <c r="K11" s="162"/>
      <c r="L11" s="369"/>
    </row>
    <row r="12" spans="1:19" ht="15" customHeight="1" x14ac:dyDescent="0.15">
      <c r="A12" s="250" t="s">
        <v>102</v>
      </c>
      <c r="B12" s="251" t="s">
        <v>569</v>
      </c>
      <c r="C12" s="3">
        <v>12</v>
      </c>
      <c r="D12" s="2">
        <v>750</v>
      </c>
      <c r="E12" s="392">
        <v>70</v>
      </c>
      <c r="F12" s="393"/>
      <c r="G12" s="580">
        <v>110</v>
      </c>
      <c r="H12" s="151">
        <v>100</v>
      </c>
      <c r="I12" s="581" t="s">
        <v>18</v>
      </c>
      <c r="J12" s="507" t="s">
        <v>568</v>
      </c>
      <c r="K12" s="274"/>
      <c r="L12" s="358" t="s">
        <v>792</v>
      </c>
    </row>
    <row r="13" spans="1:19" ht="14.25" customHeight="1" x14ac:dyDescent="0.15">
      <c r="A13" s="289" t="s">
        <v>217</v>
      </c>
      <c r="B13" s="300" t="s">
        <v>681</v>
      </c>
      <c r="C13" s="302">
        <v>12</v>
      </c>
      <c r="D13" s="299">
        <v>750</v>
      </c>
      <c r="E13" s="394"/>
      <c r="F13" s="395"/>
      <c r="G13" s="582">
        <v>120</v>
      </c>
      <c r="H13" s="288">
        <v>110</v>
      </c>
      <c r="I13" s="583" t="s">
        <v>18</v>
      </c>
      <c r="J13" s="273" t="s">
        <v>680</v>
      </c>
      <c r="K13" s="127" t="s">
        <v>26</v>
      </c>
      <c r="L13" s="358"/>
    </row>
    <row r="14" spans="1:19" ht="15" customHeight="1" x14ac:dyDescent="0.15">
      <c r="A14" s="250" t="s">
        <v>647</v>
      </c>
      <c r="B14" s="251" t="s">
        <v>662</v>
      </c>
      <c r="C14" s="3">
        <v>12</v>
      </c>
      <c r="D14" s="2">
        <v>750</v>
      </c>
      <c r="E14" s="392">
        <v>89</v>
      </c>
      <c r="F14" s="393"/>
      <c r="G14" s="580">
        <v>133</v>
      </c>
      <c r="H14" s="151">
        <v>123</v>
      </c>
      <c r="I14" s="581" t="s">
        <v>18</v>
      </c>
      <c r="J14" s="507" t="s">
        <v>568</v>
      </c>
      <c r="K14" s="127"/>
      <c r="L14" s="358" t="s">
        <v>792</v>
      </c>
    </row>
    <row r="15" spans="1:19" s="165" customFormat="1" ht="20" customHeight="1" x14ac:dyDescent="0.25">
      <c r="A15" s="77" t="s">
        <v>8</v>
      </c>
      <c r="B15" s="78"/>
      <c r="C15" s="4"/>
      <c r="D15" s="5"/>
      <c r="E15" s="396"/>
      <c r="F15" s="397"/>
      <c r="G15" s="584"/>
      <c r="H15" s="186"/>
      <c r="I15" s="585"/>
      <c r="J15" s="508"/>
      <c r="K15" s="128"/>
      <c r="L15" s="368"/>
    </row>
    <row r="16" spans="1:19" s="166" customFormat="1" ht="17" customHeight="1" x14ac:dyDescent="0.15">
      <c r="A16" s="769" t="s">
        <v>418</v>
      </c>
      <c r="B16" s="229" t="s">
        <v>936</v>
      </c>
      <c r="C16" s="230">
        <v>12</v>
      </c>
      <c r="D16" s="231">
        <v>500</v>
      </c>
      <c r="E16" s="398"/>
      <c r="F16" s="399"/>
      <c r="G16" s="586">
        <v>204</v>
      </c>
      <c r="H16" s="775"/>
      <c r="I16" s="587"/>
      <c r="J16" s="770" t="s">
        <v>937</v>
      </c>
      <c r="K16" s="233"/>
      <c r="L16" s="360"/>
      <c r="M16" s="232"/>
      <c r="N16" s="232"/>
    </row>
    <row r="17" spans="1:14" s="166" customFormat="1" ht="16" customHeight="1" x14ac:dyDescent="0.15">
      <c r="A17" s="796" t="s">
        <v>385</v>
      </c>
      <c r="B17" s="234" t="s">
        <v>584</v>
      </c>
      <c r="C17" s="3">
        <v>12</v>
      </c>
      <c r="D17" s="2">
        <v>750</v>
      </c>
      <c r="E17" s="400">
        <v>70</v>
      </c>
      <c r="F17" s="403"/>
      <c r="G17" s="580">
        <v>102</v>
      </c>
      <c r="H17" s="151">
        <v>96</v>
      </c>
      <c r="I17" s="581" t="s">
        <v>561</v>
      </c>
      <c r="J17" s="797"/>
      <c r="K17" s="129"/>
      <c r="L17" s="361"/>
      <c r="M17" s="235"/>
      <c r="N17" s="235"/>
    </row>
    <row r="18" spans="1:14" s="168" customFormat="1" ht="20" customHeight="1" x14ac:dyDescent="0.15">
      <c r="A18" s="782" t="s">
        <v>204</v>
      </c>
      <c r="B18" s="81" t="s">
        <v>205</v>
      </c>
      <c r="C18" s="3">
        <v>12</v>
      </c>
      <c r="D18" s="2">
        <v>750</v>
      </c>
      <c r="E18" s="402"/>
      <c r="F18" s="403"/>
      <c r="G18" s="580">
        <v>178</v>
      </c>
      <c r="H18" s="151">
        <v>170</v>
      </c>
      <c r="I18" s="588" t="s">
        <v>521</v>
      </c>
      <c r="J18" s="798"/>
      <c r="K18" s="127" t="s">
        <v>661</v>
      </c>
      <c r="L18" s="359"/>
    </row>
    <row r="19" spans="1:14" s="168" customFormat="1" ht="19" customHeight="1" x14ac:dyDescent="0.15">
      <c r="A19" s="782" t="s">
        <v>725</v>
      </c>
      <c r="B19" s="81" t="s">
        <v>726</v>
      </c>
      <c r="C19" s="3">
        <v>12</v>
      </c>
      <c r="D19" s="2">
        <v>750</v>
      </c>
      <c r="E19" s="404">
        <v>136</v>
      </c>
      <c r="F19" s="405"/>
      <c r="G19" s="580">
        <v>178</v>
      </c>
      <c r="H19" s="151">
        <v>170</v>
      </c>
      <c r="I19" s="588" t="s">
        <v>521</v>
      </c>
      <c r="J19" s="799"/>
      <c r="K19" s="127"/>
      <c r="L19" s="358" t="s">
        <v>793</v>
      </c>
    </row>
    <row r="20" spans="1:14" s="168" customFormat="1" ht="16" customHeight="1" x14ac:dyDescent="0.15">
      <c r="A20" s="80" t="s">
        <v>562</v>
      </c>
      <c r="B20" s="81" t="s">
        <v>572</v>
      </c>
      <c r="C20" s="3">
        <v>12</v>
      </c>
      <c r="D20" s="2">
        <v>750</v>
      </c>
      <c r="E20" s="402"/>
      <c r="F20" s="403"/>
      <c r="G20" s="580">
        <v>199</v>
      </c>
      <c r="H20" s="151">
        <v>193</v>
      </c>
      <c r="I20" s="588" t="s">
        <v>521</v>
      </c>
      <c r="J20" s="512"/>
      <c r="K20" s="127" t="s">
        <v>668</v>
      </c>
      <c r="L20" s="359"/>
    </row>
    <row r="21" spans="1:14" s="168" customFormat="1" ht="15" customHeight="1" x14ac:dyDescent="0.15">
      <c r="A21" s="244" t="s">
        <v>727</v>
      </c>
      <c r="B21" s="81" t="s">
        <v>728</v>
      </c>
      <c r="C21" s="3">
        <v>12</v>
      </c>
      <c r="D21" s="2">
        <v>750</v>
      </c>
      <c r="E21" s="404">
        <v>157</v>
      </c>
      <c r="F21" s="405"/>
      <c r="G21" s="580">
        <v>199</v>
      </c>
      <c r="H21" s="151">
        <v>195</v>
      </c>
      <c r="I21" s="588" t="s">
        <v>521</v>
      </c>
      <c r="J21" s="511" t="s">
        <v>554</v>
      </c>
      <c r="K21" s="127"/>
      <c r="L21" s="358" t="s">
        <v>793</v>
      </c>
    </row>
    <row r="22" spans="1:14" ht="22" customHeight="1" x14ac:dyDescent="0.15">
      <c r="A22" s="82" t="s">
        <v>218</v>
      </c>
      <c r="B22" s="83" t="s">
        <v>219</v>
      </c>
      <c r="C22" s="1">
        <v>12</v>
      </c>
      <c r="D22" s="2">
        <v>750</v>
      </c>
      <c r="E22" s="402"/>
      <c r="F22" s="403"/>
      <c r="G22" s="580">
        <v>393</v>
      </c>
      <c r="H22" s="151">
        <v>384</v>
      </c>
      <c r="I22" s="581" t="s">
        <v>943</v>
      </c>
      <c r="J22" s="514" t="s">
        <v>944</v>
      </c>
      <c r="K22" s="307" t="s">
        <v>498</v>
      </c>
      <c r="L22" s="358"/>
    </row>
    <row r="23" spans="1:14" ht="22" customHeight="1" x14ac:dyDescent="0.15">
      <c r="A23" s="80" t="s">
        <v>704</v>
      </c>
      <c r="B23" s="149" t="s">
        <v>705</v>
      </c>
      <c r="C23" s="3">
        <v>12</v>
      </c>
      <c r="D23" s="2">
        <v>750</v>
      </c>
      <c r="E23" s="404">
        <v>348</v>
      </c>
      <c r="F23" s="405"/>
      <c r="G23" s="580">
        <v>393</v>
      </c>
      <c r="H23" s="151">
        <v>384</v>
      </c>
      <c r="I23" s="581" t="s">
        <v>841</v>
      </c>
      <c r="J23" s="513"/>
      <c r="K23" s="132" t="s">
        <v>789</v>
      </c>
      <c r="L23" s="358" t="s">
        <v>793</v>
      </c>
      <c r="M23"/>
      <c r="N23"/>
    </row>
    <row r="24" spans="1:14" s="169" customFormat="1" ht="21" customHeight="1" x14ac:dyDescent="0.15">
      <c r="A24" s="284" t="s">
        <v>220</v>
      </c>
      <c r="B24" s="285" t="s">
        <v>221</v>
      </c>
      <c r="C24" s="286">
        <v>6</v>
      </c>
      <c r="D24" s="287">
        <v>375</v>
      </c>
      <c r="E24" s="406"/>
      <c r="F24" s="407"/>
      <c r="G24" s="582">
        <v>106</v>
      </c>
      <c r="H24" s="288">
        <v>99</v>
      </c>
      <c r="I24" s="583" t="s">
        <v>21</v>
      </c>
      <c r="J24" s="273" t="s">
        <v>556</v>
      </c>
      <c r="K24" s="308" t="s">
        <v>499</v>
      </c>
      <c r="L24" s="358"/>
    </row>
    <row r="25" spans="1:14" s="169" customFormat="1" ht="21" customHeight="1" x14ac:dyDescent="0.15">
      <c r="A25" s="257" t="s">
        <v>706</v>
      </c>
      <c r="B25" s="148" t="s">
        <v>707</v>
      </c>
      <c r="C25" s="10">
        <v>6</v>
      </c>
      <c r="D25" s="9">
        <v>375</v>
      </c>
      <c r="E25" s="408">
        <v>83</v>
      </c>
      <c r="F25" s="409"/>
      <c r="G25" s="590">
        <v>106</v>
      </c>
      <c r="H25" s="187">
        <v>103</v>
      </c>
      <c r="I25" s="595" t="s">
        <v>841</v>
      </c>
      <c r="J25" s="514" t="s">
        <v>708</v>
      </c>
      <c r="K25" s="132" t="s">
        <v>789</v>
      </c>
      <c r="L25" s="358" t="s">
        <v>793</v>
      </c>
    </row>
    <row r="26" spans="1:14" s="168" customFormat="1" ht="20" customHeight="1" x14ac:dyDescent="0.15">
      <c r="A26" s="244" t="s">
        <v>104</v>
      </c>
      <c r="B26" s="81" t="s">
        <v>125</v>
      </c>
      <c r="C26" s="3">
        <v>12</v>
      </c>
      <c r="D26" s="2">
        <v>750</v>
      </c>
      <c r="E26" s="402"/>
      <c r="F26" s="403"/>
      <c r="G26" s="656">
        <v>544</v>
      </c>
      <c r="H26" s="387">
        <v>541</v>
      </c>
      <c r="I26" s="581" t="s">
        <v>19</v>
      </c>
      <c r="J26" s="515" t="s">
        <v>519</v>
      </c>
      <c r="K26" s="131" t="s">
        <v>437</v>
      </c>
      <c r="L26" s="359"/>
    </row>
    <row r="27" spans="1:14" ht="26" customHeight="1" x14ac:dyDescent="0.15">
      <c r="A27" s="244"/>
      <c r="B27" s="661" t="s">
        <v>816</v>
      </c>
      <c r="C27" s="3">
        <v>12</v>
      </c>
      <c r="D27" s="2">
        <v>750</v>
      </c>
      <c r="E27" s="400">
        <v>495</v>
      </c>
      <c r="F27" s="403"/>
      <c r="G27" s="657">
        <v>585</v>
      </c>
      <c r="H27" s="710"/>
      <c r="I27" s="589"/>
      <c r="J27" s="273" t="s">
        <v>834</v>
      </c>
      <c r="K27" s="131" t="s">
        <v>437</v>
      </c>
      <c r="L27" s="358"/>
    </row>
    <row r="28" spans="1:14" ht="25" customHeight="1" x14ac:dyDescent="0.15">
      <c r="A28" s="243" t="s">
        <v>78</v>
      </c>
      <c r="B28" s="83" t="s">
        <v>520</v>
      </c>
      <c r="C28" s="1">
        <v>12</v>
      </c>
      <c r="D28" s="2">
        <v>750</v>
      </c>
      <c r="E28" s="402"/>
      <c r="F28" s="403"/>
      <c r="G28" s="656">
        <v>544</v>
      </c>
      <c r="H28" s="387">
        <v>541</v>
      </c>
      <c r="I28" s="581" t="s">
        <v>19</v>
      </c>
      <c r="J28" s="516" t="s">
        <v>519</v>
      </c>
      <c r="K28" s="855" t="s">
        <v>814</v>
      </c>
      <c r="L28" s="358"/>
    </row>
    <row r="29" spans="1:14" ht="26" customHeight="1" x14ac:dyDescent="0.15">
      <c r="A29" s="244"/>
      <c r="B29" s="661" t="s">
        <v>817</v>
      </c>
      <c r="C29" s="3">
        <v>12</v>
      </c>
      <c r="D29" s="2">
        <v>750</v>
      </c>
      <c r="E29" s="400">
        <v>495</v>
      </c>
      <c r="F29" s="403"/>
      <c r="G29" s="657">
        <v>585</v>
      </c>
      <c r="H29" s="710"/>
      <c r="I29" s="589"/>
      <c r="J29" s="273" t="s">
        <v>834</v>
      </c>
      <c r="K29" s="855" t="s">
        <v>814</v>
      </c>
      <c r="L29" s="358"/>
    </row>
    <row r="30" spans="1:14" s="168" customFormat="1" ht="14.25" customHeight="1" x14ac:dyDescent="0.15">
      <c r="A30" s="244" t="s">
        <v>222</v>
      </c>
      <c r="B30" s="81" t="s">
        <v>409</v>
      </c>
      <c r="C30" s="3">
        <v>12</v>
      </c>
      <c r="D30" s="2">
        <v>750</v>
      </c>
      <c r="E30" s="402"/>
      <c r="F30" s="403"/>
      <c r="G30" s="151">
        <v>575</v>
      </c>
      <c r="H30" s="151">
        <v>555</v>
      </c>
      <c r="I30" s="784" t="s">
        <v>521</v>
      </c>
      <c r="J30" s="514" t="s">
        <v>945</v>
      </c>
      <c r="K30" s="131" t="s">
        <v>434</v>
      </c>
      <c r="L30" s="359"/>
    </row>
    <row r="31" spans="1:14" s="168" customFormat="1" ht="14.25" customHeight="1" x14ac:dyDescent="0.15">
      <c r="A31" s="244" t="s">
        <v>709</v>
      </c>
      <c r="B31" s="149" t="s">
        <v>710</v>
      </c>
      <c r="C31" s="3">
        <v>12</v>
      </c>
      <c r="D31" s="2">
        <v>750</v>
      </c>
      <c r="E31" s="404">
        <v>465</v>
      </c>
      <c r="F31" s="405"/>
      <c r="G31" s="580">
        <v>575</v>
      </c>
      <c r="H31" s="151">
        <v>555</v>
      </c>
      <c r="I31" s="581" t="s">
        <v>521</v>
      </c>
      <c r="J31" s="514" t="s">
        <v>708</v>
      </c>
      <c r="K31" s="131" t="s">
        <v>788</v>
      </c>
      <c r="L31" s="358" t="s">
        <v>793</v>
      </c>
    </row>
    <row r="32" spans="1:14" s="170" customFormat="1" ht="14.25" customHeight="1" x14ac:dyDescent="0.15">
      <c r="A32" s="86" t="s">
        <v>223</v>
      </c>
      <c r="B32" s="87" t="s">
        <v>410</v>
      </c>
      <c r="C32" s="10">
        <v>3</v>
      </c>
      <c r="D32" s="9">
        <v>1500</v>
      </c>
      <c r="E32" s="410"/>
      <c r="F32" s="411"/>
      <c r="G32" s="590">
        <v>297</v>
      </c>
      <c r="H32" s="152"/>
      <c r="I32" s="589"/>
      <c r="J32" s="517"/>
      <c r="K32" s="132" t="s">
        <v>434</v>
      </c>
      <c r="L32" s="359"/>
    </row>
    <row r="33" spans="1:12" s="170" customFormat="1" ht="14.25" customHeight="1" x14ac:dyDescent="0.15">
      <c r="A33" s="86" t="s">
        <v>711</v>
      </c>
      <c r="B33" s="148" t="s">
        <v>712</v>
      </c>
      <c r="C33" s="10">
        <v>3</v>
      </c>
      <c r="D33" s="9">
        <v>1500</v>
      </c>
      <c r="E33" s="412">
        <v>279</v>
      </c>
      <c r="F33" s="411"/>
      <c r="G33" s="590">
        <v>325</v>
      </c>
      <c r="H33" s="152"/>
      <c r="I33" s="589"/>
      <c r="J33" s="518" t="s">
        <v>713</v>
      </c>
      <c r="K33" s="132" t="s">
        <v>788</v>
      </c>
      <c r="L33" s="359"/>
    </row>
    <row r="34" spans="1:12" s="170" customFormat="1" ht="14.25" customHeight="1" x14ac:dyDescent="0.15">
      <c r="A34" s="289" t="s">
        <v>224</v>
      </c>
      <c r="B34" s="300" t="s">
        <v>786</v>
      </c>
      <c r="C34" s="334">
        <v>1</v>
      </c>
      <c r="D34" s="287">
        <v>3000</v>
      </c>
      <c r="E34" s="413"/>
      <c r="F34" s="414"/>
      <c r="G34" s="592">
        <v>243</v>
      </c>
      <c r="H34" s="333" t="s">
        <v>776</v>
      </c>
      <c r="I34" s="593"/>
      <c r="J34" s="519" t="s">
        <v>649</v>
      </c>
      <c r="K34" s="132" t="s">
        <v>434</v>
      </c>
      <c r="L34" s="359"/>
    </row>
    <row r="35" spans="1:12" s="170" customFormat="1" ht="14.25" customHeight="1" x14ac:dyDescent="0.15">
      <c r="A35" s="86" t="s">
        <v>714</v>
      </c>
      <c r="B35" s="148" t="s">
        <v>715</v>
      </c>
      <c r="C35" s="10">
        <v>1</v>
      </c>
      <c r="D35" s="9">
        <v>3000</v>
      </c>
      <c r="E35" s="412">
        <v>221</v>
      </c>
      <c r="F35" s="411"/>
      <c r="G35" s="590">
        <v>260</v>
      </c>
      <c r="H35" s="188"/>
      <c r="I35" s="589"/>
      <c r="J35" s="518" t="s">
        <v>713</v>
      </c>
      <c r="K35" s="132" t="s">
        <v>788</v>
      </c>
      <c r="L35" s="359"/>
    </row>
    <row r="36" spans="1:12" s="170" customFormat="1" ht="14.25" customHeight="1" x14ac:dyDescent="0.15">
      <c r="A36" s="289" t="s">
        <v>225</v>
      </c>
      <c r="B36" s="300" t="s">
        <v>729</v>
      </c>
      <c r="C36" s="301">
        <v>1</v>
      </c>
      <c r="D36" s="287">
        <v>5000</v>
      </c>
      <c r="E36" s="406"/>
      <c r="F36" s="407"/>
      <c r="G36" s="582">
        <v>394</v>
      </c>
      <c r="H36" s="152"/>
      <c r="I36" s="589"/>
      <c r="J36" s="273" t="s">
        <v>649</v>
      </c>
      <c r="K36" s="132" t="s">
        <v>434</v>
      </c>
      <c r="L36" s="359"/>
    </row>
    <row r="37" spans="1:12" s="170" customFormat="1" ht="14.25" customHeight="1" x14ac:dyDescent="0.15">
      <c r="A37" s="86" t="s">
        <v>716</v>
      </c>
      <c r="B37" s="148" t="s">
        <v>717</v>
      </c>
      <c r="C37" s="10">
        <v>1</v>
      </c>
      <c r="D37" s="9">
        <v>5000</v>
      </c>
      <c r="E37" s="658">
        <v>361</v>
      </c>
      <c r="F37" s="711"/>
      <c r="G37" s="590">
        <v>425</v>
      </c>
      <c r="H37" s="188"/>
      <c r="I37" s="594"/>
      <c r="J37" s="518" t="s">
        <v>713</v>
      </c>
      <c r="K37" s="132" t="s">
        <v>788</v>
      </c>
      <c r="L37" s="359"/>
    </row>
    <row r="38" spans="1:12" s="170" customFormat="1" ht="14.25" customHeight="1" x14ac:dyDescent="0.15">
      <c r="A38" s="239" t="s">
        <v>351</v>
      </c>
      <c r="B38" s="87" t="s">
        <v>481</v>
      </c>
      <c r="C38" s="240">
        <v>6</v>
      </c>
      <c r="D38" s="49">
        <v>750</v>
      </c>
      <c r="E38" s="402"/>
      <c r="F38" s="403"/>
      <c r="G38" s="580">
        <v>620</v>
      </c>
      <c r="H38" s="152"/>
      <c r="I38" s="589"/>
      <c r="J38" s="273"/>
      <c r="K38" s="131" t="s">
        <v>435</v>
      </c>
      <c r="L38" s="359"/>
    </row>
    <row r="39" spans="1:12" s="170" customFormat="1" ht="14.25" customHeight="1" x14ac:dyDescent="0.15">
      <c r="A39" s="239" t="s">
        <v>718</v>
      </c>
      <c r="B39" s="87" t="s">
        <v>719</v>
      </c>
      <c r="C39" s="240">
        <v>6</v>
      </c>
      <c r="D39" s="49">
        <v>750</v>
      </c>
      <c r="E39" s="404">
        <v>550</v>
      </c>
      <c r="F39" s="405"/>
      <c r="G39" s="580">
        <v>645</v>
      </c>
      <c r="H39" s="152"/>
      <c r="I39" s="589"/>
      <c r="J39" s="518" t="s">
        <v>713</v>
      </c>
      <c r="K39" s="131" t="s">
        <v>790</v>
      </c>
      <c r="L39" s="358" t="s">
        <v>793</v>
      </c>
    </row>
    <row r="40" spans="1:12" s="170" customFormat="1" ht="14.25" customHeight="1" x14ac:dyDescent="0.15">
      <c r="A40" s="86" t="s">
        <v>226</v>
      </c>
      <c r="B40" s="87" t="s">
        <v>482</v>
      </c>
      <c r="C40" s="10">
        <v>1</v>
      </c>
      <c r="D40" s="9">
        <v>1500</v>
      </c>
      <c r="E40" s="410"/>
      <c r="F40" s="411"/>
      <c r="G40" s="590">
        <v>228</v>
      </c>
      <c r="H40" s="152"/>
      <c r="I40" s="589"/>
      <c r="J40" s="521"/>
      <c r="K40" s="132" t="s">
        <v>435</v>
      </c>
      <c r="L40" s="359"/>
    </row>
    <row r="41" spans="1:12" s="170" customFormat="1" ht="14.25" customHeight="1" x14ac:dyDescent="0.15">
      <c r="A41" s="86" t="s">
        <v>720</v>
      </c>
      <c r="B41" s="87" t="s">
        <v>721</v>
      </c>
      <c r="C41" s="10">
        <v>1</v>
      </c>
      <c r="D41" s="9">
        <v>1500</v>
      </c>
      <c r="E41" s="412">
        <v>192</v>
      </c>
      <c r="F41" s="411"/>
      <c r="G41" s="590">
        <v>235</v>
      </c>
      <c r="H41" s="152"/>
      <c r="I41" s="589"/>
      <c r="J41" s="510" t="s">
        <v>713</v>
      </c>
      <c r="K41" s="132" t="s">
        <v>790</v>
      </c>
      <c r="L41" s="359"/>
    </row>
    <row r="42" spans="1:12" s="170" customFormat="1" ht="17" customHeight="1" x14ac:dyDescent="0.15">
      <c r="A42" s="239" t="s">
        <v>687</v>
      </c>
      <c r="B42" s="317" t="s">
        <v>689</v>
      </c>
      <c r="C42" s="318">
        <v>6</v>
      </c>
      <c r="D42" s="319">
        <v>750</v>
      </c>
      <c r="E42" s="712">
        <v>58</v>
      </c>
      <c r="F42" s="411"/>
      <c r="G42" s="713">
        <v>79</v>
      </c>
      <c r="H42" s="719">
        <v>76</v>
      </c>
      <c r="I42" s="595" t="s">
        <v>21</v>
      </c>
      <c r="J42" s="522" t="s">
        <v>890</v>
      </c>
      <c r="K42" s="132"/>
      <c r="L42" s="359"/>
    </row>
    <row r="43" spans="1:12" s="171" customFormat="1" ht="17" customHeight="1" x14ac:dyDescent="0.15">
      <c r="A43" s="320" t="s">
        <v>688</v>
      </c>
      <c r="B43" s="321" t="s">
        <v>690</v>
      </c>
      <c r="C43" s="322">
        <v>12</v>
      </c>
      <c r="D43" s="323">
        <v>750</v>
      </c>
      <c r="E43" s="400">
        <v>108</v>
      </c>
      <c r="F43" s="403"/>
      <c r="G43" s="580">
        <v>147</v>
      </c>
      <c r="H43" s="151">
        <v>138</v>
      </c>
      <c r="I43" s="581" t="s">
        <v>18</v>
      </c>
      <c r="J43" s="522" t="s">
        <v>889</v>
      </c>
      <c r="K43" s="129"/>
      <c r="L43" s="358"/>
    </row>
    <row r="44" spans="1:12" s="163" customFormat="1" ht="20" customHeight="1" x14ac:dyDescent="0.2">
      <c r="A44" s="88" t="s">
        <v>216</v>
      </c>
      <c r="B44" s="89"/>
      <c r="C44" s="11"/>
      <c r="D44" s="12"/>
      <c r="E44" s="415"/>
      <c r="F44" s="416"/>
      <c r="G44" s="596"/>
      <c r="H44" s="189"/>
      <c r="I44" s="597"/>
      <c r="J44" s="523"/>
      <c r="K44" s="133"/>
      <c r="L44" s="370"/>
    </row>
    <row r="45" spans="1:12" ht="14.25" customHeight="1" x14ac:dyDescent="0.15">
      <c r="A45" s="785" t="s">
        <v>386</v>
      </c>
      <c r="B45" s="91" t="s">
        <v>470</v>
      </c>
      <c r="C45" s="13">
        <v>12</v>
      </c>
      <c r="D45" s="14">
        <v>70</v>
      </c>
      <c r="E45" s="714">
        <v>50</v>
      </c>
      <c r="F45" s="715"/>
      <c r="G45" s="598">
        <v>80</v>
      </c>
      <c r="H45" s="151">
        <v>75</v>
      </c>
      <c r="I45" s="599" t="s">
        <v>18</v>
      </c>
      <c r="J45" s="793"/>
      <c r="K45" s="134" t="s">
        <v>115</v>
      </c>
      <c r="L45" s="358" t="s">
        <v>796</v>
      </c>
    </row>
    <row r="46" spans="1:12" s="171" customFormat="1" ht="14.25" customHeight="1" x14ac:dyDescent="0.15">
      <c r="A46" s="785" t="s">
        <v>387</v>
      </c>
      <c r="B46" s="91" t="s">
        <v>388</v>
      </c>
      <c r="C46" s="13">
        <v>12</v>
      </c>
      <c r="D46" s="14">
        <v>750</v>
      </c>
      <c r="E46" s="714">
        <v>50</v>
      </c>
      <c r="F46" s="715"/>
      <c r="G46" s="598">
        <v>80</v>
      </c>
      <c r="H46" s="151">
        <v>75</v>
      </c>
      <c r="I46" s="599" t="s">
        <v>18</v>
      </c>
      <c r="J46" s="794"/>
      <c r="K46" s="259"/>
      <c r="L46" s="358" t="s">
        <v>796</v>
      </c>
    </row>
    <row r="47" spans="1:12" s="282" customFormat="1" ht="14.25" customHeight="1" x14ac:dyDescent="0.15">
      <c r="A47" s="790" t="s">
        <v>170</v>
      </c>
      <c r="B47" s="294" t="s">
        <v>691</v>
      </c>
      <c r="C47" s="295">
        <v>12</v>
      </c>
      <c r="D47" s="296">
        <v>750</v>
      </c>
      <c r="E47" s="419"/>
      <c r="F47" s="716"/>
      <c r="G47" s="600">
        <v>75</v>
      </c>
      <c r="H47" s="288">
        <v>70</v>
      </c>
      <c r="I47" s="601" t="s">
        <v>18</v>
      </c>
      <c r="J47" s="273" t="s">
        <v>649</v>
      </c>
      <c r="K47" s="856" t="s">
        <v>41</v>
      </c>
      <c r="L47" s="358" t="s">
        <v>796</v>
      </c>
    </row>
    <row r="48" spans="1:12" s="171" customFormat="1" ht="14.25" customHeight="1" x14ac:dyDescent="0.15">
      <c r="A48" s="785" t="s">
        <v>389</v>
      </c>
      <c r="B48" s="91" t="s">
        <v>390</v>
      </c>
      <c r="C48" s="13">
        <v>12</v>
      </c>
      <c r="D48" s="14">
        <v>750</v>
      </c>
      <c r="E48" s="714">
        <v>50</v>
      </c>
      <c r="F48" s="715"/>
      <c r="G48" s="598">
        <v>80</v>
      </c>
      <c r="H48" s="151">
        <v>75</v>
      </c>
      <c r="I48" s="599" t="s">
        <v>18</v>
      </c>
      <c r="J48" s="794"/>
      <c r="K48" s="134" t="s">
        <v>361</v>
      </c>
      <c r="L48" s="358" t="s">
        <v>796</v>
      </c>
    </row>
    <row r="49" spans="1:14" s="171" customFormat="1" ht="14.25" customHeight="1" x14ac:dyDescent="0.15">
      <c r="A49" s="242" t="s">
        <v>171</v>
      </c>
      <c r="B49" s="91" t="s">
        <v>359</v>
      </c>
      <c r="C49" s="13">
        <v>12</v>
      </c>
      <c r="D49" s="14">
        <v>750</v>
      </c>
      <c r="E49" s="714">
        <v>50</v>
      </c>
      <c r="F49" s="715"/>
      <c r="G49" s="598">
        <v>80</v>
      </c>
      <c r="H49" s="151">
        <v>75</v>
      </c>
      <c r="I49" s="599" t="s">
        <v>18</v>
      </c>
      <c r="J49" s="525" t="s">
        <v>554</v>
      </c>
      <c r="K49" s="134"/>
      <c r="L49" s="358" t="s">
        <v>796</v>
      </c>
    </row>
    <row r="50" spans="1:14" ht="14.25" customHeight="1" x14ac:dyDescent="0.15">
      <c r="A50" s="242" t="s">
        <v>391</v>
      </c>
      <c r="B50" s="91" t="s">
        <v>471</v>
      </c>
      <c r="C50" s="13">
        <v>12</v>
      </c>
      <c r="D50" s="14">
        <v>750</v>
      </c>
      <c r="E50" s="714">
        <v>50</v>
      </c>
      <c r="F50" s="715"/>
      <c r="G50" s="598">
        <v>80</v>
      </c>
      <c r="H50" s="151">
        <v>75</v>
      </c>
      <c r="I50" s="599" t="s">
        <v>18</v>
      </c>
      <c r="J50" s="526" t="s">
        <v>555</v>
      </c>
      <c r="K50" s="134"/>
      <c r="L50" s="358" t="s">
        <v>796</v>
      </c>
    </row>
    <row r="51" spans="1:14" ht="14.25" customHeight="1" x14ac:dyDescent="0.15">
      <c r="A51" s="92" t="s">
        <v>173</v>
      </c>
      <c r="B51" s="93" t="s">
        <v>472</v>
      </c>
      <c r="C51" s="13">
        <v>12</v>
      </c>
      <c r="D51" s="14">
        <v>750</v>
      </c>
      <c r="E51" s="421"/>
      <c r="F51" s="717"/>
      <c r="G51" s="598">
        <v>75</v>
      </c>
      <c r="H51" s="151">
        <v>70</v>
      </c>
      <c r="I51" s="599" t="s">
        <v>18</v>
      </c>
      <c r="J51" s="527" t="s">
        <v>505</v>
      </c>
      <c r="K51" s="134"/>
      <c r="L51" s="358" t="s">
        <v>796</v>
      </c>
    </row>
    <row r="52" spans="1:14" s="171" customFormat="1" ht="14.25" customHeight="1" x14ac:dyDescent="0.15">
      <c r="A52" s="246" t="s">
        <v>502</v>
      </c>
      <c r="B52" s="93" t="s">
        <v>503</v>
      </c>
      <c r="C52" s="13">
        <v>12</v>
      </c>
      <c r="D52" s="14">
        <v>750</v>
      </c>
      <c r="E52" s="714">
        <v>50</v>
      </c>
      <c r="F52" s="715"/>
      <c r="G52" s="598">
        <v>80</v>
      </c>
      <c r="H52" s="151">
        <v>75</v>
      </c>
      <c r="I52" s="599" t="s">
        <v>18</v>
      </c>
      <c r="J52" s="516" t="s">
        <v>579</v>
      </c>
      <c r="K52" s="135"/>
      <c r="L52" s="358" t="s">
        <v>796</v>
      </c>
    </row>
    <row r="53" spans="1:14" s="165" customFormat="1" ht="20" customHeight="1" x14ac:dyDescent="0.25">
      <c r="A53" s="94" t="s">
        <v>23</v>
      </c>
      <c r="B53" s="95"/>
      <c r="C53" s="15"/>
      <c r="D53" s="16"/>
      <c r="E53" s="423"/>
      <c r="F53" s="424"/>
      <c r="G53" s="602"/>
      <c r="H53" s="190"/>
      <c r="I53" s="585"/>
      <c r="J53" s="508"/>
      <c r="K53" s="128"/>
      <c r="L53" s="368"/>
    </row>
    <row r="54" spans="1:14" s="168" customFormat="1" ht="14.25" customHeight="1" x14ac:dyDescent="0.15">
      <c r="A54" s="247" t="s">
        <v>423</v>
      </c>
      <c r="B54" s="85" t="s">
        <v>422</v>
      </c>
      <c r="C54" s="17">
        <v>1</v>
      </c>
      <c r="D54" s="18">
        <v>1500</v>
      </c>
      <c r="E54" s="425">
        <v>118</v>
      </c>
      <c r="F54" s="426"/>
      <c r="G54" s="590">
        <v>145</v>
      </c>
      <c r="H54" s="152"/>
      <c r="I54" s="589"/>
      <c r="J54" s="524" t="s">
        <v>555</v>
      </c>
      <c r="K54" s="179" t="s">
        <v>368</v>
      </c>
      <c r="L54" s="371" t="s">
        <v>571</v>
      </c>
      <c r="M54" s="262"/>
      <c r="N54" s="262"/>
    </row>
    <row r="55" spans="1:14" s="168" customFormat="1" ht="14.25" customHeight="1" x14ac:dyDescent="0.15">
      <c r="A55" s="284" t="s">
        <v>392</v>
      </c>
      <c r="B55" s="372" t="s">
        <v>794</v>
      </c>
      <c r="C55" s="291">
        <v>6</v>
      </c>
      <c r="D55" s="338">
        <v>750</v>
      </c>
      <c r="E55" s="406"/>
      <c r="F55" s="407"/>
      <c r="G55" s="582">
        <v>231</v>
      </c>
      <c r="H55" s="288">
        <v>221</v>
      </c>
      <c r="I55" s="583" t="s">
        <v>20</v>
      </c>
      <c r="J55" s="528" t="s">
        <v>649</v>
      </c>
      <c r="K55" s="179" t="s">
        <v>368</v>
      </c>
      <c r="L55" s="371"/>
      <c r="M55" s="262"/>
      <c r="N55" s="262"/>
    </row>
    <row r="56" spans="1:14" s="168" customFormat="1" ht="14.25" customHeight="1" x14ac:dyDescent="0.15">
      <c r="A56" s="96" t="s">
        <v>637</v>
      </c>
      <c r="B56" s="83" t="s">
        <v>638</v>
      </c>
      <c r="C56" s="19">
        <v>6</v>
      </c>
      <c r="D56" s="20">
        <v>750</v>
      </c>
      <c r="E56" s="427">
        <v>201</v>
      </c>
      <c r="F56" s="428"/>
      <c r="G56" s="580">
        <v>231</v>
      </c>
      <c r="H56" s="151">
        <v>226</v>
      </c>
      <c r="I56" s="581" t="s">
        <v>20</v>
      </c>
      <c r="J56" s="524" t="s">
        <v>515</v>
      </c>
      <c r="K56" s="179" t="s">
        <v>368</v>
      </c>
      <c r="L56" s="371" t="s">
        <v>571</v>
      </c>
      <c r="M56" s="262"/>
      <c r="N56" s="262"/>
    </row>
    <row r="57" spans="1:14" s="168" customFormat="1" ht="14.25" customHeight="1" x14ac:dyDescent="0.15">
      <c r="A57" s="96" t="s">
        <v>189</v>
      </c>
      <c r="B57" s="83" t="s">
        <v>636</v>
      </c>
      <c r="C57" s="6">
        <v>12</v>
      </c>
      <c r="D57" s="7">
        <v>750</v>
      </c>
      <c r="E57" s="402"/>
      <c r="F57" s="403"/>
      <c r="G57" s="580">
        <v>140</v>
      </c>
      <c r="H57" s="151">
        <v>130</v>
      </c>
      <c r="I57" s="581" t="s">
        <v>20</v>
      </c>
      <c r="J57" s="529" t="s">
        <v>722</v>
      </c>
      <c r="K57" s="168" t="s">
        <v>95</v>
      </c>
      <c r="L57" s="371"/>
      <c r="M57" s="262"/>
      <c r="N57" s="262"/>
    </row>
    <row r="58" spans="1:14" s="168" customFormat="1" ht="14.25" customHeight="1" x14ac:dyDescent="0.15">
      <c r="A58" s="297" t="s">
        <v>631</v>
      </c>
      <c r="B58" s="83" t="s">
        <v>635</v>
      </c>
      <c r="C58" s="6">
        <v>12</v>
      </c>
      <c r="D58" s="7">
        <v>750</v>
      </c>
      <c r="E58" s="427">
        <v>114</v>
      </c>
      <c r="F58" s="428"/>
      <c r="G58" s="580">
        <v>143</v>
      </c>
      <c r="H58" s="151">
        <v>137</v>
      </c>
      <c r="I58" s="581" t="s">
        <v>20</v>
      </c>
      <c r="J58" s="530" t="s">
        <v>554</v>
      </c>
      <c r="K58" s="168" t="s">
        <v>95</v>
      </c>
      <c r="L58" s="371" t="s">
        <v>571</v>
      </c>
      <c r="M58" s="262"/>
      <c r="N58" s="262"/>
    </row>
    <row r="59" spans="1:14" s="168" customFormat="1" ht="22" customHeight="1" thickBot="1" x14ac:dyDescent="0.2">
      <c r="A59" s="809" t="s">
        <v>971</v>
      </c>
      <c r="B59" s="810"/>
      <c r="C59" s="811"/>
      <c r="D59" s="812"/>
      <c r="E59" s="813"/>
      <c r="F59" s="814"/>
      <c r="G59" s="602"/>
      <c r="H59" s="836"/>
      <c r="I59" s="837"/>
      <c r="J59" s="838"/>
      <c r="K59" s="851"/>
      <c r="L59" s="851"/>
      <c r="M59" s="262"/>
      <c r="N59" s="262"/>
    </row>
    <row r="60" spans="1:14" s="168" customFormat="1" ht="14.25" customHeight="1" x14ac:dyDescent="0.2">
      <c r="A60" s="815"/>
      <c r="B60" s="816" t="s">
        <v>962</v>
      </c>
      <c r="C60" s="817">
        <v>24</v>
      </c>
      <c r="D60" s="818">
        <v>200</v>
      </c>
      <c r="E60" s="819">
        <v>35.840000000000003</v>
      </c>
      <c r="F60" s="820" t="s">
        <v>963</v>
      </c>
      <c r="G60" s="839">
        <v>65.5</v>
      </c>
      <c r="H60" s="840"/>
      <c r="I60" s="841" t="s">
        <v>968</v>
      </c>
      <c r="J60" s="852" t="s">
        <v>970</v>
      </c>
      <c r="L60" s="371"/>
      <c r="M60" s="262"/>
      <c r="N60" s="262"/>
    </row>
    <row r="61" spans="1:14" s="168" customFormat="1" ht="14.25" customHeight="1" x14ac:dyDescent="0.2">
      <c r="A61" s="821"/>
      <c r="B61" s="149" t="s">
        <v>962</v>
      </c>
      <c r="C61" s="228">
        <v>24</v>
      </c>
      <c r="D61" s="7">
        <v>200</v>
      </c>
      <c r="E61" s="822">
        <v>33.46</v>
      </c>
      <c r="F61" s="823" t="s">
        <v>964</v>
      </c>
      <c r="G61" s="842">
        <v>65.5</v>
      </c>
      <c r="H61" s="843">
        <v>61.15</v>
      </c>
      <c r="I61" s="844" t="s">
        <v>969</v>
      </c>
      <c r="J61" s="852" t="s">
        <v>970</v>
      </c>
      <c r="L61" s="371"/>
      <c r="M61" s="262"/>
      <c r="N61" s="262"/>
    </row>
    <row r="62" spans="1:14" s="168" customFormat="1" ht="14.25" customHeight="1" x14ac:dyDescent="0.2">
      <c r="A62" s="821"/>
      <c r="B62" s="149" t="s">
        <v>962</v>
      </c>
      <c r="C62" s="228">
        <v>24</v>
      </c>
      <c r="D62" s="7">
        <v>200</v>
      </c>
      <c r="E62" s="822">
        <v>31.35</v>
      </c>
      <c r="F62" s="823" t="s">
        <v>965</v>
      </c>
      <c r="G62" s="842">
        <v>65.5</v>
      </c>
      <c r="H62" s="843">
        <v>57.3</v>
      </c>
      <c r="I62" s="844" t="s">
        <v>963</v>
      </c>
      <c r="J62" s="852" t="s">
        <v>970</v>
      </c>
      <c r="L62" s="371"/>
      <c r="M62" s="262"/>
      <c r="N62" s="262"/>
    </row>
    <row r="63" spans="1:14" s="168" customFormat="1" ht="14.25" customHeight="1" x14ac:dyDescent="0.2">
      <c r="A63" s="821"/>
      <c r="B63" s="149" t="s">
        <v>962</v>
      </c>
      <c r="C63" s="228">
        <v>24</v>
      </c>
      <c r="D63" s="7">
        <v>200</v>
      </c>
      <c r="E63" s="822">
        <v>30.6</v>
      </c>
      <c r="F63" s="823" t="s">
        <v>966</v>
      </c>
      <c r="G63" s="842">
        <v>65.5</v>
      </c>
      <c r="H63" s="843">
        <v>55.92</v>
      </c>
      <c r="I63" s="844" t="s">
        <v>964</v>
      </c>
      <c r="J63" s="852" t="s">
        <v>970</v>
      </c>
      <c r="L63" s="371"/>
      <c r="M63" s="262"/>
      <c r="N63" s="262"/>
    </row>
    <row r="64" spans="1:14" s="168" customFormat="1" ht="14.25" customHeight="1" x14ac:dyDescent="0.2">
      <c r="A64" s="824"/>
      <c r="B64" s="825" t="s">
        <v>967</v>
      </c>
      <c r="C64" s="826">
        <v>24</v>
      </c>
      <c r="D64" s="827">
        <v>200</v>
      </c>
      <c r="E64" s="828">
        <v>32.72</v>
      </c>
      <c r="F64" s="829" t="s">
        <v>963</v>
      </c>
      <c r="G64" s="845">
        <v>59.08</v>
      </c>
      <c r="H64" s="846"/>
      <c r="I64" s="847" t="s">
        <v>968</v>
      </c>
      <c r="J64" s="852" t="s">
        <v>970</v>
      </c>
      <c r="L64" s="371"/>
      <c r="M64" s="262"/>
      <c r="N64" s="262"/>
    </row>
    <row r="65" spans="1:14" s="168" customFormat="1" ht="14.25" customHeight="1" x14ac:dyDescent="0.2">
      <c r="A65" s="821"/>
      <c r="B65" s="149" t="s">
        <v>967</v>
      </c>
      <c r="C65" s="228">
        <v>24</v>
      </c>
      <c r="D65" s="7">
        <v>200</v>
      </c>
      <c r="E65" s="822">
        <v>30.55</v>
      </c>
      <c r="F65" s="823" t="s">
        <v>964</v>
      </c>
      <c r="G65" s="842">
        <v>59.08</v>
      </c>
      <c r="H65" s="843">
        <v>55.15</v>
      </c>
      <c r="I65" s="844" t="s">
        <v>969</v>
      </c>
      <c r="J65" s="852" t="s">
        <v>970</v>
      </c>
      <c r="L65" s="371"/>
      <c r="M65" s="262"/>
      <c r="N65" s="262"/>
    </row>
    <row r="66" spans="1:14" s="168" customFormat="1" ht="14.25" customHeight="1" x14ac:dyDescent="0.2">
      <c r="A66" s="821"/>
      <c r="B66" s="149" t="s">
        <v>967</v>
      </c>
      <c r="C66" s="228">
        <v>24</v>
      </c>
      <c r="D66" s="7">
        <v>200</v>
      </c>
      <c r="E66" s="822">
        <v>28.63</v>
      </c>
      <c r="F66" s="823" t="s">
        <v>965</v>
      </c>
      <c r="G66" s="842">
        <v>59.08</v>
      </c>
      <c r="H66" s="843">
        <v>51.68</v>
      </c>
      <c r="I66" s="844" t="s">
        <v>963</v>
      </c>
      <c r="J66" s="852" t="s">
        <v>970</v>
      </c>
      <c r="L66" s="371"/>
      <c r="M66" s="262"/>
      <c r="N66" s="262"/>
    </row>
    <row r="67" spans="1:14" s="168" customFormat="1" ht="14.25" customHeight="1" thickBot="1" x14ac:dyDescent="0.25">
      <c r="A67" s="830"/>
      <c r="B67" s="831" t="s">
        <v>967</v>
      </c>
      <c r="C67" s="832">
        <v>24</v>
      </c>
      <c r="D67" s="833">
        <v>200</v>
      </c>
      <c r="E67" s="834">
        <v>27.94</v>
      </c>
      <c r="F67" s="835" t="s">
        <v>966</v>
      </c>
      <c r="G67" s="848">
        <v>59.08</v>
      </c>
      <c r="H67" s="849">
        <v>50.44</v>
      </c>
      <c r="I67" s="850" t="s">
        <v>964</v>
      </c>
      <c r="J67" s="852" t="s">
        <v>970</v>
      </c>
      <c r="L67" s="371"/>
      <c r="M67" s="262"/>
      <c r="N67" s="262"/>
    </row>
    <row r="68" spans="1:14" s="165" customFormat="1" ht="20" customHeight="1" x14ac:dyDescent="0.25">
      <c r="A68" s="94" t="s">
        <v>201</v>
      </c>
      <c r="B68" s="97"/>
      <c r="C68" s="15"/>
      <c r="D68" s="16"/>
      <c r="E68" s="429"/>
      <c r="F68" s="430"/>
      <c r="G68" s="603"/>
      <c r="H68" s="190"/>
      <c r="I68" s="585"/>
      <c r="J68" s="508"/>
      <c r="K68" s="220"/>
      <c r="L68" s="368"/>
    </row>
    <row r="69" spans="1:14" s="166" customFormat="1" ht="14.25" customHeight="1" x14ac:dyDescent="0.15">
      <c r="A69" s="800" t="s">
        <v>627</v>
      </c>
      <c r="B69" s="79" t="s">
        <v>538</v>
      </c>
      <c r="C69" s="3">
        <v>12</v>
      </c>
      <c r="D69" s="2">
        <v>750</v>
      </c>
      <c r="E69" s="431"/>
      <c r="F69" s="432"/>
      <c r="G69" s="580">
        <v>255</v>
      </c>
      <c r="H69" s="191"/>
      <c r="I69" s="604"/>
      <c r="J69" s="801" t="s">
        <v>956</v>
      </c>
      <c r="K69" s="137" t="s">
        <v>500</v>
      </c>
      <c r="L69" s="371" t="s">
        <v>571</v>
      </c>
      <c r="M69" s="263"/>
      <c r="N69" s="263"/>
    </row>
    <row r="70" spans="1:14" s="172" customFormat="1" ht="14.25" customHeight="1" x14ac:dyDescent="0.15">
      <c r="A70" s="257" t="s">
        <v>325</v>
      </c>
      <c r="B70" s="85" t="s">
        <v>539</v>
      </c>
      <c r="C70" s="10">
        <v>1</v>
      </c>
      <c r="D70" s="9">
        <v>3000</v>
      </c>
      <c r="E70" s="463"/>
      <c r="F70" s="718"/>
      <c r="G70" s="590">
        <v>122</v>
      </c>
      <c r="H70" s="192"/>
      <c r="I70" s="605"/>
      <c r="J70" s="525" t="s">
        <v>787</v>
      </c>
      <c r="K70" s="260" t="s">
        <v>500</v>
      </c>
      <c r="L70" s="371" t="s">
        <v>571</v>
      </c>
      <c r="M70" s="262"/>
      <c r="N70" s="262"/>
    </row>
    <row r="71" spans="1:14" s="166" customFormat="1" ht="14.25" customHeight="1" x14ac:dyDescent="0.15">
      <c r="A71" s="800" t="s">
        <v>698</v>
      </c>
      <c r="B71" s="79" t="s">
        <v>699</v>
      </c>
      <c r="C71" s="3">
        <v>12</v>
      </c>
      <c r="D71" s="2">
        <v>750</v>
      </c>
      <c r="E71" s="427">
        <v>205</v>
      </c>
      <c r="F71" s="662" t="s">
        <v>812</v>
      </c>
      <c r="G71" s="580">
        <v>255</v>
      </c>
      <c r="H71" s="191"/>
      <c r="I71" s="604"/>
      <c r="J71" s="801" t="s">
        <v>957</v>
      </c>
      <c r="K71" s="137" t="s">
        <v>26</v>
      </c>
      <c r="L71" s="371" t="s">
        <v>571</v>
      </c>
      <c r="M71" s="263"/>
      <c r="N71" s="263"/>
    </row>
    <row r="72" spans="1:14" s="168" customFormat="1" ht="14.25" customHeight="1" x14ac:dyDescent="0.15">
      <c r="A72" s="256" t="s">
        <v>695</v>
      </c>
      <c r="B72" s="85" t="s">
        <v>692</v>
      </c>
      <c r="C72" s="10">
        <v>3</v>
      </c>
      <c r="D72" s="9">
        <v>1500</v>
      </c>
      <c r="E72" s="425">
        <v>105</v>
      </c>
      <c r="F72" s="426"/>
      <c r="G72" s="590">
        <v>133</v>
      </c>
      <c r="H72" s="191"/>
      <c r="I72" s="604"/>
      <c r="J72" s="525" t="s">
        <v>555</v>
      </c>
      <c r="K72" s="324" t="s">
        <v>26</v>
      </c>
      <c r="L72" s="371" t="s">
        <v>571</v>
      </c>
      <c r="M72" s="262"/>
      <c r="N72" s="262"/>
    </row>
    <row r="73" spans="1:14" s="172" customFormat="1" ht="14.25" customHeight="1" x14ac:dyDescent="0.15">
      <c r="A73" s="257" t="s">
        <v>697</v>
      </c>
      <c r="B73" s="85" t="s">
        <v>693</v>
      </c>
      <c r="C73" s="10">
        <v>1</v>
      </c>
      <c r="D73" s="9">
        <v>3000</v>
      </c>
      <c r="E73" s="425">
        <v>90</v>
      </c>
      <c r="F73" s="426"/>
      <c r="G73" s="590">
        <v>132</v>
      </c>
      <c r="H73" s="192"/>
      <c r="I73" s="605"/>
      <c r="J73" s="525" t="s">
        <v>555</v>
      </c>
      <c r="K73" s="324" t="s">
        <v>26</v>
      </c>
      <c r="L73" s="371" t="s">
        <v>571</v>
      </c>
      <c r="M73" s="262"/>
      <c r="N73" s="262"/>
    </row>
    <row r="74" spans="1:14" s="172" customFormat="1" ht="14.25" customHeight="1" x14ac:dyDescent="0.15">
      <c r="A74" s="257" t="s">
        <v>696</v>
      </c>
      <c r="B74" s="85" t="s">
        <v>694</v>
      </c>
      <c r="C74" s="10">
        <v>1</v>
      </c>
      <c r="D74" s="9">
        <v>6000</v>
      </c>
      <c r="E74" s="425">
        <v>210</v>
      </c>
      <c r="F74" s="426"/>
      <c r="G74" s="590">
        <v>279</v>
      </c>
      <c r="H74" s="192"/>
      <c r="I74" s="605"/>
      <c r="J74" s="525" t="s">
        <v>555</v>
      </c>
      <c r="K74" s="324" t="s">
        <v>26</v>
      </c>
      <c r="L74" s="371" t="s">
        <v>571</v>
      </c>
      <c r="M74" s="262"/>
      <c r="N74" s="262"/>
    </row>
    <row r="75" spans="1:14" s="168" customFormat="1" ht="14.25" customHeight="1" x14ac:dyDescent="0.15">
      <c r="A75" s="82" t="s">
        <v>106</v>
      </c>
      <c r="B75" s="83" t="s">
        <v>330</v>
      </c>
      <c r="C75" s="3">
        <v>12</v>
      </c>
      <c r="D75" s="2">
        <v>750</v>
      </c>
      <c r="E75" s="402"/>
      <c r="F75" s="403"/>
      <c r="G75" s="580">
        <v>290</v>
      </c>
      <c r="H75" s="191"/>
      <c r="I75" s="604"/>
      <c r="J75" s="531" t="s">
        <v>795</v>
      </c>
      <c r="K75" s="310"/>
      <c r="L75" s="371" t="s">
        <v>571</v>
      </c>
      <c r="M75" s="262"/>
      <c r="N75" s="262"/>
    </row>
    <row r="76" spans="1:14" s="168" customFormat="1" ht="14.25" customHeight="1" x14ac:dyDescent="0.15">
      <c r="A76" s="82" t="s">
        <v>245</v>
      </c>
      <c r="B76" s="83" t="s">
        <v>542</v>
      </c>
      <c r="C76" s="3">
        <v>12</v>
      </c>
      <c r="D76" s="2">
        <v>750</v>
      </c>
      <c r="E76" s="427">
        <v>270</v>
      </c>
      <c r="F76" s="662" t="s">
        <v>812</v>
      </c>
      <c r="G76" s="580">
        <v>325</v>
      </c>
      <c r="H76" s="191"/>
      <c r="I76" s="604"/>
      <c r="J76" s="531" t="s">
        <v>842</v>
      </c>
      <c r="K76" s="127" t="s">
        <v>500</v>
      </c>
      <c r="L76" s="371" t="s">
        <v>571</v>
      </c>
      <c r="M76" s="262"/>
      <c r="N76" s="262"/>
    </row>
    <row r="77" spans="1:14" s="168" customFormat="1" ht="14.25" customHeight="1" x14ac:dyDescent="0.15">
      <c r="A77" s="82" t="s">
        <v>84</v>
      </c>
      <c r="B77" s="83" t="s">
        <v>329</v>
      </c>
      <c r="C77" s="3">
        <v>12</v>
      </c>
      <c r="D77" s="2">
        <v>750</v>
      </c>
      <c r="E77" s="402"/>
      <c r="F77" s="403"/>
      <c r="G77" s="580">
        <v>290</v>
      </c>
      <c r="H77" s="191"/>
      <c r="I77" s="604"/>
      <c r="J77" s="531" t="s">
        <v>795</v>
      </c>
      <c r="K77" s="127" t="s">
        <v>97</v>
      </c>
      <c r="L77" s="371" t="s">
        <v>571</v>
      </c>
      <c r="M77" s="262"/>
      <c r="N77" s="262"/>
    </row>
    <row r="78" spans="1:14" s="168" customFormat="1" ht="14.25" customHeight="1" x14ac:dyDescent="0.15">
      <c r="A78" s="82" t="s">
        <v>74</v>
      </c>
      <c r="B78" s="83" t="s">
        <v>328</v>
      </c>
      <c r="C78" s="3">
        <v>12</v>
      </c>
      <c r="D78" s="2">
        <v>750</v>
      </c>
      <c r="E78" s="402"/>
      <c r="F78" s="403"/>
      <c r="G78" s="580">
        <v>290</v>
      </c>
      <c r="H78" s="191"/>
      <c r="I78" s="604"/>
      <c r="J78" s="531" t="s">
        <v>795</v>
      </c>
      <c r="K78" s="127" t="s">
        <v>436</v>
      </c>
      <c r="L78" s="371" t="s">
        <v>571</v>
      </c>
      <c r="M78" s="262"/>
      <c r="N78" s="262"/>
    </row>
    <row r="79" spans="1:14" s="172" customFormat="1" ht="14.25" customHeight="1" x14ac:dyDescent="0.15">
      <c r="A79" s="84" t="s">
        <v>98</v>
      </c>
      <c r="B79" s="85" t="s">
        <v>327</v>
      </c>
      <c r="C79" s="21">
        <v>3</v>
      </c>
      <c r="D79" s="22">
        <v>1500</v>
      </c>
      <c r="E79" s="410"/>
      <c r="F79" s="411"/>
      <c r="G79" s="590">
        <v>180</v>
      </c>
      <c r="H79" s="192"/>
      <c r="I79" s="605"/>
      <c r="J79" s="532" t="s">
        <v>686</v>
      </c>
      <c r="K79" s="130" t="s">
        <v>436</v>
      </c>
      <c r="L79" s="371" t="s">
        <v>571</v>
      </c>
      <c r="M79" s="262"/>
      <c r="N79" s="262"/>
    </row>
    <row r="80" spans="1:14" s="172" customFormat="1" ht="14.25" customHeight="1" x14ac:dyDescent="0.15">
      <c r="A80" s="247" t="s">
        <v>246</v>
      </c>
      <c r="B80" s="85" t="s">
        <v>326</v>
      </c>
      <c r="C80" s="21">
        <v>3</v>
      </c>
      <c r="D80" s="22">
        <v>1500</v>
      </c>
      <c r="E80" s="425">
        <v>155</v>
      </c>
      <c r="F80" s="426"/>
      <c r="G80" s="590">
        <v>192</v>
      </c>
      <c r="H80" s="192"/>
      <c r="I80" s="605"/>
      <c r="J80" s="525" t="s">
        <v>554</v>
      </c>
      <c r="K80" s="261"/>
      <c r="L80" s="371" t="s">
        <v>571</v>
      </c>
      <c r="M80" s="262"/>
      <c r="N80" s="262"/>
    </row>
    <row r="81" spans="1:14" s="168" customFormat="1" ht="14.25" customHeight="1" x14ac:dyDescent="0.15">
      <c r="A81" s="82" t="s">
        <v>247</v>
      </c>
      <c r="B81" s="83" t="s">
        <v>541</v>
      </c>
      <c r="C81" s="3">
        <v>12</v>
      </c>
      <c r="D81" s="2">
        <v>750</v>
      </c>
      <c r="E81" s="427">
        <v>270</v>
      </c>
      <c r="F81" s="662" t="s">
        <v>812</v>
      </c>
      <c r="G81" s="580">
        <v>290</v>
      </c>
      <c r="H81" s="193"/>
      <c r="I81" s="604"/>
      <c r="J81" s="531" t="s">
        <v>795</v>
      </c>
      <c r="K81" s="127" t="s">
        <v>500</v>
      </c>
      <c r="L81" s="371" t="s">
        <v>571</v>
      </c>
      <c r="M81" s="262"/>
      <c r="N81" s="262"/>
    </row>
    <row r="82" spans="1:14" s="168" customFormat="1" ht="14.25" customHeight="1" x14ac:dyDescent="0.15">
      <c r="A82" s="82" t="s">
        <v>77</v>
      </c>
      <c r="B82" s="83" t="s">
        <v>248</v>
      </c>
      <c r="C82" s="3">
        <v>12</v>
      </c>
      <c r="D82" s="2">
        <v>750</v>
      </c>
      <c r="E82" s="433"/>
      <c r="F82" s="663"/>
      <c r="G82" s="580">
        <v>290</v>
      </c>
      <c r="H82" s="191"/>
      <c r="I82" s="604"/>
      <c r="J82" s="531" t="s">
        <v>795</v>
      </c>
      <c r="K82" s="127" t="s">
        <v>169</v>
      </c>
      <c r="L82" s="371" t="s">
        <v>571</v>
      </c>
      <c r="M82" s="262"/>
      <c r="N82" s="262"/>
    </row>
    <row r="83" spans="1:14" s="168" customFormat="1" ht="14.25" customHeight="1" x14ac:dyDescent="0.15">
      <c r="A83" s="82" t="s">
        <v>105</v>
      </c>
      <c r="B83" s="83" t="s">
        <v>249</v>
      </c>
      <c r="C83" s="3">
        <v>12</v>
      </c>
      <c r="D83" s="2">
        <v>750</v>
      </c>
      <c r="E83" s="402"/>
      <c r="F83" s="663"/>
      <c r="G83" s="580">
        <v>290</v>
      </c>
      <c r="H83" s="191"/>
      <c r="I83" s="604"/>
      <c r="J83" s="531" t="s">
        <v>795</v>
      </c>
      <c r="K83" s="127" t="s">
        <v>504</v>
      </c>
      <c r="L83" s="371" t="s">
        <v>571</v>
      </c>
      <c r="M83" s="262"/>
      <c r="N83" s="262"/>
    </row>
    <row r="84" spans="1:14" s="168" customFormat="1" ht="14.25" customHeight="1" x14ac:dyDescent="0.15">
      <c r="A84" s="82" t="s">
        <v>507</v>
      </c>
      <c r="B84" s="83" t="s">
        <v>540</v>
      </c>
      <c r="C84" s="3">
        <v>12</v>
      </c>
      <c r="D84" s="2">
        <v>750</v>
      </c>
      <c r="E84" s="427">
        <v>270</v>
      </c>
      <c r="F84" s="662" t="s">
        <v>812</v>
      </c>
      <c r="G84" s="580">
        <v>290</v>
      </c>
      <c r="H84" s="191"/>
      <c r="I84" s="604"/>
      <c r="J84" s="531" t="s">
        <v>795</v>
      </c>
      <c r="K84" s="127" t="s">
        <v>544</v>
      </c>
      <c r="L84" s="371" t="s">
        <v>571</v>
      </c>
      <c r="M84" s="262"/>
      <c r="N84" s="262"/>
    </row>
    <row r="85" spans="1:14" s="168" customFormat="1" ht="14.25" customHeight="1" x14ac:dyDescent="0.15">
      <c r="A85" s="243" t="s">
        <v>843</v>
      </c>
      <c r="B85" s="83" t="s">
        <v>844</v>
      </c>
      <c r="C85" s="3">
        <v>12</v>
      </c>
      <c r="D85" s="2">
        <v>750</v>
      </c>
      <c r="E85" s="427">
        <v>270</v>
      </c>
      <c r="F85" s="662" t="s">
        <v>812</v>
      </c>
      <c r="G85" s="580">
        <v>325</v>
      </c>
      <c r="H85" s="191"/>
      <c r="I85" s="604"/>
      <c r="J85" s="531" t="s">
        <v>842</v>
      </c>
      <c r="K85" s="127"/>
      <c r="L85" s="371"/>
      <c r="M85" s="262"/>
      <c r="N85" s="262"/>
    </row>
    <row r="86" spans="1:14" s="168" customFormat="1" ht="14.25" customHeight="1" x14ac:dyDescent="0.15">
      <c r="A86" s="82" t="s">
        <v>127</v>
      </c>
      <c r="B86" s="83" t="s">
        <v>358</v>
      </c>
      <c r="C86" s="3">
        <v>12</v>
      </c>
      <c r="D86" s="2">
        <v>750</v>
      </c>
      <c r="E86" s="402"/>
      <c r="F86" s="663"/>
      <c r="G86" s="580">
        <v>290</v>
      </c>
      <c r="H86" s="191"/>
      <c r="I86" s="604"/>
      <c r="J86" s="531" t="s">
        <v>795</v>
      </c>
      <c r="K86" s="127" t="s">
        <v>75</v>
      </c>
      <c r="L86" s="371"/>
      <c r="M86" s="262"/>
      <c r="N86" s="262"/>
    </row>
    <row r="87" spans="1:14" s="168" customFormat="1" ht="22" customHeight="1" x14ac:dyDescent="0.15">
      <c r="A87" s="782" t="s">
        <v>550</v>
      </c>
      <c r="B87" s="83" t="s">
        <v>948</v>
      </c>
      <c r="C87" s="53">
        <v>3</v>
      </c>
      <c r="D87" s="24">
        <v>750</v>
      </c>
      <c r="E87" s="427">
        <v>135</v>
      </c>
      <c r="F87" s="662" t="s">
        <v>812</v>
      </c>
      <c r="G87" s="580">
        <v>176</v>
      </c>
      <c r="H87" s="191"/>
      <c r="I87" s="604"/>
      <c r="J87" s="787" t="s">
        <v>949</v>
      </c>
      <c r="K87" s="127" t="s">
        <v>368</v>
      </c>
      <c r="L87" s="371" t="s">
        <v>571</v>
      </c>
      <c r="M87" s="262"/>
      <c r="N87" s="262"/>
    </row>
    <row r="88" spans="1:14" s="163" customFormat="1" ht="20" customHeight="1" x14ac:dyDescent="0.2">
      <c r="A88" s="94" t="s">
        <v>13</v>
      </c>
      <c r="B88" s="97"/>
      <c r="C88" s="15"/>
      <c r="D88" s="16"/>
      <c r="E88" s="429"/>
      <c r="F88" s="430"/>
      <c r="G88" s="603"/>
      <c r="H88" s="190"/>
      <c r="I88" s="585"/>
      <c r="J88" s="508"/>
      <c r="K88" s="128"/>
      <c r="L88" s="370"/>
    </row>
    <row r="89" spans="1:14" ht="14.25" customHeight="1" x14ac:dyDescent="0.15">
      <c r="A89" s="82" t="s">
        <v>9</v>
      </c>
      <c r="B89" s="83" t="s">
        <v>484</v>
      </c>
      <c r="C89" s="25">
        <v>12</v>
      </c>
      <c r="D89" s="7">
        <v>750</v>
      </c>
      <c r="E89" s="427">
        <v>162</v>
      </c>
      <c r="F89" s="662" t="s">
        <v>812</v>
      </c>
      <c r="G89" s="580">
        <v>185</v>
      </c>
      <c r="H89" s="194"/>
      <c r="I89" s="606"/>
      <c r="J89" s="531" t="s">
        <v>795</v>
      </c>
      <c r="K89" s="127" t="s">
        <v>64</v>
      </c>
      <c r="L89" s="371" t="s">
        <v>571</v>
      </c>
      <c r="M89" s="264"/>
      <c r="N89" s="264"/>
    </row>
    <row r="90" spans="1:14" ht="14.25" customHeight="1" x14ac:dyDescent="0.15">
      <c r="A90" s="82" t="s">
        <v>10</v>
      </c>
      <c r="B90" s="83" t="s">
        <v>485</v>
      </c>
      <c r="C90" s="25">
        <v>12</v>
      </c>
      <c r="D90" s="7">
        <v>750</v>
      </c>
      <c r="E90" s="427">
        <v>162</v>
      </c>
      <c r="F90" s="662" t="s">
        <v>812</v>
      </c>
      <c r="G90" s="580">
        <v>185</v>
      </c>
      <c r="H90" s="194"/>
      <c r="I90" s="606"/>
      <c r="J90" s="531" t="s">
        <v>795</v>
      </c>
      <c r="K90" s="127" t="s">
        <v>107</v>
      </c>
      <c r="L90" s="371" t="s">
        <v>571</v>
      </c>
      <c r="M90" s="264"/>
      <c r="N90" s="264"/>
    </row>
    <row r="91" spans="1:14" ht="14.25" customHeight="1" x14ac:dyDescent="0.15">
      <c r="A91" s="82" t="s">
        <v>11</v>
      </c>
      <c r="B91" s="83" t="s">
        <v>486</v>
      </c>
      <c r="C91" s="25">
        <v>12</v>
      </c>
      <c r="D91" s="7">
        <v>750</v>
      </c>
      <c r="E91" s="427">
        <v>162</v>
      </c>
      <c r="F91" s="662" t="s">
        <v>812</v>
      </c>
      <c r="G91" s="580">
        <v>185</v>
      </c>
      <c r="H91" s="194"/>
      <c r="I91" s="606"/>
      <c r="J91" s="531" t="s">
        <v>795</v>
      </c>
      <c r="K91" s="127" t="s">
        <v>65</v>
      </c>
      <c r="L91" s="371" t="s">
        <v>571</v>
      </c>
      <c r="M91" s="264"/>
      <c r="N91" s="264"/>
    </row>
    <row r="92" spans="1:14" s="163" customFormat="1" ht="20" customHeight="1" x14ac:dyDescent="0.2">
      <c r="A92" s="94" t="s">
        <v>14</v>
      </c>
      <c r="B92" s="97"/>
      <c r="C92" s="15"/>
      <c r="D92" s="16"/>
      <c r="E92" s="429"/>
      <c r="F92" s="430"/>
      <c r="G92" s="603"/>
      <c r="H92" s="190"/>
      <c r="I92" s="585"/>
      <c r="J92" s="508"/>
      <c r="K92" s="128"/>
      <c r="L92" s="370"/>
    </row>
    <row r="93" spans="1:14" ht="26" customHeight="1" x14ac:dyDescent="0.15">
      <c r="A93" s="82" t="s">
        <v>12</v>
      </c>
      <c r="B93" s="83" t="s">
        <v>487</v>
      </c>
      <c r="C93" s="25">
        <v>12</v>
      </c>
      <c r="D93" s="7">
        <v>750</v>
      </c>
      <c r="E93" s="427">
        <v>200</v>
      </c>
      <c r="F93" s="662" t="s">
        <v>812</v>
      </c>
      <c r="G93" s="580">
        <f>230+15</f>
        <v>245</v>
      </c>
      <c r="H93" s="195"/>
      <c r="I93" s="606"/>
      <c r="J93" s="531" t="s">
        <v>795</v>
      </c>
      <c r="K93" s="309" t="s">
        <v>514</v>
      </c>
      <c r="L93" s="371" t="s">
        <v>571</v>
      </c>
      <c r="M93" s="264"/>
      <c r="N93" s="264"/>
    </row>
    <row r="94" spans="1:14" s="173" customFormat="1" ht="26" customHeight="1" x14ac:dyDescent="0.15">
      <c r="A94" s="82" t="s">
        <v>15</v>
      </c>
      <c r="B94" s="83" t="s">
        <v>488</v>
      </c>
      <c r="C94" s="25">
        <v>12</v>
      </c>
      <c r="D94" s="7">
        <v>1000</v>
      </c>
      <c r="E94" s="427">
        <v>162</v>
      </c>
      <c r="F94" s="662" t="s">
        <v>812</v>
      </c>
      <c r="G94" s="580">
        <f>195+13</f>
        <v>208</v>
      </c>
      <c r="H94" s="195"/>
      <c r="I94" s="606"/>
      <c r="J94" s="531" t="s">
        <v>795</v>
      </c>
      <c r="K94" s="309" t="s">
        <v>514</v>
      </c>
      <c r="L94" s="371" t="s">
        <v>571</v>
      </c>
      <c r="M94" s="264"/>
      <c r="N94" s="264"/>
    </row>
    <row r="95" spans="1:14" s="173" customFormat="1" ht="26" customHeight="1" x14ac:dyDescent="0.15">
      <c r="A95" s="82" t="s">
        <v>17</v>
      </c>
      <c r="B95" s="83" t="s">
        <v>489</v>
      </c>
      <c r="C95" s="25">
        <v>12</v>
      </c>
      <c r="D95" s="7">
        <v>1000</v>
      </c>
      <c r="E95" s="427">
        <v>162</v>
      </c>
      <c r="F95" s="662" t="s">
        <v>812</v>
      </c>
      <c r="G95" s="580">
        <f>195+13</f>
        <v>208</v>
      </c>
      <c r="H95" s="195"/>
      <c r="I95" s="606"/>
      <c r="J95" s="531" t="s">
        <v>795</v>
      </c>
      <c r="K95" s="309" t="s">
        <v>514</v>
      </c>
      <c r="L95" s="371" t="s">
        <v>571</v>
      </c>
      <c r="M95" s="264"/>
      <c r="N95" s="264"/>
    </row>
    <row r="96" spans="1:14" s="163" customFormat="1" ht="20" customHeight="1" x14ac:dyDescent="0.2">
      <c r="A96" s="88" t="s">
        <v>202</v>
      </c>
      <c r="B96" s="89"/>
      <c r="C96" s="11"/>
      <c r="D96" s="12"/>
      <c r="E96" s="415"/>
      <c r="F96" s="416"/>
      <c r="G96" s="596"/>
      <c r="H96" s="189"/>
      <c r="I96" s="597"/>
      <c r="J96" s="523"/>
      <c r="K96" s="133"/>
      <c r="L96" s="370"/>
    </row>
    <row r="97" spans="1:12" s="168" customFormat="1" ht="14.25" customHeight="1" x14ac:dyDescent="0.15">
      <c r="A97" s="90" t="s">
        <v>83</v>
      </c>
      <c r="B97" s="103" t="s">
        <v>162</v>
      </c>
      <c r="C97" s="276">
        <v>12</v>
      </c>
      <c r="D97" s="14">
        <v>750</v>
      </c>
      <c r="E97" s="421"/>
      <c r="F97" s="422"/>
      <c r="G97" s="598">
        <v>108</v>
      </c>
      <c r="H97" s="151">
        <v>99</v>
      </c>
      <c r="I97" s="599" t="s">
        <v>18</v>
      </c>
      <c r="J97" s="520" t="s">
        <v>28</v>
      </c>
      <c r="K97" s="138"/>
      <c r="L97" s="359"/>
    </row>
    <row r="98" spans="1:12" s="168" customFormat="1" ht="14.25" customHeight="1" x14ac:dyDescent="0.15">
      <c r="A98" s="90" t="s">
        <v>393</v>
      </c>
      <c r="B98" s="103" t="s">
        <v>574</v>
      </c>
      <c r="C98" s="276">
        <v>12</v>
      </c>
      <c r="D98" s="14">
        <v>750</v>
      </c>
      <c r="E98" s="493">
        <v>125</v>
      </c>
      <c r="F98" s="418"/>
      <c r="G98" s="598">
        <v>168</v>
      </c>
      <c r="H98" s="151">
        <v>158</v>
      </c>
      <c r="I98" s="599" t="s">
        <v>19</v>
      </c>
      <c r="J98" s="533"/>
      <c r="K98" s="224" t="s">
        <v>108</v>
      </c>
      <c r="L98" s="358" t="s">
        <v>796</v>
      </c>
    </row>
    <row r="99" spans="1:12" s="168" customFormat="1" ht="14.25" customHeight="1" x14ac:dyDescent="0.15">
      <c r="A99" s="90" t="s">
        <v>979</v>
      </c>
      <c r="B99" s="103" t="s">
        <v>980</v>
      </c>
      <c r="C99" s="276">
        <v>12</v>
      </c>
      <c r="D99" s="14">
        <v>750</v>
      </c>
      <c r="E99" s="493">
        <v>125</v>
      </c>
      <c r="F99" s="418"/>
      <c r="G99" s="598">
        <v>168</v>
      </c>
      <c r="H99" s="151">
        <v>158</v>
      </c>
      <c r="I99" s="599" t="s">
        <v>19</v>
      </c>
      <c r="J99" s="533" t="s">
        <v>981</v>
      </c>
      <c r="K99" s="224" t="s">
        <v>108</v>
      </c>
      <c r="L99" s="358" t="s">
        <v>796</v>
      </c>
    </row>
    <row r="100" spans="1:12" s="168" customFormat="1" ht="14.25" customHeight="1" x14ac:dyDescent="0.15">
      <c r="A100" s="246" t="s">
        <v>228</v>
      </c>
      <c r="B100" s="103" t="s">
        <v>360</v>
      </c>
      <c r="C100" s="276">
        <v>12</v>
      </c>
      <c r="D100" s="14">
        <v>750</v>
      </c>
      <c r="E100" s="493">
        <v>230</v>
      </c>
      <c r="F100" s="418"/>
      <c r="G100" s="598">
        <v>291</v>
      </c>
      <c r="H100" s="151">
        <v>282</v>
      </c>
      <c r="I100" s="599" t="s">
        <v>22</v>
      </c>
      <c r="J100" s="525" t="s">
        <v>581</v>
      </c>
      <c r="K100" s="224" t="s">
        <v>75</v>
      </c>
      <c r="L100" s="358" t="s">
        <v>796</v>
      </c>
    </row>
    <row r="101" spans="1:12" s="168" customFormat="1" ht="14.25" customHeight="1" x14ac:dyDescent="0.15">
      <c r="A101" s="278" t="s">
        <v>610</v>
      </c>
      <c r="B101" s="103" t="s">
        <v>607</v>
      </c>
      <c r="C101" s="276">
        <v>12</v>
      </c>
      <c r="D101" s="14">
        <v>750</v>
      </c>
      <c r="E101" s="493">
        <v>450</v>
      </c>
      <c r="F101" s="418"/>
      <c r="G101" s="598">
        <v>534</v>
      </c>
      <c r="H101" s="279"/>
      <c r="I101" s="607"/>
      <c r="J101" s="533" t="s">
        <v>612</v>
      </c>
      <c r="K101" s="224"/>
      <c r="L101" s="359"/>
    </row>
    <row r="102" spans="1:12" s="168" customFormat="1" ht="14.25" customHeight="1" x14ac:dyDescent="0.15">
      <c r="A102" s="92" t="s">
        <v>646</v>
      </c>
      <c r="B102" s="98" t="s">
        <v>947</v>
      </c>
      <c r="C102" s="276">
        <v>12</v>
      </c>
      <c r="D102" s="36">
        <v>750</v>
      </c>
      <c r="E102" s="493">
        <v>85</v>
      </c>
      <c r="F102" s="418"/>
      <c r="G102" s="598">
        <v>120</v>
      </c>
      <c r="H102" s="279"/>
      <c r="I102" s="607"/>
      <c r="J102" s="533" t="s">
        <v>845</v>
      </c>
      <c r="K102" s="224"/>
      <c r="L102" s="705" t="s">
        <v>796</v>
      </c>
    </row>
    <row r="103" spans="1:12" s="168" customFormat="1" ht="14.25" customHeight="1" x14ac:dyDescent="0.15">
      <c r="A103" s="303" t="s">
        <v>128</v>
      </c>
      <c r="B103" s="304" t="s">
        <v>682</v>
      </c>
      <c r="C103" s="305">
        <v>12</v>
      </c>
      <c r="D103" s="306">
        <v>750</v>
      </c>
      <c r="E103" s="419"/>
      <c r="F103" s="420"/>
      <c r="G103" s="600">
        <v>168</v>
      </c>
      <c r="H103" s="288">
        <v>158</v>
      </c>
      <c r="I103" s="601" t="s">
        <v>19</v>
      </c>
      <c r="J103" s="534" t="s">
        <v>684</v>
      </c>
      <c r="K103" s="224" t="s">
        <v>483</v>
      </c>
      <c r="L103" s="359"/>
    </row>
    <row r="104" spans="1:12" s="168" customFormat="1" ht="14.25" customHeight="1" x14ac:dyDescent="0.15">
      <c r="A104" s="92" t="s">
        <v>575</v>
      </c>
      <c r="B104" s="98" t="s">
        <v>576</v>
      </c>
      <c r="C104" s="276">
        <v>12</v>
      </c>
      <c r="D104" s="14">
        <v>750</v>
      </c>
      <c r="E104" s="493">
        <v>125</v>
      </c>
      <c r="F104" s="418"/>
      <c r="G104" s="598">
        <v>168</v>
      </c>
      <c r="H104" s="151">
        <v>158</v>
      </c>
      <c r="I104" s="599" t="s">
        <v>19</v>
      </c>
      <c r="J104" s="533" t="s">
        <v>683</v>
      </c>
      <c r="K104" s="224" t="s">
        <v>95</v>
      </c>
      <c r="L104" s="358" t="s">
        <v>796</v>
      </c>
    </row>
    <row r="105" spans="1:12" s="168" customFormat="1" ht="14.25" customHeight="1" x14ac:dyDescent="0.15">
      <c r="A105" s="278" t="s">
        <v>609</v>
      </c>
      <c r="B105" s="103" t="s">
        <v>606</v>
      </c>
      <c r="C105" s="276">
        <v>12</v>
      </c>
      <c r="D105" s="14">
        <v>750</v>
      </c>
      <c r="E105" s="706">
        <v>255</v>
      </c>
      <c r="F105" s="434"/>
      <c r="G105" s="608">
        <v>315</v>
      </c>
      <c r="H105" s="279"/>
      <c r="I105" s="607"/>
      <c r="J105" s="533" t="s">
        <v>612</v>
      </c>
      <c r="K105" s="224"/>
      <c r="L105" s="358" t="s">
        <v>796</v>
      </c>
    </row>
    <row r="106" spans="1:12" s="168" customFormat="1" ht="14.25" customHeight="1" x14ac:dyDescent="0.15">
      <c r="A106" s="242" t="s">
        <v>227</v>
      </c>
      <c r="B106" s="103" t="s">
        <v>490</v>
      </c>
      <c r="C106" s="276">
        <v>12</v>
      </c>
      <c r="D106" s="14">
        <v>750</v>
      </c>
      <c r="E106" s="493"/>
      <c r="F106" s="418"/>
      <c r="G106" s="609">
        <v>310</v>
      </c>
      <c r="H106" s="258">
        <v>300</v>
      </c>
      <c r="I106" s="599" t="s">
        <v>20</v>
      </c>
      <c r="J106" s="535" t="s">
        <v>923</v>
      </c>
      <c r="K106" s="224" t="s">
        <v>500</v>
      </c>
      <c r="L106" s="705" t="s">
        <v>796</v>
      </c>
    </row>
    <row r="107" spans="1:12" s="168" customFormat="1" ht="14.25" customHeight="1" x14ac:dyDescent="0.15">
      <c r="A107" s="242" t="s">
        <v>227</v>
      </c>
      <c r="B107" s="103" t="s">
        <v>490</v>
      </c>
      <c r="C107" s="276">
        <v>12</v>
      </c>
      <c r="D107" s="14">
        <v>750</v>
      </c>
      <c r="E107" s="493">
        <v>256</v>
      </c>
      <c r="F107" s="418"/>
      <c r="G107" s="609">
        <v>316</v>
      </c>
      <c r="H107" s="258">
        <v>310</v>
      </c>
      <c r="I107" s="599" t="s">
        <v>20</v>
      </c>
      <c r="J107" s="535" t="s">
        <v>577</v>
      </c>
      <c r="K107" s="224" t="s">
        <v>500</v>
      </c>
      <c r="L107" s="705"/>
    </row>
    <row r="108" spans="1:12" s="168" customFormat="1" ht="14.25" customHeight="1" x14ac:dyDescent="0.15">
      <c r="A108" s="278" t="s">
        <v>608</v>
      </c>
      <c r="B108" s="103" t="s">
        <v>605</v>
      </c>
      <c r="C108" s="276">
        <v>12</v>
      </c>
      <c r="D108" s="14">
        <v>750</v>
      </c>
      <c r="E108" s="706">
        <v>405</v>
      </c>
      <c r="F108" s="434"/>
      <c r="G108" s="608">
        <v>480</v>
      </c>
      <c r="H108" s="280"/>
      <c r="I108" s="607"/>
      <c r="J108" s="533" t="s">
        <v>612</v>
      </c>
      <c r="K108" s="224" t="s">
        <v>611</v>
      </c>
      <c r="L108" s="358" t="s">
        <v>796</v>
      </c>
    </row>
    <row r="109" spans="1:12" s="168" customFormat="1" ht="14.25" customHeight="1" thickBot="1" x14ac:dyDescent="0.2">
      <c r="A109" s="246" t="s">
        <v>394</v>
      </c>
      <c r="B109" s="103" t="s">
        <v>491</v>
      </c>
      <c r="C109" s="277">
        <v>6</v>
      </c>
      <c r="D109" s="68">
        <v>750</v>
      </c>
      <c r="E109" s="493">
        <v>282</v>
      </c>
      <c r="F109" s="418"/>
      <c r="G109" s="598">
        <v>340</v>
      </c>
      <c r="H109" s="196"/>
      <c r="I109" s="610"/>
      <c r="J109" s="525" t="s">
        <v>578</v>
      </c>
      <c r="K109" s="224" t="s">
        <v>26</v>
      </c>
      <c r="L109" s="705" t="s">
        <v>796</v>
      </c>
    </row>
    <row r="110" spans="1:12" s="174" customFormat="1" ht="20" customHeight="1" thickBot="1" x14ac:dyDescent="0.25">
      <c r="A110" s="99" t="s">
        <v>24</v>
      </c>
      <c r="B110" s="100"/>
      <c r="C110" s="26"/>
      <c r="D110" s="27"/>
      <c r="E110" s="435"/>
      <c r="F110" s="436"/>
      <c r="G110" s="611"/>
      <c r="H110" s="197"/>
      <c r="I110" s="579"/>
      <c r="J110" s="536"/>
      <c r="K110" s="128"/>
      <c r="L110" s="370"/>
    </row>
    <row r="111" spans="1:12" ht="14.25" customHeight="1" x14ac:dyDescent="0.15">
      <c r="A111" s="82" t="s">
        <v>508</v>
      </c>
      <c r="B111" s="83" t="s">
        <v>777</v>
      </c>
      <c r="C111" s="28">
        <v>12</v>
      </c>
      <c r="D111" s="7">
        <v>750</v>
      </c>
      <c r="E111" s="720"/>
      <c r="F111" s="438"/>
      <c r="G111" s="612">
        <v>180</v>
      </c>
      <c r="H111" s="198">
        <v>170</v>
      </c>
      <c r="I111" s="581" t="s">
        <v>19</v>
      </c>
      <c r="J111" s="517"/>
      <c r="K111" s="127" t="s">
        <v>496</v>
      </c>
      <c r="L111" s="709"/>
    </row>
    <row r="112" spans="1:12" ht="14.25" customHeight="1" x14ac:dyDescent="0.15">
      <c r="A112" s="243" t="s">
        <v>730</v>
      </c>
      <c r="B112" s="83" t="s">
        <v>731</v>
      </c>
      <c r="C112" s="28">
        <v>12</v>
      </c>
      <c r="D112" s="7">
        <v>750</v>
      </c>
      <c r="E112" s="437">
        <v>155</v>
      </c>
      <c r="F112" s="438"/>
      <c r="G112" s="612">
        <v>198</v>
      </c>
      <c r="H112" s="198">
        <v>192</v>
      </c>
      <c r="I112" s="581" t="s">
        <v>19</v>
      </c>
      <c r="J112" s="518" t="s">
        <v>778</v>
      </c>
      <c r="K112" s="127"/>
      <c r="L112" s="709"/>
    </row>
    <row r="113" spans="1:12" ht="14.25" customHeight="1" x14ac:dyDescent="0.15">
      <c r="A113" s="284" t="s">
        <v>509</v>
      </c>
      <c r="B113" s="285" t="s">
        <v>785</v>
      </c>
      <c r="C113" s="354">
        <v>12</v>
      </c>
      <c r="D113" s="355">
        <v>750</v>
      </c>
      <c r="E113" s="439">
        <v>239</v>
      </c>
      <c r="F113" s="440"/>
      <c r="G113" s="613">
        <v>264</v>
      </c>
      <c r="H113" s="356">
        <v>254</v>
      </c>
      <c r="I113" s="583" t="s">
        <v>19</v>
      </c>
      <c r="J113" s="273" t="s">
        <v>649</v>
      </c>
      <c r="K113" s="127" t="s">
        <v>430</v>
      </c>
      <c r="L113" s="709"/>
    </row>
    <row r="114" spans="1:12" ht="14.25" customHeight="1" x14ac:dyDescent="0.15">
      <c r="A114" s="243" t="s">
        <v>732</v>
      </c>
      <c r="B114" s="83" t="s">
        <v>733</v>
      </c>
      <c r="C114" s="28">
        <v>12</v>
      </c>
      <c r="D114" s="7">
        <v>750</v>
      </c>
      <c r="E114" s="441">
        <v>240</v>
      </c>
      <c r="F114" s="442"/>
      <c r="G114" s="612">
        <v>296</v>
      </c>
      <c r="H114" s="198">
        <v>290</v>
      </c>
      <c r="I114" s="581" t="s">
        <v>19</v>
      </c>
      <c r="J114" s="518" t="s">
        <v>778</v>
      </c>
      <c r="K114" s="127"/>
      <c r="L114" s="709"/>
    </row>
    <row r="115" spans="1:12" ht="14.25" customHeight="1" x14ac:dyDescent="0.15">
      <c r="A115" s="82" t="s">
        <v>510</v>
      </c>
      <c r="B115" s="83" t="s">
        <v>408</v>
      </c>
      <c r="C115" s="28">
        <v>12</v>
      </c>
      <c r="D115" s="7">
        <v>750</v>
      </c>
      <c r="E115" s="447"/>
      <c r="F115" s="442"/>
      <c r="G115" s="612">
        <v>306</v>
      </c>
      <c r="H115" s="198">
        <v>296</v>
      </c>
      <c r="I115" s="581" t="s">
        <v>20</v>
      </c>
      <c r="J115" s="517"/>
      <c r="K115" s="127" t="s">
        <v>497</v>
      </c>
      <c r="L115" s="709"/>
    </row>
    <row r="116" spans="1:12" ht="14.25" customHeight="1" x14ac:dyDescent="0.15">
      <c r="A116" s="243" t="s">
        <v>734</v>
      </c>
      <c r="B116" s="83" t="s">
        <v>735</v>
      </c>
      <c r="C116" s="28">
        <v>12</v>
      </c>
      <c r="D116" s="7">
        <v>750</v>
      </c>
      <c r="E116" s="441">
        <v>281</v>
      </c>
      <c r="F116" s="442"/>
      <c r="G116" s="612">
        <v>338</v>
      </c>
      <c r="H116" s="198">
        <v>333</v>
      </c>
      <c r="I116" s="581" t="s">
        <v>20</v>
      </c>
      <c r="J116" s="518" t="s">
        <v>778</v>
      </c>
      <c r="K116" s="127"/>
      <c r="L116" s="709"/>
    </row>
    <row r="117" spans="1:12" ht="15" customHeight="1" x14ac:dyDescent="0.15">
      <c r="A117" s="80" t="s">
        <v>229</v>
      </c>
      <c r="B117" s="81" t="s">
        <v>411</v>
      </c>
      <c r="C117" s="340">
        <v>6</v>
      </c>
      <c r="D117" s="341">
        <v>750</v>
      </c>
      <c r="E117" s="443"/>
      <c r="F117" s="444"/>
      <c r="G117" s="614">
        <v>520</v>
      </c>
      <c r="H117" s="199">
        <v>510</v>
      </c>
      <c r="I117" s="615" t="s">
        <v>20</v>
      </c>
      <c r="J117" s="537" t="s">
        <v>776</v>
      </c>
      <c r="K117" s="127"/>
      <c r="L117" s="709"/>
    </row>
    <row r="118" spans="1:12" ht="14.25" customHeight="1" x14ac:dyDescent="0.15">
      <c r="A118" s="244" t="s">
        <v>736</v>
      </c>
      <c r="B118" s="81" t="s">
        <v>737</v>
      </c>
      <c r="C118" s="29">
        <v>6</v>
      </c>
      <c r="D118" s="30">
        <v>750</v>
      </c>
      <c r="E118" s="441">
        <v>500</v>
      </c>
      <c r="F118" s="442"/>
      <c r="G118" s="614">
        <v>595</v>
      </c>
      <c r="H118" s="199">
        <v>585</v>
      </c>
      <c r="I118" s="581" t="s">
        <v>20</v>
      </c>
      <c r="J118" s="538" t="s">
        <v>783</v>
      </c>
      <c r="K118" s="127" t="s">
        <v>492</v>
      </c>
      <c r="L118" s="709"/>
    </row>
    <row r="119" spans="1:12" ht="14.25" customHeight="1" x14ac:dyDescent="0.15">
      <c r="A119" s="101" t="s">
        <v>230</v>
      </c>
      <c r="B119" s="102" t="s">
        <v>412</v>
      </c>
      <c r="C119" s="31">
        <v>1</v>
      </c>
      <c r="D119" s="32">
        <v>1500</v>
      </c>
      <c r="E119" s="445"/>
      <c r="F119" s="446"/>
      <c r="G119" s="616">
        <v>205</v>
      </c>
      <c r="H119" s="200"/>
      <c r="I119" s="589"/>
      <c r="J119" s="539"/>
      <c r="K119" s="139" t="s">
        <v>493</v>
      </c>
      <c r="L119" s="709"/>
    </row>
    <row r="120" spans="1:12" ht="14.25" customHeight="1" x14ac:dyDescent="0.15">
      <c r="A120" s="271" t="s">
        <v>738</v>
      </c>
      <c r="B120" s="102" t="s">
        <v>739</v>
      </c>
      <c r="C120" s="31">
        <v>1</v>
      </c>
      <c r="D120" s="32">
        <v>1500</v>
      </c>
      <c r="E120" s="445"/>
      <c r="F120" s="446"/>
      <c r="G120" s="616">
        <v>228</v>
      </c>
      <c r="H120" s="200"/>
      <c r="I120" s="589"/>
      <c r="J120" s="538" t="s">
        <v>783</v>
      </c>
      <c r="K120" s="139"/>
      <c r="L120" s="709"/>
    </row>
    <row r="121" spans="1:12" ht="14.25" customHeight="1" x14ac:dyDescent="0.15">
      <c r="A121" s="101" t="s">
        <v>779</v>
      </c>
      <c r="B121" s="102" t="s">
        <v>780</v>
      </c>
      <c r="C121" s="31">
        <v>1</v>
      </c>
      <c r="D121" s="32">
        <v>3000</v>
      </c>
      <c r="E121" s="445"/>
      <c r="F121" s="446"/>
      <c r="G121" s="616">
        <v>486</v>
      </c>
      <c r="H121" s="200"/>
      <c r="I121" s="589"/>
      <c r="J121" s="538" t="s">
        <v>783</v>
      </c>
      <c r="K121" s="139"/>
      <c r="L121" s="709"/>
    </row>
    <row r="122" spans="1:12" ht="14.25" customHeight="1" x14ac:dyDescent="0.15">
      <c r="A122" s="271" t="s">
        <v>781</v>
      </c>
      <c r="B122" s="102" t="s">
        <v>782</v>
      </c>
      <c r="C122" s="31">
        <v>1</v>
      </c>
      <c r="D122" s="32">
        <v>5000</v>
      </c>
      <c r="E122" s="445"/>
      <c r="F122" s="446"/>
      <c r="G122" s="616">
        <v>823</v>
      </c>
      <c r="H122" s="200"/>
      <c r="I122" s="589"/>
      <c r="J122" s="538" t="s">
        <v>783</v>
      </c>
      <c r="K122" s="139"/>
      <c r="L122" s="709"/>
    </row>
    <row r="123" spans="1:12" ht="14.25" customHeight="1" x14ac:dyDescent="0.15">
      <c r="A123" s="80" t="s">
        <v>129</v>
      </c>
      <c r="B123" s="81" t="s">
        <v>195</v>
      </c>
      <c r="C123" s="29">
        <v>6</v>
      </c>
      <c r="D123" s="30">
        <v>750</v>
      </c>
      <c r="E123" s="447"/>
      <c r="F123" s="448"/>
      <c r="G123" s="614">
        <v>380</v>
      </c>
      <c r="H123" s="199">
        <v>370</v>
      </c>
      <c r="I123" s="581" t="s">
        <v>20</v>
      </c>
      <c r="J123" s="517"/>
      <c r="K123" s="127" t="s">
        <v>447</v>
      </c>
      <c r="L123" s="709"/>
    </row>
    <row r="124" spans="1:12" ht="14.25" customHeight="1" x14ac:dyDescent="0.15">
      <c r="A124" s="80" t="s">
        <v>231</v>
      </c>
      <c r="B124" s="81" t="s">
        <v>413</v>
      </c>
      <c r="C124" s="29">
        <v>6</v>
      </c>
      <c r="D124" s="30">
        <v>750</v>
      </c>
      <c r="E124" s="447"/>
      <c r="F124" s="448"/>
      <c r="G124" s="614">
        <v>380</v>
      </c>
      <c r="H124" s="199">
        <v>370</v>
      </c>
      <c r="I124" s="581" t="s">
        <v>20</v>
      </c>
      <c r="J124" s="539"/>
      <c r="K124" s="127" t="s">
        <v>494</v>
      </c>
      <c r="L124" s="709"/>
    </row>
    <row r="125" spans="1:12" ht="14.25" customHeight="1" x14ac:dyDescent="0.15">
      <c r="A125" s="244" t="s">
        <v>740</v>
      </c>
      <c r="B125" s="81" t="s">
        <v>741</v>
      </c>
      <c r="C125" s="29">
        <v>6</v>
      </c>
      <c r="D125" s="30">
        <v>750</v>
      </c>
      <c r="E125" s="441">
        <v>360</v>
      </c>
      <c r="F125" s="442"/>
      <c r="G125" s="614">
        <v>434</v>
      </c>
      <c r="H125" s="199">
        <v>424</v>
      </c>
      <c r="I125" s="581" t="s">
        <v>20</v>
      </c>
      <c r="J125" s="538" t="s">
        <v>783</v>
      </c>
      <c r="K125" s="127"/>
      <c r="L125" s="709"/>
    </row>
    <row r="126" spans="1:12" ht="14.25" customHeight="1" x14ac:dyDescent="0.15">
      <c r="A126" s="86" t="s">
        <v>232</v>
      </c>
      <c r="B126" s="87" t="s">
        <v>414</v>
      </c>
      <c r="C126" s="33">
        <v>1</v>
      </c>
      <c r="D126" s="18">
        <v>1500</v>
      </c>
      <c r="E126" s="449"/>
      <c r="F126" s="450"/>
      <c r="G126" s="617">
        <v>162</v>
      </c>
      <c r="H126" s="200"/>
      <c r="I126" s="589"/>
      <c r="J126" s="517"/>
      <c r="K126" s="130" t="s">
        <v>494</v>
      </c>
      <c r="L126" s="709"/>
    </row>
    <row r="127" spans="1:12" ht="14.25" customHeight="1" x14ac:dyDescent="0.15">
      <c r="A127" s="257" t="s">
        <v>742</v>
      </c>
      <c r="B127" s="87" t="s">
        <v>743</v>
      </c>
      <c r="C127" s="33">
        <v>1</v>
      </c>
      <c r="D127" s="18">
        <v>1500</v>
      </c>
      <c r="E127" s="449"/>
      <c r="F127" s="450"/>
      <c r="G127" s="617">
        <v>179</v>
      </c>
      <c r="H127" s="200"/>
      <c r="I127" s="589"/>
      <c r="J127" s="538" t="s">
        <v>783</v>
      </c>
      <c r="K127" s="130"/>
      <c r="L127" s="709"/>
    </row>
    <row r="128" spans="1:12" ht="14.25" customHeight="1" x14ac:dyDescent="0.15">
      <c r="A128" s="257" t="s">
        <v>744</v>
      </c>
      <c r="B128" s="87" t="s">
        <v>745</v>
      </c>
      <c r="C128" s="33">
        <v>1</v>
      </c>
      <c r="D128" s="18">
        <v>3000</v>
      </c>
      <c r="E128" s="449"/>
      <c r="F128" s="450"/>
      <c r="G128" s="617">
        <v>367</v>
      </c>
      <c r="H128" s="200"/>
      <c r="I128" s="589"/>
      <c r="J128" s="538" t="s">
        <v>783</v>
      </c>
      <c r="K128" s="130"/>
      <c r="L128" s="709"/>
    </row>
    <row r="129" spans="1:12" ht="14.25" customHeight="1" x14ac:dyDescent="0.15">
      <c r="A129" s="257" t="s">
        <v>746</v>
      </c>
      <c r="B129" s="87" t="s">
        <v>747</v>
      </c>
      <c r="C129" s="33">
        <v>1</v>
      </c>
      <c r="D129" s="18">
        <v>5000</v>
      </c>
      <c r="E129" s="449"/>
      <c r="F129" s="450"/>
      <c r="G129" s="617">
        <v>619</v>
      </c>
      <c r="H129" s="200"/>
      <c r="I129" s="589"/>
      <c r="J129" s="538" t="s">
        <v>783</v>
      </c>
      <c r="K129" s="130"/>
      <c r="L129" s="709"/>
    </row>
    <row r="130" spans="1:12" ht="14.25" customHeight="1" x14ac:dyDescent="0.15">
      <c r="A130" s="80" t="s">
        <v>130</v>
      </c>
      <c r="B130" s="81" t="s">
        <v>196</v>
      </c>
      <c r="C130" s="29">
        <v>6</v>
      </c>
      <c r="D130" s="30">
        <v>750</v>
      </c>
      <c r="E130" s="447"/>
      <c r="F130" s="448"/>
      <c r="G130" s="614">
        <v>340</v>
      </c>
      <c r="H130" s="199">
        <v>330</v>
      </c>
      <c r="I130" s="581" t="s">
        <v>20</v>
      </c>
      <c r="J130" s="517"/>
      <c r="K130" s="127" t="s">
        <v>193</v>
      </c>
      <c r="L130" s="709"/>
    </row>
    <row r="131" spans="1:12" ht="14.25" customHeight="1" x14ac:dyDescent="0.15">
      <c r="A131" s="80" t="s">
        <v>233</v>
      </c>
      <c r="B131" s="81" t="s">
        <v>415</v>
      </c>
      <c r="C131" s="29">
        <v>6</v>
      </c>
      <c r="D131" s="30">
        <v>750</v>
      </c>
      <c r="E131" s="447"/>
      <c r="F131" s="448"/>
      <c r="G131" s="614">
        <v>340</v>
      </c>
      <c r="H131" s="199">
        <v>330</v>
      </c>
      <c r="I131" s="581" t="s">
        <v>20</v>
      </c>
      <c r="J131" s="517"/>
      <c r="K131" s="127" t="s">
        <v>495</v>
      </c>
      <c r="L131" s="709"/>
    </row>
    <row r="132" spans="1:12" ht="14.25" customHeight="1" x14ac:dyDescent="0.15">
      <c r="A132" s="244" t="s">
        <v>749</v>
      </c>
      <c r="B132" s="81" t="s">
        <v>748</v>
      </c>
      <c r="C132" s="29">
        <v>6</v>
      </c>
      <c r="D132" s="30">
        <v>750</v>
      </c>
      <c r="E132" s="441">
        <v>320</v>
      </c>
      <c r="F132" s="442"/>
      <c r="G132" s="614">
        <v>388</v>
      </c>
      <c r="H132" s="199">
        <v>378</v>
      </c>
      <c r="I132" s="581" t="s">
        <v>20</v>
      </c>
      <c r="J132" s="538" t="s">
        <v>783</v>
      </c>
      <c r="K132" s="127"/>
      <c r="L132" s="709"/>
    </row>
    <row r="133" spans="1:12" ht="14.25" customHeight="1" x14ac:dyDescent="0.15">
      <c r="A133" s="86" t="s">
        <v>234</v>
      </c>
      <c r="B133" s="87" t="s">
        <v>416</v>
      </c>
      <c r="C133" s="33">
        <v>1</v>
      </c>
      <c r="D133" s="18">
        <v>1500</v>
      </c>
      <c r="E133" s="449"/>
      <c r="F133" s="450"/>
      <c r="G133" s="617">
        <v>145</v>
      </c>
      <c r="H133" s="200"/>
      <c r="I133" s="589"/>
      <c r="J133" s="517"/>
      <c r="K133" s="139" t="s">
        <v>495</v>
      </c>
      <c r="L133" s="709"/>
    </row>
    <row r="134" spans="1:12" ht="14.25" customHeight="1" x14ac:dyDescent="0.15">
      <c r="A134" s="257" t="s">
        <v>750</v>
      </c>
      <c r="B134" s="87" t="s">
        <v>751</v>
      </c>
      <c r="C134" s="33">
        <v>1</v>
      </c>
      <c r="D134" s="18">
        <v>1500</v>
      </c>
      <c r="E134" s="449"/>
      <c r="F134" s="450"/>
      <c r="G134" s="617">
        <v>159</v>
      </c>
      <c r="H134" s="200"/>
      <c r="I134" s="589"/>
      <c r="J134" s="538" t="s">
        <v>783</v>
      </c>
      <c r="K134" s="139"/>
      <c r="L134" s="709"/>
    </row>
    <row r="135" spans="1:12" ht="14.25" customHeight="1" x14ac:dyDescent="0.15">
      <c r="A135" s="86" t="s">
        <v>235</v>
      </c>
      <c r="B135" s="87" t="s">
        <v>417</v>
      </c>
      <c r="C135" s="33">
        <v>1</v>
      </c>
      <c r="D135" s="18">
        <v>3000</v>
      </c>
      <c r="E135" s="449"/>
      <c r="F135" s="450"/>
      <c r="G135" s="617">
        <v>287</v>
      </c>
      <c r="H135" s="200"/>
      <c r="I135" s="589"/>
      <c r="J135" s="273" t="s">
        <v>776</v>
      </c>
      <c r="K135" s="139" t="s">
        <v>495</v>
      </c>
      <c r="L135" s="709"/>
    </row>
    <row r="136" spans="1:12" ht="14.25" customHeight="1" x14ac:dyDescent="0.15">
      <c r="A136" s="257" t="s">
        <v>752</v>
      </c>
      <c r="B136" s="87" t="s">
        <v>753</v>
      </c>
      <c r="C136" s="33">
        <v>1</v>
      </c>
      <c r="D136" s="18">
        <v>3000</v>
      </c>
      <c r="E136" s="449"/>
      <c r="F136" s="450"/>
      <c r="G136" s="617">
        <v>324</v>
      </c>
      <c r="H136" s="200"/>
      <c r="I136" s="589"/>
      <c r="J136" s="538" t="s">
        <v>783</v>
      </c>
      <c r="K136" s="139"/>
      <c r="L136" s="709"/>
    </row>
    <row r="137" spans="1:12" ht="14.25" customHeight="1" x14ac:dyDescent="0.15">
      <c r="A137" s="257" t="s">
        <v>754</v>
      </c>
      <c r="B137" s="87" t="s">
        <v>755</v>
      </c>
      <c r="C137" s="33">
        <v>1</v>
      </c>
      <c r="D137" s="18">
        <v>5000</v>
      </c>
      <c r="E137" s="449"/>
      <c r="F137" s="450"/>
      <c r="G137" s="617">
        <v>541</v>
      </c>
      <c r="H137" s="200"/>
      <c r="I137" s="589"/>
      <c r="J137" s="538" t="s">
        <v>783</v>
      </c>
      <c r="K137" s="857"/>
      <c r="L137" s="709"/>
    </row>
    <row r="138" spans="1:12" ht="14.25" customHeight="1" x14ac:dyDescent="0.15">
      <c r="A138" s="257" t="s">
        <v>846</v>
      </c>
      <c r="B138" s="148" t="s">
        <v>815</v>
      </c>
      <c r="C138" s="33">
        <v>6</v>
      </c>
      <c r="D138" s="18">
        <v>500</v>
      </c>
      <c r="E138" s="659">
        <v>165</v>
      </c>
      <c r="F138" s="450"/>
      <c r="G138" s="617">
        <v>195</v>
      </c>
      <c r="H138" s="200"/>
      <c r="I138" s="589"/>
      <c r="J138" s="660" t="s">
        <v>958</v>
      </c>
      <c r="K138" s="857"/>
      <c r="L138" s="709"/>
    </row>
    <row r="139" spans="1:12" s="165" customFormat="1" ht="20" customHeight="1" x14ac:dyDescent="0.25">
      <c r="A139" s="88" t="s">
        <v>61</v>
      </c>
      <c r="B139" s="89"/>
      <c r="C139" s="11"/>
      <c r="D139" s="12"/>
      <c r="E139" s="451"/>
      <c r="F139" s="452"/>
      <c r="G139" s="618"/>
      <c r="H139" s="201"/>
      <c r="I139" s="597"/>
      <c r="J139" s="540"/>
      <c r="K139" s="133"/>
      <c r="L139" s="368"/>
    </row>
    <row r="140" spans="1:12" s="168" customFormat="1" ht="14.25" customHeight="1" x14ac:dyDescent="0.15">
      <c r="A140" s="325" t="s">
        <v>190</v>
      </c>
      <c r="B140" s="328" t="s">
        <v>702</v>
      </c>
      <c r="C140" s="329">
        <v>12</v>
      </c>
      <c r="D140" s="296">
        <v>750</v>
      </c>
      <c r="E140" s="453">
        <v>68</v>
      </c>
      <c r="F140" s="454"/>
      <c r="G140" s="600">
        <v>96</v>
      </c>
      <c r="H140" s="288">
        <v>87</v>
      </c>
      <c r="I140" s="619" t="s">
        <v>18</v>
      </c>
      <c r="J140" s="273" t="s">
        <v>649</v>
      </c>
      <c r="K140" s="327" t="s">
        <v>361</v>
      </c>
      <c r="L140" s="373"/>
    </row>
    <row r="141" spans="1:12" s="168" customFormat="1" ht="14.25" customHeight="1" x14ac:dyDescent="0.15">
      <c r="A141" s="246" t="s">
        <v>600</v>
      </c>
      <c r="B141" s="103" t="s">
        <v>599</v>
      </c>
      <c r="C141" s="34">
        <v>12</v>
      </c>
      <c r="D141" s="14">
        <v>750</v>
      </c>
      <c r="E141" s="721">
        <v>68</v>
      </c>
      <c r="F141" s="418"/>
      <c r="G141" s="598">
        <v>100</v>
      </c>
      <c r="H141" s="151">
        <v>92</v>
      </c>
      <c r="I141" s="599" t="s">
        <v>18</v>
      </c>
      <c r="J141" s="541" t="s">
        <v>601</v>
      </c>
      <c r="K141" s="221"/>
      <c r="L141" s="371" t="s">
        <v>840</v>
      </c>
    </row>
    <row r="142" spans="1:12" s="168" customFormat="1" ht="14.25" customHeight="1" x14ac:dyDescent="0.15">
      <c r="A142" s="92" t="s">
        <v>236</v>
      </c>
      <c r="B142" s="103" t="s">
        <v>237</v>
      </c>
      <c r="C142" s="34">
        <v>12</v>
      </c>
      <c r="D142" s="14">
        <v>750</v>
      </c>
      <c r="E142" s="421"/>
      <c r="F142" s="418"/>
      <c r="G142" s="598">
        <v>103</v>
      </c>
      <c r="H142" s="151">
        <v>93</v>
      </c>
      <c r="I142" s="599" t="s">
        <v>21</v>
      </c>
      <c r="J142" s="517"/>
      <c r="K142" s="140"/>
      <c r="L142" s="373"/>
    </row>
    <row r="143" spans="1:12" s="168" customFormat="1" ht="14.25" customHeight="1" x14ac:dyDescent="0.15">
      <c r="A143" s="246" t="s">
        <v>665</v>
      </c>
      <c r="B143" s="103" t="s">
        <v>666</v>
      </c>
      <c r="C143" s="34">
        <v>12</v>
      </c>
      <c r="D143" s="14">
        <v>750</v>
      </c>
      <c r="E143" s="721">
        <v>74</v>
      </c>
      <c r="F143" s="418"/>
      <c r="G143" s="598">
        <v>109</v>
      </c>
      <c r="H143" s="151">
        <v>99</v>
      </c>
      <c r="I143" s="599" t="s">
        <v>21</v>
      </c>
      <c r="J143" s="541" t="s">
        <v>554</v>
      </c>
      <c r="K143" s="312"/>
      <c r="L143" s="371" t="s">
        <v>840</v>
      </c>
    </row>
    <row r="144" spans="1:12" s="175" customFormat="1" ht="14.25" customHeight="1" x14ac:dyDescent="0.15">
      <c r="A144" s="246" t="s">
        <v>395</v>
      </c>
      <c r="B144" s="93" t="s">
        <v>469</v>
      </c>
      <c r="C144" s="13">
        <v>12</v>
      </c>
      <c r="D144" s="14">
        <v>750</v>
      </c>
      <c r="E144" s="417">
        <v>68</v>
      </c>
      <c r="F144" s="418"/>
      <c r="G144" s="598">
        <v>105</v>
      </c>
      <c r="H144" s="151">
        <v>95</v>
      </c>
      <c r="I144" s="599" t="s">
        <v>18</v>
      </c>
      <c r="J144" s="541" t="s">
        <v>553</v>
      </c>
      <c r="K144" s="312"/>
      <c r="L144" s="373"/>
    </row>
    <row r="145" spans="1:14" s="175" customFormat="1" ht="14.25" customHeight="1" x14ac:dyDescent="0.15">
      <c r="A145" s="246" t="s">
        <v>905</v>
      </c>
      <c r="B145" s="93" t="s">
        <v>906</v>
      </c>
      <c r="C145" s="13">
        <v>12</v>
      </c>
      <c r="D145" s="14">
        <v>750</v>
      </c>
      <c r="E145" s="417">
        <v>68</v>
      </c>
      <c r="F145" s="418"/>
      <c r="G145" s="598">
        <v>105</v>
      </c>
      <c r="H145" s="151">
        <v>95</v>
      </c>
      <c r="I145" s="599" t="s">
        <v>18</v>
      </c>
      <c r="J145" s="541" t="s">
        <v>553</v>
      </c>
      <c r="K145" s="312"/>
      <c r="L145" s="373"/>
    </row>
    <row r="146" spans="1:14" s="171" customFormat="1" ht="14.25" customHeight="1" x14ac:dyDescent="0.15">
      <c r="A146" s="330" t="s">
        <v>172</v>
      </c>
      <c r="B146" s="331" t="s">
        <v>703</v>
      </c>
      <c r="C146" s="332">
        <v>12</v>
      </c>
      <c r="D146" s="326">
        <v>750</v>
      </c>
      <c r="E146" s="455">
        <v>71</v>
      </c>
      <c r="F146" s="456"/>
      <c r="G146" s="620">
        <v>93</v>
      </c>
      <c r="H146" s="316">
        <v>87</v>
      </c>
      <c r="I146" s="619" t="s">
        <v>19</v>
      </c>
      <c r="J146" s="273" t="s">
        <v>649</v>
      </c>
      <c r="K146" s="313"/>
      <c r="L146" s="374"/>
    </row>
    <row r="147" spans="1:14" s="171" customFormat="1" ht="14.25" customHeight="1" x14ac:dyDescent="0.15">
      <c r="A147" s="246" t="s">
        <v>551</v>
      </c>
      <c r="B147" s="252" t="s">
        <v>552</v>
      </c>
      <c r="C147" s="13">
        <v>12</v>
      </c>
      <c r="D147" s="14">
        <v>750</v>
      </c>
      <c r="E147" s="417">
        <v>71</v>
      </c>
      <c r="F147" s="418"/>
      <c r="G147" s="598">
        <v>107</v>
      </c>
      <c r="H147" s="151">
        <v>97</v>
      </c>
      <c r="I147" s="599" t="s">
        <v>521</v>
      </c>
      <c r="J147" s="541" t="s">
        <v>553</v>
      </c>
      <c r="K147" s="142"/>
      <c r="L147" s="374"/>
    </row>
    <row r="148" spans="1:14" s="171" customFormat="1" ht="14.25" customHeight="1" x14ac:dyDescent="0.15">
      <c r="A148" s="90" t="s">
        <v>132</v>
      </c>
      <c r="B148" s="91" t="s">
        <v>131</v>
      </c>
      <c r="C148" s="35">
        <v>12</v>
      </c>
      <c r="D148" s="36">
        <v>750</v>
      </c>
      <c r="E148" s="417">
        <v>71</v>
      </c>
      <c r="F148" s="418"/>
      <c r="G148" s="598">
        <v>93</v>
      </c>
      <c r="H148" s="151">
        <v>87</v>
      </c>
      <c r="I148" s="599" t="s">
        <v>18</v>
      </c>
      <c r="J148" s="542" t="s">
        <v>178</v>
      </c>
      <c r="K148" s="134" t="s">
        <v>424</v>
      </c>
      <c r="L148" s="374"/>
    </row>
    <row r="149" spans="1:14" ht="14.25" customHeight="1" x14ac:dyDescent="0.15">
      <c r="A149" s="242" t="s">
        <v>648</v>
      </c>
      <c r="B149" s="91" t="s">
        <v>352</v>
      </c>
      <c r="C149" s="13">
        <v>12</v>
      </c>
      <c r="D149" s="14">
        <v>750</v>
      </c>
      <c r="E149" s="417">
        <v>81</v>
      </c>
      <c r="F149" s="418"/>
      <c r="G149" s="598">
        <v>113</v>
      </c>
      <c r="H149" s="151">
        <v>105</v>
      </c>
      <c r="I149" s="599" t="s">
        <v>19</v>
      </c>
      <c r="J149" s="543" t="s">
        <v>802</v>
      </c>
      <c r="K149" s="134" t="s">
        <v>115</v>
      </c>
      <c r="L149" s="374"/>
    </row>
    <row r="150" spans="1:14" s="168" customFormat="1" ht="14.25" customHeight="1" x14ac:dyDescent="0.15">
      <c r="A150" s="242" t="s">
        <v>96</v>
      </c>
      <c r="B150" s="93" t="s">
        <v>99</v>
      </c>
      <c r="C150" s="13">
        <v>12</v>
      </c>
      <c r="D150" s="14">
        <v>750</v>
      </c>
      <c r="E150" s="421"/>
      <c r="F150" s="418"/>
      <c r="G150" s="598">
        <v>103</v>
      </c>
      <c r="H150" s="151">
        <v>97</v>
      </c>
      <c r="I150" s="599" t="s">
        <v>18</v>
      </c>
      <c r="J150" s="514" t="s">
        <v>554</v>
      </c>
      <c r="K150" s="141"/>
      <c r="L150" s="373"/>
    </row>
    <row r="151" spans="1:14" s="168" customFormat="1" ht="14.25" customHeight="1" x14ac:dyDescent="0.15">
      <c r="A151" s="242" t="s">
        <v>659</v>
      </c>
      <c r="B151" s="93" t="s">
        <v>660</v>
      </c>
      <c r="C151" s="13">
        <v>12</v>
      </c>
      <c r="D151" s="14">
        <v>750</v>
      </c>
      <c r="E151" s="457">
        <v>81</v>
      </c>
      <c r="F151" s="458"/>
      <c r="G151" s="598">
        <v>109</v>
      </c>
      <c r="H151" s="151">
        <v>103</v>
      </c>
      <c r="I151" s="599" t="s">
        <v>563</v>
      </c>
      <c r="J151" s="514" t="s">
        <v>564</v>
      </c>
      <c r="K151" s="141"/>
      <c r="L151" s="371" t="s">
        <v>571</v>
      </c>
      <c r="M151" s="262"/>
      <c r="N151" s="262"/>
    </row>
    <row r="152" spans="1:14" ht="14.25" customHeight="1" x14ac:dyDescent="0.15">
      <c r="A152" s="275" t="s">
        <v>598</v>
      </c>
      <c r="B152" s="98" t="s">
        <v>597</v>
      </c>
      <c r="C152" s="37">
        <v>12</v>
      </c>
      <c r="D152" s="14">
        <v>750</v>
      </c>
      <c r="E152" s="457">
        <v>81</v>
      </c>
      <c r="F152" s="458"/>
      <c r="G152" s="598">
        <v>109</v>
      </c>
      <c r="H152" s="151">
        <v>103</v>
      </c>
      <c r="I152" s="599" t="s">
        <v>563</v>
      </c>
      <c r="J152" s="514" t="s">
        <v>564</v>
      </c>
      <c r="K152" s="134"/>
      <c r="L152" s="371" t="s">
        <v>571</v>
      </c>
      <c r="M152" s="264"/>
      <c r="N152" s="264"/>
    </row>
    <row r="153" spans="1:14" s="166" customFormat="1" ht="14.25" customHeight="1" x14ac:dyDescent="0.15">
      <c r="A153" s="242" t="s">
        <v>590</v>
      </c>
      <c r="B153" s="91" t="s">
        <v>589</v>
      </c>
      <c r="C153" s="13">
        <v>12</v>
      </c>
      <c r="D153" s="14">
        <v>750</v>
      </c>
      <c r="E153" s="421"/>
      <c r="F153" s="418"/>
      <c r="G153" s="598">
        <v>134</v>
      </c>
      <c r="H153" s="151">
        <v>124</v>
      </c>
      <c r="I153" s="599" t="s">
        <v>21</v>
      </c>
      <c r="J153" s="514" t="s">
        <v>515</v>
      </c>
      <c r="K153" s="135"/>
      <c r="L153" s="373"/>
    </row>
    <row r="154" spans="1:14" s="166" customFormat="1" ht="14.25" customHeight="1" x14ac:dyDescent="0.15">
      <c r="A154" s="785" t="s">
        <v>590</v>
      </c>
      <c r="B154" s="91" t="s">
        <v>589</v>
      </c>
      <c r="C154" s="13">
        <v>12</v>
      </c>
      <c r="D154" s="14">
        <v>750</v>
      </c>
      <c r="E154" s="417">
        <v>95</v>
      </c>
      <c r="F154" s="418"/>
      <c r="G154" s="786"/>
      <c r="H154" s="152"/>
      <c r="I154" s="607"/>
      <c r="J154" s="783" t="s">
        <v>946</v>
      </c>
      <c r="K154" s="135"/>
      <c r="L154" s="373"/>
    </row>
    <row r="155" spans="1:14" s="163" customFormat="1" ht="20" customHeight="1" x14ac:dyDescent="0.2">
      <c r="A155" s="105" t="s">
        <v>200</v>
      </c>
      <c r="B155" s="106"/>
      <c r="C155" s="38"/>
      <c r="D155" s="39"/>
      <c r="E155" s="459"/>
      <c r="F155" s="460"/>
      <c r="G155" s="621"/>
      <c r="H155" s="202"/>
      <c r="I155" s="622"/>
      <c r="J155" s="544"/>
      <c r="K155" s="128"/>
      <c r="L155" s="370"/>
    </row>
    <row r="156" spans="1:14" ht="14.25" customHeight="1" x14ac:dyDescent="0.15">
      <c r="A156" s="107" t="s">
        <v>950</v>
      </c>
      <c r="B156" s="108" t="s">
        <v>973</v>
      </c>
      <c r="C156" s="40">
        <v>6</v>
      </c>
      <c r="D156" s="41">
        <v>500</v>
      </c>
      <c r="E156" s="461">
        <v>90</v>
      </c>
      <c r="F156" s="462"/>
      <c r="G156" s="586">
        <v>114</v>
      </c>
      <c r="H156" s="203"/>
      <c r="I156" s="623"/>
      <c r="J156" s="545"/>
      <c r="K156" s="143"/>
      <c r="L156" s="373"/>
    </row>
    <row r="157" spans="1:14" ht="14.25" customHeight="1" x14ac:dyDescent="0.15">
      <c r="A157" s="82" t="s">
        <v>206</v>
      </c>
      <c r="B157" s="83" t="s">
        <v>464</v>
      </c>
      <c r="C157" s="43">
        <v>12</v>
      </c>
      <c r="D157" s="7">
        <v>750</v>
      </c>
      <c r="E157" s="402"/>
      <c r="F157" s="663"/>
      <c r="G157" s="580">
        <v>99</v>
      </c>
      <c r="H157" s="152"/>
      <c r="I157" s="589"/>
      <c r="J157" s="520" t="s">
        <v>798</v>
      </c>
      <c r="K157" s="127" t="s">
        <v>86</v>
      </c>
      <c r="L157" s="371" t="s">
        <v>571</v>
      </c>
      <c r="M157" s="264"/>
      <c r="N157" s="264"/>
    </row>
    <row r="158" spans="1:14" ht="14.25" customHeight="1" x14ac:dyDescent="0.15">
      <c r="A158" s="84" t="s">
        <v>63</v>
      </c>
      <c r="B158" s="85" t="s">
        <v>463</v>
      </c>
      <c r="C158" s="42">
        <v>6</v>
      </c>
      <c r="D158" s="18">
        <v>1500</v>
      </c>
      <c r="E158" s="410"/>
      <c r="F158" s="664"/>
      <c r="G158" s="590">
        <v>137</v>
      </c>
      <c r="H158" s="152"/>
      <c r="I158" s="589"/>
      <c r="J158" s="520" t="s">
        <v>101</v>
      </c>
      <c r="K158" s="130" t="s">
        <v>86</v>
      </c>
      <c r="L158" s="371" t="s">
        <v>571</v>
      </c>
      <c r="M158" s="264"/>
      <c r="N158" s="264"/>
    </row>
    <row r="159" spans="1:14" ht="14.25" customHeight="1" x14ac:dyDescent="0.15">
      <c r="A159" s="82" t="s">
        <v>250</v>
      </c>
      <c r="B159" s="79" t="s">
        <v>462</v>
      </c>
      <c r="C159" s="44">
        <v>12</v>
      </c>
      <c r="D159" s="7">
        <v>750</v>
      </c>
      <c r="E159" s="467"/>
      <c r="F159" s="665"/>
      <c r="G159" s="580">
        <v>126</v>
      </c>
      <c r="H159" s="151">
        <v>116</v>
      </c>
      <c r="I159" s="581" t="s">
        <v>18</v>
      </c>
      <c r="J159" s="520" t="s">
        <v>798</v>
      </c>
      <c r="K159" s="127"/>
      <c r="L159" s="371" t="s">
        <v>571</v>
      </c>
      <c r="M159" s="264"/>
      <c r="N159" s="264"/>
    </row>
    <row r="160" spans="1:14" ht="26" customHeight="1" x14ac:dyDescent="0.15">
      <c r="A160" s="243" t="s">
        <v>671</v>
      </c>
      <c r="B160" s="79" t="s">
        <v>672</v>
      </c>
      <c r="C160" s="44">
        <v>12</v>
      </c>
      <c r="D160" s="7">
        <v>750</v>
      </c>
      <c r="E160" s="677">
        <v>94</v>
      </c>
      <c r="F160" s="666" t="s">
        <v>811</v>
      </c>
      <c r="G160" s="678">
        <v>136</v>
      </c>
      <c r="H160" s="679">
        <v>124</v>
      </c>
      <c r="I160" s="680" t="s">
        <v>563</v>
      </c>
      <c r="J160" s="681" t="s">
        <v>847</v>
      </c>
      <c r="K160" s="127"/>
      <c r="L160" s="371"/>
      <c r="M160" s="264"/>
      <c r="N160" s="264"/>
    </row>
    <row r="161" spans="1:14" ht="14.25" customHeight="1" x14ac:dyDescent="0.15">
      <c r="A161" s="257" t="s">
        <v>848</v>
      </c>
      <c r="B161" s="79" t="s">
        <v>849</v>
      </c>
      <c r="C161" s="45">
        <v>6</v>
      </c>
      <c r="D161" s="18">
        <v>1500</v>
      </c>
      <c r="E161" s="425">
        <v>117</v>
      </c>
      <c r="F161" s="667"/>
      <c r="G161" s="590">
        <v>147</v>
      </c>
      <c r="H161" s="152"/>
      <c r="I161" s="589"/>
      <c r="J161" s="548" t="s">
        <v>516</v>
      </c>
      <c r="K161" s="127"/>
      <c r="L161" s="371" t="s">
        <v>571</v>
      </c>
      <c r="M161" s="264"/>
      <c r="N161" s="264"/>
    </row>
    <row r="162" spans="1:14" ht="14.25" customHeight="1" x14ac:dyDescent="0.15">
      <c r="A162" s="802" t="s">
        <v>620</v>
      </c>
      <c r="B162" s="241" t="s">
        <v>959</v>
      </c>
      <c r="C162" s="45">
        <v>1</v>
      </c>
      <c r="D162" s="18">
        <v>1500</v>
      </c>
      <c r="E162" s="425">
        <v>50</v>
      </c>
      <c r="F162" s="667"/>
      <c r="G162" s="590">
        <v>66</v>
      </c>
      <c r="H162" s="152"/>
      <c r="I162" s="589"/>
      <c r="J162" s="803" t="s">
        <v>960</v>
      </c>
      <c r="K162" s="127"/>
      <c r="L162" s="371" t="s">
        <v>571</v>
      </c>
      <c r="M162" s="264"/>
      <c r="N162" s="264"/>
    </row>
    <row r="163" spans="1:14" ht="14.25" customHeight="1" x14ac:dyDescent="0.15">
      <c r="A163" s="86" t="s">
        <v>66</v>
      </c>
      <c r="B163" s="87" t="s">
        <v>543</v>
      </c>
      <c r="C163" s="45">
        <v>6</v>
      </c>
      <c r="D163" s="18">
        <v>1500</v>
      </c>
      <c r="E163" s="463"/>
      <c r="F163" s="668"/>
      <c r="G163" s="590">
        <v>154</v>
      </c>
      <c r="H163" s="187">
        <v>132</v>
      </c>
      <c r="I163" s="595" t="s">
        <v>632</v>
      </c>
      <c r="J163" s="795"/>
      <c r="K163" s="130" t="s">
        <v>85</v>
      </c>
      <c r="L163" s="371" t="s">
        <v>571</v>
      </c>
      <c r="M163" s="264"/>
      <c r="N163" s="264"/>
    </row>
    <row r="164" spans="1:14" ht="14.25" customHeight="1" x14ac:dyDescent="0.15">
      <c r="A164" s="289" t="s">
        <v>251</v>
      </c>
      <c r="B164" s="314" t="s">
        <v>685</v>
      </c>
      <c r="C164" s="315">
        <v>12</v>
      </c>
      <c r="D164" s="299">
        <v>750</v>
      </c>
      <c r="E164" s="464">
        <v>110</v>
      </c>
      <c r="F164" s="669"/>
      <c r="G164" s="582">
        <v>138</v>
      </c>
      <c r="H164" s="288">
        <v>132</v>
      </c>
      <c r="I164" s="583" t="s">
        <v>18</v>
      </c>
      <c r="J164" s="520" t="s">
        <v>798</v>
      </c>
      <c r="K164" s="127" t="s">
        <v>215</v>
      </c>
      <c r="L164" s="375"/>
    </row>
    <row r="165" spans="1:14" ht="14.25" customHeight="1" x14ac:dyDescent="0.15">
      <c r="A165" s="80" t="s">
        <v>669</v>
      </c>
      <c r="B165" s="149" t="s">
        <v>670</v>
      </c>
      <c r="C165" s="44">
        <v>12</v>
      </c>
      <c r="D165" s="2">
        <v>750</v>
      </c>
      <c r="E165" s="427">
        <v>110</v>
      </c>
      <c r="F165" s="662" t="s">
        <v>813</v>
      </c>
      <c r="G165" s="580">
        <v>144</v>
      </c>
      <c r="H165" s="151">
        <v>138</v>
      </c>
      <c r="I165" s="581" t="s">
        <v>563</v>
      </c>
      <c r="J165" s="546" t="s">
        <v>798</v>
      </c>
      <c r="K165" s="127"/>
      <c r="L165" s="371"/>
      <c r="M165" s="264"/>
      <c r="N165" s="264"/>
    </row>
    <row r="166" spans="1:14" ht="14.25" customHeight="1" x14ac:dyDescent="0.15">
      <c r="A166" s="244" t="s">
        <v>850</v>
      </c>
      <c r="B166" s="149" t="s">
        <v>851</v>
      </c>
      <c r="C166" s="46">
        <v>6</v>
      </c>
      <c r="D166" s="47">
        <v>1500</v>
      </c>
      <c r="E166" s="465">
        <v>129</v>
      </c>
      <c r="F166" s="670"/>
      <c r="G166" s="624">
        <v>164</v>
      </c>
      <c r="H166" s="152"/>
      <c r="I166" s="589"/>
      <c r="J166" s="548" t="s">
        <v>516</v>
      </c>
      <c r="K166" s="127"/>
      <c r="L166" s="371" t="s">
        <v>571</v>
      </c>
      <c r="M166" s="264"/>
      <c r="N166" s="264"/>
    </row>
    <row r="167" spans="1:14" s="168" customFormat="1" ht="14.25" customHeight="1" x14ac:dyDescent="0.15">
      <c r="A167" s="289" t="s">
        <v>174</v>
      </c>
      <c r="B167" s="290" t="s">
        <v>955</v>
      </c>
      <c r="C167" s="291">
        <v>12</v>
      </c>
      <c r="D167" s="287">
        <v>750</v>
      </c>
      <c r="E167" s="466"/>
      <c r="F167" s="671"/>
      <c r="G167" s="582">
        <v>134</v>
      </c>
      <c r="H167" s="288">
        <v>127</v>
      </c>
      <c r="I167" s="583" t="s">
        <v>18</v>
      </c>
      <c r="J167" s="547" t="s">
        <v>628</v>
      </c>
      <c r="K167" s="292" t="s">
        <v>215</v>
      </c>
      <c r="L167" s="371" t="s">
        <v>571</v>
      </c>
      <c r="M167" s="262"/>
      <c r="N167" s="262"/>
    </row>
    <row r="168" spans="1:14" s="168" customFormat="1" ht="14.25" customHeight="1" x14ac:dyDescent="0.15">
      <c r="A168" s="782" t="s">
        <v>425</v>
      </c>
      <c r="B168" s="109" t="s">
        <v>465</v>
      </c>
      <c r="C168" s="48">
        <v>12</v>
      </c>
      <c r="D168" s="49">
        <v>750</v>
      </c>
      <c r="E168" s="467"/>
      <c r="F168" s="666" t="s">
        <v>811</v>
      </c>
      <c r="G168" s="580">
        <v>142</v>
      </c>
      <c r="H168" s="151">
        <v>135</v>
      </c>
      <c r="I168" s="581" t="s">
        <v>563</v>
      </c>
      <c r="J168" s="507" t="s">
        <v>799</v>
      </c>
      <c r="K168" s="127"/>
      <c r="L168" s="371" t="s">
        <v>571</v>
      </c>
      <c r="M168" s="262"/>
      <c r="N168" s="262"/>
    </row>
    <row r="169" spans="1:14" s="168" customFormat="1" ht="14.25" customHeight="1" x14ac:dyDescent="0.15">
      <c r="A169" s="805" t="s">
        <v>252</v>
      </c>
      <c r="B169" s="85" t="s">
        <v>461</v>
      </c>
      <c r="C169" s="255">
        <v>12</v>
      </c>
      <c r="D169" s="9">
        <v>375</v>
      </c>
      <c r="E169" s="425">
        <v>57</v>
      </c>
      <c r="F169" s="666" t="s">
        <v>811</v>
      </c>
      <c r="G169" s="590">
        <v>86</v>
      </c>
      <c r="H169" s="187">
        <v>80</v>
      </c>
      <c r="I169" s="595" t="s">
        <v>18</v>
      </c>
      <c r="J169" s="541" t="s">
        <v>800</v>
      </c>
      <c r="K169" s="139" t="s">
        <v>215</v>
      </c>
      <c r="L169" s="371" t="s">
        <v>571</v>
      </c>
      <c r="M169" s="262"/>
      <c r="N169" s="262"/>
    </row>
    <row r="170" spans="1:14" s="168" customFormat="1" ht="14.25" customHeight="1" x14ac:dyDescent="0.15">
      <c r="A170" s="806" t="s">
        <v>853</v>
      </c>
      <c r="B170" s="85" t="s">
        <v>854</v>
      </c>
      <c r="C170" s="150">
        <v>6</v>
      </c>
      <c r="D170" s="9">
        <v>1500</v>
      </c>
      <c r="E170" s="425">
        <v>125</v>
      </c>
      <c r="F170" s="667"/>
      <c r="G170" s="590">
        <v>158</v>
      </c>
      <c r="H170" s="188"/>
      <c r="I170" s="591"/>
      <c r="J170" s="548" t="s">
        <v>516</v>
      </c>
      <c r="K170" s="127"/>
      <c r="L170" s="371" t="s">
        <v>571</v>
      </c>
      <c r="M170" s="262"/>
      <c r="N170" s="262"/>
    </row>
    <row r="171" spans="1:14" s="168" customFormat="1" ht="14.25" customHeight="1" x14ac:dyDescent="0.15">
      <c r="A171" s="782" t="s">
        <v>852</v>
      </c>
      <c r="B171" s="109" t="s">
        <v>855</v>
      </c>
      <c r="C171" s="48">
        <v>12</v>
      </c>
      <c r="D171" s="49">
        <v>750</v>
      </c>
      <c r="E171" s="427">
        <v>109</v>
      </c>
      <c r="F171" s="666" t="s">
        <v>811</v>
      </c>
      <c r="G171" s="580">
        <v>142</v>
      </c>
      <c r="H171" s="151">
        <v>135</v>
      </c>
      <c r="I171" s="581" t="s">
        <v>563</v>
      </c>
      <c r="J171" s="507" t="s">
        <v>799</v>
      </c>
      <c r="K171" s="127"/>
      <c r="L171" s="371"/>
      <c r="M171" s="262"/>
      <c r="N171" s="262"/>
    </row>
    <row r="172" spans="1:14" s="168" customFormat="1" ht="14.25" customHeight="1" x14ac:dyDescent="0.15">
      <c r="A172" s="82" t="s">
        <v>175</v>
      </c>
      <c r="B172" s="83" t="s">
        <v>194</v>
      </c>
      <c r="C172" s="25">
        <v>12</v>
      </c>
      <c r="D172" s="2">
        <v>750</v>
      </c>
      <c r="E172" s="427">
        <v>153</v>
      </c>
      <c r="F172" s="672"/>
      <c r="G172" s="580">
        <v>177</v>
      </c>
      <c r="H172" s="151">
        <v>170</v>
      </c>
      <c r="I172" s="581" t="s">
        <v>21</v>
      </c>
      <c r="J172" s="549"/>
      <c r="K172" s="144" t="s">
        <v>27</v>
      </c>
      <c r="L172" s="371" t="s">
        <v>571</v>
      </c>
      <c r="M172" s="262"/>
      <c r="N172" s="262"/>
    </row>
    <row r="173" spans="1:14" s="168" customFormat="1" ht="14.25" customHeight="1" x14ac:dyDescent="0.15">
      <c r="A173" s="243" t="s">
        <v>856</v>
      </c>
      <c r="B173" s="83" t="s">
        <v>857</v>
      </c>
      <c r="C173" s="25">
        <v>12</v>
      </c>
      <c r="D173" s="2">
        <v>750</v>
      </c>
      <c r="E173" s="427">
        <v>150</v>
      </c>
      <c r="F173" s="672"/>
      <c r="G173" s="580">
        <v>177</v>
      </c>
      <c r="H173" s="151">
        <v>173</v>
      </c>
      <c r="I173" s="581" t="s">
        <v>21</v>
      </c>
      <c r="J173" s="541" t="s">
        <v>515</v>
      </c>
      <c r="K173" s="144"/>
      <c r="L173" s="371"/>
      <c r="M173" s="262"/>
      <c r="N173" s="262"/>
    </row>
    <row r="174" spans="1:14" s="168" customFormat="1" ht="14.25" customHeight="1" x14ac:dyDescent="0.15">
      <c r="A174" s="86" t="s">
        <v>547</v>
      </c>
      <c r="B174" s="148" t="s">
        <v>858</v>
      </c>
      <c r="C174" s="150">
        <v>6</v>
      </c>
      <c r="D174" s="9">
        <v>1500</v>
      </c>
      <c r="E174" s="467"/>
      <c r="F174" s="673"/>
      <c r="G174" s="590">
        <v>186</v>
      </c>
      <c r="H174" s="152"/>
      <c r="I174" s="589"/>
      <c r="J174" s="550" t="s">
        <v>548</v>
      </c>
      <c r="K174" s="144"/>
      <c r="L174" s="371" t="s">
        <v>571</v>
      </c>
      <c r="M174" s="262"/>
      <c r="N174" s="262"/>
    </row>
    <row r="175" spans="1:14" s="168" customFormat="1" ht="14.25" customHeight="1" x14ac:dyDescent="0.15">
      <c r="A175" s="257" t="s">
        <v>859</v>
      </c>
      <c r="B175" s="148" t="s">
        <v>860</v>
      </c>
      <c r="C175" s="150">
        <v>6</v>
      </c>
      <c r="D175" s="9">
        <v>1500</v>
      </c>
      <c r="E175" s="427">
        <v>163</v>
      </c>
      <c r="F175" s="673"/>
      <c r="G175" s="590">
        <v>198</v>
      </c>
      <c r="H175" s="152"/>
      <c r="I175" s="589"/>
      <c r="J175" s="541" t="s">
        <v>515</v>
      </c>
      <c r="K175" s="144"/>
      <c r="L175" s="371"/>
      <c r="M175" s="262"/>
      <c r="N175" s="262"/>
    </row>
    <row r="176" spans="1:14" s="168" customFormat="1" ht="14.25" customHeight="1" x14ac:dyDescent="0.15">
      <c r="A176" s="82" t="s">
        <v>399</v>
      </c>
      <c r="B176" s="83" t="s">
        <v>473</v>
      </c>
      <c r="C176" s="228">
        <v>12</v>
      </c>
      <c r="D176" s="2">
        <v>750</v>
      </c>
      <c r="E176" s="467"/>
      <c r="F176" s="428"/>
      <c r="G176" s="580">
        <v>175</v>
      </c>
      <c r="H176" s="151">
        <v>160</v>
      </c>
      <c r="I176" s="581" t="s">
        <v>21</v>
      </c>
      <c r="J176" s="532" t="s">
        <v>863</v>
      </c>
      <c r="K176" s="144"/>
      <c r="L176" s="371" t="s">
        <v>571</v>
      </c>
      <c r="M176" s="262"/>
      <c r="N176" s="262"/>
    </row>
    <row r="177" spans="1:14" s="168" customFormat="1" ht="14.25" customHeight="1" x14ac:dyDescent="0.15">
      <c r="A177" s="243" t="s">
        <v>861</v>
      </c>
      <c r="B177" s="83" t="s">
        <v>862</v>
      </c>
      <c r="C177" s="228">
        <v>12</v>
      </c>
      <c r="D177" s="2">
        <v>750</v>
      </c>
      <c r="E177" s="427">
        <v>140</v>
      </c>
      <c r="F177" s="428"/>
      <c r="G177" s="580">
        <v>175</v>
      </c>
      <c r="H177" s="151">
        <v>163</v>
      </c>
      <c r="I177" s="581" t="s">
        <v>21</v>
      </c>
      <c r="J177" s="541" t="s">
        <v>515</v>
      </c>
      <c r="K177" s="144"/>
      <c r="L177" s="371"/>
      <c r="M177" s="262"/>
      <c r="N177" s="262"/>
    </row>
    <row r="178" spans="1:14" s="168" customFormat="1" ht="14.25" customHeight="1" x14ac:dyDescent="0.15">
      <c r="A178" s="82" t="s">
        <v>79</v>
      </c>
      <c r="B178" s="83" t="s">
        <v>474</v>
      </c>
      <c r="C178" s="6">
        <v>12</v>
      </c>
      <c r="D178" s="2">
        <v>750</v>
      </c>
      <c r="E178" s="467"/>
      <c r="F178" s="468"/>
      <c r="G178" s="580">
        <v>175</v>
      </c>
      <c r="H178" s="151">
        <v>160</v>
      </c>
      <c r="I178" s="581" t="s">
        <v>21</v>
      </c>
      <c r="J178" s="532" t="s">
        <v>864</v>
      </c>
      <c r="K178" s="144"/>
      <c r="L178" s="371" t="s">
        <v>571</v>
      </c>
      <c r="M178" s="262"/>
      <c r="N178" s="262"/>
    </row>
    <row r="179" spans="1:14" s="168" customFormat="1" ht="14.25" customHeight="1" x14ac:dyDescent="0.15">
      <c r="A179" s="244" t="s">
        <v>559</v>
      </c>
      <c r="B179" s="83" t="s">
        <v>560</v>
      </c>
      <c r="C179" s="6">
        <v>12</v>
      </c>
      <c r="D179" s="2">
        <v>750</v>
      </c>
      <c r="E179" s="427">
        <v>140</v>
      </c>
      <c r="F179" s="428"/>
      <c r="G179" s="580">
        <v>175</v>
      </c>
      <c r="H179" s="151">
        <v>163</v>
      </c>
      <c r="I179" s="581" t="s">
        <v>21</v>
      </c>
      <c r="J179" s="541" t="s">
        <v>515</v>
      </c>
      <c r="K179" s="144"/>
      <c r="L179" s="371" t="s">
        <v>571</v>
      </c>
      <c r="M179" s="262"/>
      <c r="N179" s="262"/>
    </row>
    <row r="180" spans="1:14" s="168" customFormat="1" ht="14.25" customHeight="1" x14ac:dyDescent="0.15">
      <c r="A180" s="804" t="s">
        <v>88</v>
      </c>
      <c r="B180" s="83" t="s">
        <v>466</v>
      </c>
      <c r="C180" s="19">
        <v>6</v>
      </c>
      <c r="D180" s="24">
        <v>750</v>
      </c>
      <c r="E180" s="427">
        <v>240</v>
      </c>
      <c r="F180" s="428"/>
      <c r="G180" s="580">
        <v>275</v>
      </c>
      <c r="H180" s="152"/>
      <c r="I180" s="589"/>
      <c r="J180" s="548" t="s">
        <v>516</v>
      </c>
      <c r="K180" s="144" t="s">
        <v>108</v>
      </c>
      <c r="L180" s="371" t="s">
        <v>571</v>
      </c>
      <c r="M180" s="262"/>
      <c r="N180" s="262"/>
    </row>
    <row r="181" spans="1:14" s="168" customFormat="1" ht="14.25" customHeight="1" x14ac:dyDescent="0.15">
      <c r="A181" s="804" t="s">
        <v>89</v>
      </c>
      <c r="B181" s="83" t="s">
        <v>467</v>
      </c>
      <c r="C181" s="19">
        <v>6</v>
      </c>
      <c r="D181" s="24">
        <v>750</v>
      </c>
      <c r="E181" s="427">
        <v>240</v>
      </c>
      <c r="F181" s="428"/>
      <c r="G181" s="580">
        <v>275</v>
      </c>
      <c r="H181" s="152"/>
      <c r="I181" s="589"/>
      <c r="J181" s="548" t="s">
        <v>516</v>
      </c>
      <c r="K181" s="144" t="s">
        <v>109</v>
      </c>
      <c r="L181" s="371" t="s">
        <v>571</v>
      </c>
      <c r="M181" s="262"/>
      <c r="N181" s="262"/>
    </row>
    <row r="182" spans="1:14" s="168" customFormat="1" ht="14.25" customHeight="1" x14ac:dyDescent="0.15">
      <c r="A182" s="804" t="s">
        <v>353</v>
      </c>
      <c r="B182" s="83" t="s">
        <v>468</v>
      </c>
      <c r="C182" s="19">
        <v>6</v>
      </c>
      <c r="D182" s="24">
        <v>750</v>
      </c>
      <c r="E182" s="427">
        <v>240</v>
      </c>
      <c r="F182" s="428"/>
      <c r="G182" s="580">
        <v>275</v>
      </c>
      <c r="H182" s="152"/>
      <c r="I182" s="589"/>
      <c r="J182" s="551"/>
      <c r="K182" s="144" t="s">
        <v>363</v>
      </c>
      <c r="L182" s="371" t="s">
        <v>571</v>
      </c>
      <c r="M182" s="262"/>
      <c r="N182" s="262"/>
    </row>
    <row r="183" spans="1:14" s="168" customFormat="1" ht="14.25" customHeight="1" x14ac:dyDescent="0.15">
      <c r="A183" s="804" t="s">
        <v>90</v>
      </c>
      <c r="B183" s="83" t="s">
        <v>511</v>
      </c>
      <c r="C183" s="19">
        <v>6</v>
      </c>
      <c r="D183" s="24">
        <v>750</v>
      </c>
      <c r="E183" s="427">
        <v>240</v>
      </c>
      <c r="F183" s="428"/>
      <c r="G183" s="580">
        <v>275</v>
      </c>
      <c r="H183" s="152"/>
      <c r="I183" s="589"/>
      <c r="J183" s="548" t="s">
        <v>517</v>
      </c>
      <c r="K183" s="144" t="s">
        <v>180</v>
      </c>
      <c r="L183" s="371" t="s">
        <v>571</v>
      </c>
      <c r="M183" s="262"/>
      <c r="N183" s="262"/>
    </row>
    <row r="184" spans="1:14" s="168" customFormat="1" ht="14.25" customHeight="1" x14ac:dyDescent="0.15">
      <c r="A184" s="804" t="s">
        <v>91</v>
      </c>
      <c r="B184" s="83" t="s">
        <v>512</v>
      </c>
      <c r="C184" s="19">
        <v>6</v>
      </c>
      <c r="D184" s="24">
        <v>750</v>
      </c>
      <c r="E184" s="427">
        <v>240</v>
      </c>
      <c r="F184" s="428"/>
      <c r="G184" s="580">
        <v>275</v>
      </c>
      <c r="H184" s="152"/>
      <c r="I184" s="589"/>
      <c r="J184" s="548" t="s">
        <v>518</v>
      </c>
      <c r="K184" s="127" t="s">
        <v>215</v>
      </c>
      <c r="L184" s="371" t="s">
        <v>571</v>
      </c>
      <c r="M184" s="262"/>
      <c r="N184" s="262"/>
    </row>
    <row r="185" spans="1:14" s="168" customFormat="1" ht="14.25" customHeight="1" x14ac:dyDescent="0.15">
      <c r="A185" s="82" t="s">
        <v>354</v>
      </c>
      <c r="B185" s="83" t="s">
        <v>513</v>
      </c>
      <c r="C185" s="19">
        <v>6</v>
      </c>
      <c r="D185" s="24">
        <v>750</v>
      </c>
      <c r="E185" s="427">
        <v>240</v>
      </c>
      <c r="F185" s="428"/>
      <c r="G185" s="580">
        <v>275</v>
      </c>
      <c r="H185" s="152"/>
      <c r="I185" s="589"/>
      <c r="J185" s="551"/>
      <c r="K185" s="127"/>
      <c r="L185" s="371" t="s">
        <v>571</v>
      </c>
      <c r="M185" s="262"/>
      <c r="N185" s="262"/>
    </row>
    <row r="186" spans="1:14" ht="21" customHeight="1" x14ac:dyDescent="0.15">
      <c r="A186" s="94" t="s">
        <v>7</v>
      </c>
      <c r="B186" s="111"/>
      <c r="C186" s="50"/>
      <c r="D186" s="51"/>
      <c r="E186" s="469"/>
      <c r="F186" s="470"/>
      <c r="G186" s="625"/>
      <c r="H186" s="205"/>
      <c r="I186" s="626"/>
      <c r="J186" s="552"/>
      <c r="K186" s="145"/>
      <c r="L186" s="370"/>
    </row>
    <row r="187" spans="1:14" s="176" customFormat="1" ht="14.25" customHeight="1" x14ac:dyDescent="0.15">
      <c r="A187" s="80" t="s">
        <v>331</v>
      </c>
      <c r="B187" s="81" t="s">
        <v>530</v>
      </c>
      <c r="C187" s="3">
        <v>12</v>
      </c>
      <c r="D187" s="2">
        <v>750</v>
      </c>
      <c r="E187" s="402"/>
      <c r="F187" s="682"/>
      <c r="G187" s="580">
        <v>146</v>
      </c>
      <c r="H187" s="151">
        <v>136</v>
      </c>
      <c r="I187" s="581" t="s">
        <v>18</v>
      </c>
      <c r="J187" s="507" t="s">
        <v>801</v>
      </c>
      <c r="K187" s="127" t="s">
        <v>432</v>
      </c>
      <c r="L187" s="376" t="s">
        <v>571</v>
      </c>
      <c r="M187" s="264"/>
      <c r="N187" s="264"/>
    </row>
    <row r="188" spans="1:14" s="176" customFormat="1" ht="14.25" customHeight="1" x14ac:dyDescent="0.15">
      <c r="A188" s="683" t="s">
        <v>253</v>
      </c>
      <c r="B188" s="684" t="s">
        <v>839</v>
      </c>
      <c r="C188" s="685">
        <v>24</v>
      </c>
      <c r="D188" s="686">
        <v>375</v>
      </c>
      <c r="E188" s="473"/>
      <c r="F188" s="687"/>
      <c r="G188" s="688">
        <v>171</v>
      </c>
      <c r="H188" s="689">
        <v>166</v>
      </c>
      <c r="I188" s="690" t="s">
        <v>18</v>
      </c>
      <c r="J188" s="507" t="s">
        <v>801</v>
      </c>
      <c r="K188" s="130" t="s">
        <v>432</v>
      </c>
      <c r="L188" s="376" t="s">
        <v>571</v>
      </c>
      <c r="M188" s="264"/>
      <c r="N188" s="264"/>
    </row>
    <row r="189" spans="1:14" s="176" customFormat="1" ht="14.25" customHeight="1" x14ac:dyDescent="0.15">
      <c r="A189" s="80" t="s">
        <v>835</v>
      </c>
      <c r="B189" s="81" t="s">
        <v>837</v>
      </c>
      <c r="C189" s="3">
        <v>12</v>
      </c>
      <c r="D189" s="2">
        <v>750</v>
      </c>
      <c r="E189" s="427">
        <v>113</v>
      </c>
      <c r="F189" s="666" t="s">
        <v>811</v>
      </c>
      <c r="G189" s="642"/>
      <c r="H189" s="152"/>
      <c r="I189" s="581" t="s">
        <v>18</v>
      </c>
      <c r="J189" s="507" t="s">
        <v>801</v>
      </c>
      <c r="K189" s="127" t="s">
        <v>432</v>
      </c>
      <c r="L189" s="376" t="s">
        <v>571</v>
      </c>
      <c r="M189" s="264"/>
      <c r="N189" s="264"/>
    </row>
    <row r="190" spans="1:14" s="176" customFormat="1" ht="14.25" customHeight="1" x14ac:dyDescent="0.15">
      <c r="A190" s="86" t="s">
        <v>836</v>
      </c>
      <c r="B190" s="87" t="s">
        <v>838</v>
      </c>
      <c r="C190" s="10">
        <v>24</v>
      </c>
      <c r="D190" s="9">
        <v>375</v>
      </c>
      <c r="E190" s="425">
        <v>140</v>
      </c>
      <c r="F190" s="666" t="s">
        <v>811</v>
      </c>
      <c r="G190" s="702">
        <v>174</v>
      </c>
      <c r="H190" s="703">
        <v>168</v>
      </c>
      <c r="I190" s="595" t="s">
        <v>18</v>
      </c>
      <c r="J190" s="507" t="s">
        <v>801</v>
      </c>
      <c r="K190" s="130" t="s">
        <v>432</v>
      </c>
      <c r="L190" s="376" t="s">
        <v>571</v>
      </c>
      <c r="M190" s="264"/>
      <c r="N190" s="264"/>
    </row>
    <row r="191" spans="1:14" s="176" customFormat="1" ht="14.25" customHeight="1" x14ac:dyDescent="0.15">
      <c r="A191" s="86" t="s">
        <v>254</v>
      </c>
      <c r="B191" s="87" t="s">
        <v>255</v>
      </c>
      <c r="C191" s="10">
        <v>6</v>
      </c>
      <c r="D191" s="9">
        <v>500</v>
      </c>
      <c r="E191" s="463"/>
      <c r="F191" s="668"/>
      <c r="G191" s="590">
        <v>212</v>
      </c>
      <c r="H191" s="187">
        <v>200</v>
      </c>
      <c r="I191" s="595" t="s">
        <v>22</v>
      </c>
      <c r="J191" s="532" t="s">
        <v>864</v>
      </c>
      <c r="K191" s="311"/>
      <c r="L191" s="376" t="s">
        <v>571</v>
      </c>
      <c r="M191" s="264"/>
      <c r="N191" s="264"/>
    </row>
    <row r="192" spans="1:14" s="176" customFormat="1" ht="14.25" customHeight="1" x14ac:dyDescent="0.15">
      <c r="A192" s="257" t="s">
        <v>865</v>
      </c>
      <c r="B192" s="87" t="s">
        <v>866</v>
      </c>
      <c r="C192" s="10"/>
      <c r="D192" s="9"/>
      <c r="E192" s="425">
        <v>184</v>
      </c>
      <c r="F192" s="667"/>
      <c r="G192" s="590">
        <v>220</v>
      </c>
      <c r="H192" s="187">
        <v>214</v>
      </c>
      <c r="I192" s="595" t="s">
        <v>22</v>
      </c>
      <c r="J192" s="553" t="s">
        <v>554</v>
      </c>
      <c r="K192" s="311"/>
      <c r="L192" s="376"/>
      <c r="M192" s="264"/>
      <c r="N192" s="264"/>
    </row>
    <row r="193" spans="1:14" s="168" customFormat="1" ht="14.25" customHeight="1" x14ac:dyDescent="0.15">
      <c r="A193" s="284" t="s">
        <v>207</v>
      </c>
      <c r="B193" s="285" t="s">
        <v>677</v>
      </c>
      <c r="C193" s="302">
        <v>12</v>
      </c>
      <c r="D193" s="299">
        <v>750</v>
      </c>
      <c r="E193" s="471">
        <v>132</v>
      </c>
      <c r="F193" s="674"/>
      <c r="G193" s="582">
        <v>164</v>
      </c>
      <c r="H193" s="288">
        <v>156</v>
      </c>
      <c r="I193" s="583" t="s">
        <v>20</v>
      </c>
      <c r="J193" s="532" t="s">
        <v>649</v>
      </c>
      <c r="K193" s="127" t="s">
        <v>438</v>
      </c>
      <c r="L193" s="376" t="s">
        <v>571</v>
      </c>
      <c r="M193" s="262"/>
      <c r="N193" s="262"/>
    </row>
    <row r="194" spans="1:14" s="168" customFormat="1" ht="16" customHeight="1" x14ac:dyDescent="0.15">
      <c r="A194" s="244" t="s">
        <v>613</v>
      </c>
      <c r="B194" s="149" t="s">
        <v>645</v>
      </c>
      <c r="C194" s="3">
        <v>12</v>
      </c>
      <c r="D194" s="2">
        <v>750</v>
      </c>
      <c r="E194" s="427">
        <v>132</v>
      </c>
      <c r="F194" s="672"/>
      <c r="G194" s="580">
        <v>174</v>
      </c>
      <c r="H194" s="151">
        <v>166</v>
      </c>
      <c r="I194" s="581" t="s">
        <v>20</v>
      </c>
      <c r="J194" s="553" t="s">
        <v>554</v>
      </c>
      <c r="K194" s="127" t="s">
        <v>26</v>
      </c>
      <c r="L194" s="376"/>
      <c r="M194" s="262"/>
      <c r="N194" s="262"/>
    </row>
    <row r="195" spans="1:14" s="701" customFormat="1" ht="27" customHeight="1" x14ac:dyDescent="0.15">
      <c r="A195" s="691" t="s">
        <v>549</v>
      </c>
      <c r="B195" s="692" t="s">
        <v>974</v>
      </c>
      <c r="C195" s="693">
        <v>1</v>
      </c>
      <c r="D195" s="306">
        <v>1500</v>
      </c>
      <c r="E195" s="419"/>
      <c r="F195" s="694"/>
      <c r="G195" s="600">
        <v>95</v>
      </c>
      <c r="H195" s="695"/>
      <c r="I195" s="696"/>
      <c r="J195" s="697" t="s">
        <v>649</v>
      </c>
      <c r="K195" s="698" t="s">
        <v>95</v>
      </c>
      <c r="L195" s="699" t="s">
        <v>571</v>
      </c>
      <c r="M195" s="700"/>
      <c r="N195" s="700"/>
    </row>
    <row r="196" spans="1:14" s="172" customFormat="1" ht="14.25" customHeight="1" x14ac:dyDescent="0.15">
      <c r="A196" s="82" t="s">
        <v>396</v>
      </c>
      <c r="B196" s="83" t="s">
        <v>524</v>
      </c>
      <c r="C196" s="1">
        <v>12</v>
      </c>
      <c r="D196" s="2">
        <v>750</v>
      </c>
      <c r="E196" s="427">
        <v>455</v>
      </c>
      <c r="F196" s="672"/>
      <c r="G196" s="580">
        <v>480</v>
      </c>
      <c r="H196" s="152"/>
      <c r="I196" s="589"/>
      <c r="J196" s="517" t="s">
        <v>924</v>
      </c>
      <c r="K196" s="127" t="s">
        <v>26</v>
      </c>
      <c r="L196" s="376" t="s">
        <v>571</v>
      </c>
      <c r="M196" s="262"/>
      <c r="N196" s="262"/>
    </row>
    <row r="197" spans="1:14" s="172" customFormat="1" ht="14.25" customHeight="1" x14ac:dyDescent="0.15">
      <c r="A197" s="244" t="s">
        <v>396</v>
      </c>
      <c r="B197" s="83" t="s">
        <v>524</v>
      </c>
      <c r="C197" s="3">
        <v>12</v>
      </c>
      <c r="D197" s="2">
        <v>750</v>
      </c>
      <c r="E197" s="427"/>
      <c r="F197" s="672"/>
      <c r="G197" s="580"/>
      <c r="H197" s="152"/>
      <c r="I197" s="589"/>
      <c r="J197" s="553" t="s">
        <v>554</v>
      </c>
      <c r="K197" s="127"/>
      <c r="L197" s="376"/>
      <c r="M197" s="262"/>
      <c r="N197" s="262"/>
    </row>
    <row r="198" spans="1:14" s="168" customFormat="1" ht="14.25" customHeight="1" x14ac:dyDescent="0.15">
      <c r="A198" s="82" t="s">
        <v>256</v>
      </c>
      <c r="B198" s="83" t="s">
        <v>531</v>
      </c>
      <c r="C198" s="1">
        <v>12</v>
      </c>
      <c r="D198" s="2">
        <v>750</v>
      </c>
      <c r="E198" s="427">
        <v>285</v>
      </c>
      <c r="F198" s="672"/>
      <c r="G198" s="580">
        <v>310</v>
      </c>
      <c r="H198" s="206"/>
      <c r="I198" s="589"/>
      <c r="J198" s="517" t="s">
        <v>188</v>
      </c>
      <c r="K198" s="127" t="s">
        <v>368</v>
      </c>
      <c r="L198" s="376" t="s">
        <v>571</v>
      </c>
      <c r="M198" s="262"/>
      <c r="N198" s="262"/>
    </row>
    <row r="199" spans="1:14" ht="14.25" customHeight="1" x14ac:dyDescent="0.15">
      <c r="A199" s="284" t="s">
        <v>257</v>
      </c>
      <c r="B199" s="285" t="s">
        <v>640</v>
      </c>
      <c r="C199" s="298">
        <v>12</v>
      </c>
      <c r="D199" s="299">
        <v>750</v>
      </c>
      <c r="E199" s="471">
        <v>140</v>
      </c>
      <c r="F199" s="674"/>
      <c r="G199" s="582">
        <v>178</v>
      </c>
      <c r="H199" s="288">
        <v>168</v>
      </c>
      <c r="I199" s="583" t="s">
        <v>18</v>
      </c>
      <c r="J199" s="520" t="s">
        <v>639</v>
      </c>
      <c r="K199" s="127"/>
      <c r="L199" s="376" t="s">
        <v>571</v>
      </c>
      <c r="M199" s="264"/>
      <c r="N199" s="264"/>
    </row>
    <row r="200" spans="1:14" s="169" customFormat="1" ht="14.25" customHeight="1" x14ac:dyDescent="0.15">
      <c r="A200" s="289" t="s">
        <v>258</v>
      </c>
      <c r="B200" s="300" t="s">
        <v>673</v>
      </c>
      <c r="C200" s="301">
        <v>12</v>
      </c>
      <c r="D200" s="287">
        <v>375</v>
      </c>
      <c r="E200" s="471">
        <v>78</v>
      </c>
      <c r="F200" s="674"/>
      <c r="G200" s="582">
        <v>96</v>
      </c>
      <c r="H200" s="288">
        <v>90</v>
      </c>
      <c r="I200" s="627" t="s">
        <v>18</v>
      </c>
      <c r="J200" s="520" t="s">
        <v>639</v>
      </c>
      <c r="K200" s="127"/>
      <c r="L200" s="376" t="s">
        <v>571</v>
      </c>
      <c r="M200" s="264"/>
      <c r="N200" s="264"/>
    </row>
    <row r="201" spans="1:14" ht="14.25" customHeight="1" x14ac:dyDescent="0.15">
      <c r="A201" s="804" t="s">
        <v>618</v>
      </c>
      <c r="B201" s="83" t="s">
        <v>619</v>
      </c>
      <c r="C201" s="1">
        <v>12</v>
      </c>
      <c r="D201" s="2">
        <v>750</v>
      </c>
      <c r="E201" s="427">
        <v>140</v>
      </c>
      <c r="F201" s="666" t="s">
        <v>811</v>
      </c>
      <c r="G201" s="580">
        <v>180</v>
      </c>
      <c r="H201" s="151">
        <v>174</v>
      </c>
      <c r="I201" s="581" t="s">
        <v>18</v>
      </c>
      <c r="J201" s="789" t="s">
        <v>798</v>
      </c>
      <c r="K201" s="127" t="s">
        <v>362</v>
      </c>
      <c r="L201" s="376" t="s">
        <v>571</v>
      </c>
      <c r="M201" s="264"/>
      <c r="N201" s="264"/>
    </row>
    <row r="202" spans="1:14" s="169" customFormat="1" ht="14.25" customHeight="1" x14ac:dyDescent="0.15">
      <c r="A202" s="807" t="s">
        <v>586</v>
      </c>
      <c r="B202" s="270" t="s">
        <v>585</v>
      </c>
      <c r="C202" s="52">
        <v>12</v>
      </c>
      <c r="D202" s="47">
        <v>375</v>
      </c>
      <c r="E202" s="465">
        <v>78</v>
      </c>
      <c r="F202" s="666" t="s">
        <v>811</v>
      </c>
      <c r="G202" s="624">
        <v>102</v>
      </c>
      <c r="H202" s="204">
        <v>96</v>
      </c>
      <c r="I202" s="628" t="s">
        <v>18</v>
      </c>
      <c r="J202" s="789" t="s">
        <v>798</v>
      </c>
      <c r="K202" s="130" t="s">
        <v>362</v>
      </c>
      <c r="L202" s="377"/>
      <c r="M202" s="264"/>
      <c r="N202" s="264"/>
    </row>
    <row r="203" spans="1:14" s="169" customFormat="1" ht="14.25" customHeight="1" x14ac:dyDescent="0.15">
      <c r="A203" s="808" t="s">
        <v>596</v>
      </c>
      <c r="B203" s="110" t="s">
        <v>595</v>
      </c>
      <c r="C203" s="52">
        <v>6</v>
      </c>
      <c r="D203" s="47">
        <v>1500</v>
      </c>
      <c r="E203" s="465">
        <v>162</v>
      </c>
      <c r="F203" s="670"/>
      <c r="G203" s="624">
        <v>187</v>
      </c>
      <c r="H203" s="207"/>
      <c r="I203" s="629">
        <v>10</v>
      </c>
      <c r="J203" s="789" t="s">
        <v>961</v>
      </c>
      <c r="K203" s="130" t="s">
        <v>362</v>
      </c>
      <c r="L203" s="376" t="s">
        <v>571</v>
      </c>
      <c r="M203" s="264"/>
      <c r="N203" s="264"/>
    </row>
    <row r="204" spans="1:14" ht="14.25" customHeight="1" x14ac:dyDescent="0.15">
      <c r="A204" s="284" t="s">
        <v>259</v>
      </c>
      <c r="B204" s="285" t="s">
        <v>941</v>
      </c>
      <c r="C204" s="302">
        <v>12</v>
      </c>
      <c r="D204" s="299">
        <v>750</v>
      </c>
      <c r="E204" s="406"/>
      <c r="F204" s="723"/>
      <c r="G204" s="582">
        <v>347</v>
      </c>
      <c r="H204" s="208"/>
      <c r="I204" s="589"/>
      <c r="J204" s="273" t="s">
        <v>556</v>
      </c>
      <c r="K204" s="127" t="s">
        <v>384</v>
      </c>
      <c r="L204" s="376" t="s">
        <v>571</v>
      </c>
      <c r="M204" s="264"/>
      <c r="N204" s="264"/>
    </row>
    <row r="205" spans="1:14" ht="14.25" customHeight="1" x14ac:dyDescent="0.15">
      <c r="A205" s="243" t="s">
        <v>260</v>
      </c>
      <c r="B205" s="83" t="s">
        <v>534</v>
      </c>
      <c r="C205" s="3">
        <v>12</v>
      </c>
      <c r="D205" s="2">
        <v>750</v>
      </c>
      <c r="E205" s="427">
        <v>307</v>
      </c>
      <c r="F205" s="672"/>
      <c r="G205" s="580">
        <v>357</v>
      </c>
      <c r="H205" s="208"/>
      <c r="I205" s="589"/>
      <c r="J205" s="553" t="s">
        <v>554</v>
      </c>
      <c r="K205" s="127" t="s">
        <v>431</v>
      </c>
      <c r="L205" s="376" t="s">
        <v>571</v>
      </c>
      <c r="M205" s="264"/>
      <c r="N205" s="264"/>
    </row>
    <row r="206" spans="1:14" s="176" customFormat="1" ht="14.25" customHeight="1" x14ac:dyDescent="0.15">
      <c r="A206" s="776" t="s">
        <v>261</v>
      </c>
      <c r="B206" s="372" t="s">
        <v>942</v>
      </c>
      <c r="C206" s="777">
        <v>12</v>
      </c>
      <c r="D206" s="778">
        <v>750</v>
      </c>
      <c r="E206" s="780"/>
      <c r="F206" s="781"/>
      <c r="G206" s="779">
        <v>347</v>
      </c>
      <c r="H206" s="209"/>
      <c r="I206" s="589"/>
      <c r="J206" s="273" t="s">
        <v>556</v>
      </c>
      <c r="K206" s="127" t="s">
        <v>53</v>
      </c>
      <c r="L206" s="376" t="s">
        <v>571</v>
      </c>
      <c r="M206" s="264"/>
      <c r="N206" s="264"/>
    </row>
    <row r="207" spans="1:14" s="176" customFormat="1" ht="14.25" customHeight="1" x14ac:dyDescent="0.15">
      <c r="A207" s="243" t="s">
        <v>868</v>
      </c>
      <c r="B207" s="83" t="s">
        <v>869</v>
      </c>
      <c r="C207" s="3">
        <v>12</v>
      </c>
      <c r="D207" s="2">
        <v>750</v>
      </c>
      <c r="E207" s="427">
        <v>307</v>
      </c>
      <c r="F207" s="672"/>
      <c r="G207" s="580">
        <v>357</v>
      </c>
      <c r="H207" s="209"/>
      <c r="I207" s="589"/>
      <c r="J207" s="553" t="s">
        <v>554</v>
      </c>
      <c r="K207" s="127"/>
      <c r="L207" s="376"/>
      <c r="M207" s="264"/>
      <c r="N207" s="264"/>
    </row>
    <row r="208" spans="1:14" s="176" customFormat="1" ht="14.25" customHeight="1" x14ac:dyDescent="0.15">
      <c r="A208" s="82" t="s">
        <v>604</v>
      </c>
      <c r="B208" s="83" t="s">
        <v>603</v>
      </c>
      <c r="C208" s="3">
        <v>12</v>
      </c>
      <c r="D208" s="2">
        <v>750</v>
      </c>
      <c r="E208" s="427">
        <v>172</v>
      </c>
      <c r="F208" s="672"/>
      <c r="G208" s="580">
        <v>208</v>
      </c>
      <c r="H208" s="151">
        <v>198</v>
      </c>
      <c r="I208" s="630" t="s">
        <v>21</v>
      </c>
      <c r="J208" s="273"/>
      <c r="K208" s="127" t="s">
        <v>362</v>
      </c>
      <c r="L208" s="376" t="s">
        <v>571</v>
      </c>
      <c r="M208" s="264"/>
      <c r="N208" s="264"/>
    </row>
    <row r="209" spans="1:14" s="176" customFormat="1" ht="14.25" customHeight="1" x14ac:dyDescent="0.15">
      <c r="A209" s="84" t="s">
        <v>262</v>
      </c>
      <c r="B209" s="112" t="s">
        <v>529</v>
      </c>
      <c r="C209" s="8">
        <v>6</v>
      </c>
      <c r="D209" s="9" t="s">
        <v>5</v>
      </c>
      <c r="E209" s="472">
        <v>155</v>
      </c>
      <c r="F209" s="675"/>
      <c r="G209" s="631">
        <v>200</v>
      </c>
      <c r="H209" s="152"/>
      <c r="I209" s="632"/>
      <c r="J209" s="517" t="s">
        <v>188</v>
      </c>
      <c r="K209" s="130" t="s">
        <v>433</v>
      </c>
      <c r="L209" s="376" t="s">
        <v>571</v>
      </c>
      <c r="M209" s="264"/>
      <c r="N209" s="264"/>
    </row>
    <row r="210" spans="1:14" s="176" customFormat="1" ht="14.25" customHeight="1" x14ac:dyDescent="0.15">
      <c r="A210" s="86" t="s">
        <v>587</v>
      </c>
      <c r="B210" s="272" t="s">
        <v>588</v>
      </c>
      <c r="C210" s="10">
        <v>12</v>
      </c>
      <c r="D210" s="9">
        <v>375</v>
      </c>
      <c r="E210" s="722"/>
      <c r="F210" s="675"/>
      <c r="G210" s="631">
        <v>116</v>
      </c>
      <c r="H210" s="209"/>
      <c r="I210" s="633"/>
      <c r="J210" s="273" t="s">
        <v>870</v>
      </c>
      <c r="K210" s="130" t="s">
        <v>433</v>
      </c>
      <c r="L210" s="377" t="s">
        <v>571</v>
      </c>
      <c r="M210" s="264"/>
      <c r="N210" s="264"/>
    </row>
    <row r="211" spans="1:14" s="176" customFormat="1" ht="14.25" customHeight="1" x14ac:dyDescent="0.15">
      <c r="A211" s="257" t="s">
        <v>587</v>
      </c>
      <c r="B211" s="272" t="s">
        <v>588</v>
      </c>
      <c r="C211" s="10">
        <v>12</v>
      </c>
      <c r="D211" s="9">
        <v>375</v>
      </c>
      <c r="E211" s="472">
        <v>95</v>
      </c>
      <c r="F211" s="675"/>
      <c r="G211" s="631">
        <v>119</v>
      </c>
      <c r="H211" s="209"/>
      <c r="I211" s="633"/>
      <c r="J211" s="553" t="s">
        <v>554</v>
      </c>
      <c r="K211" s="130"/>
      <c r="L211" s="377"/>
      <c r="M211" s="264"/>
      <c r="N211" s="264"/>
    </row>
    <row r="212" spans="1:14" s="177" customFormat="1" ht="14.25" customHeight="1" x14ac:dyDescent="0.2">
      <c r="A212" s="82" t="s">
        <v>263</v>
      </c>
      <c r="B212" s="83" t="s">
        <v>532</v>
      </c>
      <c r="C212" s="3">
        <v>12</v>
      </c>
      <c r="D212" s="2">
        <v>750</v>
      </c>
      <c r="E212" s="467"/>
      <c r="F212" s="672"/>
      <c r="G212" s="580">
        <v>369</v>
      </c>
      <c r="H212" s="151">
        <v>347</v>
      </c>
      <c r="I212" s="581" t="s">
        <v>20</v>
      </c>
      <c r="J212" s="273" t="s">
        <v>871</v>
      </c>
      <c r="K212" s="127" t="s">
        <v>644</v>
      </c>
      <c r="L212" s="376" t="s">
        <v>571</v>
      </c>
      <c r="M212" s="265"/>
      <c r="N212" s="265"/>
    </row>
    <row r="213" spans="1:14" s="176" customFormat="1" ht="14.25" customHeight="1" x14ac:dyDescent="0.15">
      <c r="A213" s="86" t="s">
        <v>264</v>
      </c>
      <c r="B213" s="113" t="s">
        <v>533</v>
      </c>
      <c r="C213" s="10">
        <v>6</v>
      </c>
      <c r="D213" s="9">
        <v>1500</v>
      </c>
      <c r="E213" s="472">
        <v>390</v>
      </c>
      <c r="F213" s="675"/>
      <c r="G213" s="631">
        <v>420</v>
      </c>
      <c r="H213" s="152"/>
      <c r="I213" s="632"/>
      <c r="J213" s="517" t="s">
        <v>188</v>
      </c>
      <c r="K213" s="130" t="s">
        <v>644</v>
      </c>
      <c r="L213" s="376" t="s">
        <v>571</v>
      </c>
      <c r="M213" s="264"/>
      <c r="N213" s="264"/>
    </row>
    <row r="214" spans="1:14" s="176" customFormat="1" ht="14.25" customHeight="1" x14ac:dyDescent="0.15">
      <c r="A214" s="243" t="s">
        <v>872</v>
      </c>
      <c r="B214" s="83" t="s">
        <v>873</v>
      </c>
      <c r="C214" s="3">
        <v>12</v>
      </c>
      <c r="D214" s="2">
        <v>750</v>
      </c>
      <c r="E214" s="427">
        <v>307</v>
      </c>
      <c r="F214" s="672"/>
      <c r="G214" s="580">
        <v>369</v>
      </c>
      <c r="H214" s="151">
        <v>357</v>
      </c>
      <c r="I214" s="581" t="s">
        <v>20</v>
      </c>
      <c r="J214" s="553" t="s">
        <v>554</v>
      </c>
      <c r="K214" s="130"/>
      <c r="L214" s="376"/>
      <c r="M214" s="264"/>
      <c r="N214" s="264"/>
    </row>
    <row r="215" spans="1:14" s="177" customFormat="1" ht="14.25" customHeight="1" x14ac:dyDescent="0.2">
      <c r="A215" s="284" t="s">
        <v>133</v>
      </c>
      <c r="B215" s="285" t="s">
        <v>877</v>
      </c>
      <c r="C215" s="302">
        <v>12</v>
      </c>
      <c r="D215" s="299">
        <v>750</v>
      </c>
      <c r="E215" s="406"/>
      <c r="F215" s="723"/>
      <c r="G215" s="582">
        <v>430</v>
      </c>
      <c r="H215" s="288">
        <v>415</v>
      </c>
      <c r="I215" s="583" t="s">
        <v>20</v>
      </c>
      <c r="J215" s="273" t="s">
        <v>556</v>
      </c>
      <c r="K215" s="127" t="s">
        <v>383</v>
      </c>
      <c r="L215" s="376" t="s">
        <v>571</v>
      </c>
      <c r="M215" s="265"/>
      <c r="N215" s="265"/>
    </row>
    <row r="216" spans="1:14" s="177" customFormat="1" ht="14.25" customHeight="1" x14ac:dyDescent="0.2">
      <c r="A216" s="382" t="s">
        <v>134</v>
      </c>
      <c r="B216" s="381" t="s">
        <v>803</v>
      </c>
      <c r="C216" s="383">
        <v>12</v>
      </c>
      <c r="D216" s="384">
        <v>375</v>
      </c>
      <c r="E216" s="473"/>
      <c r="F216" s="676"/>
      <c r="G216" s="634">
        <v>248</v>
      </c>
      <c r="H216" s="385"/>
      <c r="I216" s="635"/>
      <c r="J216" s="519" t="s">
        <v>556</v>
      </c>
      <c r="K216" s="139" t="s">
        <v>383</v>
      </c>
      <c r="L216" s="376" t="s">
        <v>571</v>
      </c>
      <c r="M216" s="265"/>
      <c r="N216" s="265"/>
    </row>
    <row r="217" spans="1:14" s="177" customFormat="1" ht="14.25" customHeight="1" x14ac:dyDescent="0.2">
      <c r="A217" s="82" t="s">
        <v>265</v>
      </c>
      <c r="B217" s="83" t="s">
        <v>525</v>
      </c>
      <c r="C217" s="3">
        <v>12</v>
      </c>
      <c r="D217" s="2">
        <v>750</v>
      </c>
      <c r="E217" s="427"/>
      <c r="F217" s="672"/>
      <c r="G217" s="580">
        <v>430</v>
      </c>
      <c r="H217" s="151">
        <v>415</v>
      </c>
      <c r="I217" s="581" t="s">
        <v>20</v>
      </c>
      <c r="J217" s="517"/>
      <c r="K217" s="127" t="s">
        <v>643</v>
      </c>
      <c r="L217" s="376" t="s">
        <v>571</v>
      </c>
      <c r="M217" s="265"/>
      <c r="N217" s="265"/>
    </row>
    <row r="218" spans="1:14" s="177" customFormat="1" ht="14.25" customHeight="1" x14ac:dyDescent="0.2">
      <c r="A218" s="724" t="s">
        <v>266</v>
      </c>
      <c r="B218" s="300" t="s">
        <v>876</v>
      </c>
      <c r="C218" s="302">
        <v>12</v>
      </c>
      <c r="D218" s="299">
        <v>375</v>
      </c>
      <c r="E218" s="725">
        <v>218</v>
      </c>
      <c r="F218" s="726"/>
      <c r="G218" s="582">
        <v>255</v>
      </c>
      <c r="H218" s="152"/>
      <c r="I218" s="589"/>
      <c r="J218" s="543" t="s">
        <v>518</v>
      </c>
      <c r="K218" s="130" t="s">
        <v>643</v>
      </c>
      <c r="L218" s="376" t="s">
        <v>571</v>
      </c>
      <c r="M218" s="265"/>
      <c r="N218" s="265"/>
    </row>
    <row r="219" spans="1:14" s="177" customFormat="1" ht="14.25" customHeight="1" x14ac:dyDescent="0.2">
      <c r="A219" s="243" t="s">
        <v>874</v>
      </c>
      <c r="B219" s="83" t="s">
        <v>875</v>
      </c>
      <c r="C219" s="3">
        <v>12</v>
      </c>
      <c r="D219" s="2">
        <v>750</v>
      </c>
      <c r="E219" s="427">
        <v>375</v>
      </c>
      <c r="F219" s="672"/>
      <c r="G219" s="580">
        <v>445</v>
      </c>
      <c r="H219" s="151">
        <v>430</v>
      </c>
      <c r="I219" s="581" t="s">
        <v>20</v>
      </c>
      <c r="J219" s="553" t="s">
        <v>554</v>
      </c>
      <c r="K219" s="130"/>
      <c r="L219" s="376"/>
      <c r="M219" s="265"/>
      <c r="N219" s="265"/>
    </row>
    <row r="220" spans="1:14" s="177" customFormat="1" ht="14.25" customHeight="1" x14ac:dyDescent="0.2">
      <c r="A220" s="257" t="s">
        <v>700</v>
      </c>
      <c r="B220" s="87" t="s">
        <v>701</v>
      </c>
      <c r="C220" s="21">
        <v>1</v>
      </c>
      <c r="D220" s="22">
        <v>1500</v>
      </c>
      <c r="E220" s="425">
        <v>67</v>
      </c>
      <c r="F220" s="426"/>
      <c r="G220" s="590">
        <v>97</v>
      </c>
      <c r="H220" s="152"/>
      <c r="I220" s="589"/>
      <c r="J220" s="273" t="s">
        <v>935</v>
      </c>
      <c r="K220" s="130" t="s">
        <v>643</v>
      </c>
      <c r="L220" s="376" t="s">
        <v>571</v>
      </c>
      <c r="M220" s="265"/>
      <c r="N220" s="265"/>
    </row>
    <row r="221" spans="1:14" ht="14.25" customHeight="1" x14ac:dyDescent="0.15">
      <c r="A221" s="243" t="s">
        <v>29</v>
      </c>
      <c r="B221" s="83" t="s">
        <v>145</v>
      </c>
      <c r="C221" s="23">
        <v>6</v>
      </c>
      <c r="D221" s="24">
        <v>750</v>
      </c>
      <c r="E221" s="427">
        <v>620</v>
      </c>
      <c r="F221" s="428"/>
      <c r="G221" s="580">
        <v>680</v>
      </c>
      <c r="H221" s="210"/>
      <c r="I221" s="589"/>
      <c r="J221" s="543" t="s">
        <v>518</v>
      </c>
      <c r="K221" s="127" t="s">
        <v>72</v>
      </c>
      <c r="L221" s="376" t="s">
        <v>571</v>
      </c>
      <c r="M221" s="264"/>
      <c r="N221" s="264"/>
    </row>
    <row r="222" spans="1:14" s="177" customFormat="1" ht="14.25" customHeight="1" x14ac:dyDescent="0.2">
      <c r="A222" s="82" t="s">
        <v>80</v>
      </c>
      <c r="B222" s="83" t="s">
        <v>144</v>
      </c>
      <c r="C222" s="53">
        <v>6</v>
      </c>
      <c r="D222" s="24">
        <v>750</v>
      </c>
      <c r="E222" s="402"/>
      <c r="F222" s="403"/>
      <c r="G222" s="580">
        <v>492</v>
      </c>
      <c r="H222" s="194"/>
      <c r="I222" s="589"/>
      <c r="J222" s="517"/>
      <c r="K222" s="127" t="s">
        <v>117</v>
      </c>
      <c r="L222" s="376" t="s">
        <v>571</v>
      </c>
      <c r="M222" s="265"/>
      <c r="N222" s="265"/>
    </row>
    <row r="223" spans="1:14" s="177" customFormat="1" ht="14.25" customHeight="1" x14ac:dyDescent="0.2">
      <c r="A223" s="82" t="s">
        <v>135</v>
      </c>
      <c r="B223" s="83" t="s">
        <v>197</v>
      </c>
      <c r="C223" s="53">
        <v>6</v>
      </c>
      <c r="D223" s="24">
        <v>750</v>
      </c>
      <c r="E223" s="402"/>
      <c r="F223" s="403"/>
      <c r="G223" s="580">
        <v>492</v>
      </c>
      <c r="H223" s="194"/>
      <c r="I223" s="589"/>
      <c r="J223" s="517"/>
      <c r="K223" s="127" t="s">
        <v>439</v>
      </c>
      <c r="L223" s="376" t="s">
        <v>571</v>
      </c>
      <c r="M223" s="265"/>
      <c r="N223" s="265"/>
    </row>
    <row r="224" spans="1:14" s="177" customFormat="1" ht="14.25" customHeight="1" x14ac:dyDescent="0.2">
      <c r="A224" s="82" t="s">
        <v>267</v>
      </c>
      <c r="B224" s="83" t="s">
        <v>526</v>
      </c>
      <c r="C224" s="53">
        <v>6</v>
      </c>
      <c r="D224" s="24">
        <v>750</v>
      </c>
      <c r="E224" s="427">
        <v>467</v>
      </c>
      <c r="F224" s="428"/>
      <c r="G224" s="580">
        <v>492</v>
      </c>
      <c r="H224" s="194"/>
      <c r="I224" s="589"/>
      <c r="J224" s="517"/>
      <c r="K224" s="127" t="s">
        <v>428</v>
      </c>
      <c r="L224" s="376" t="s">
        <v>571</v>
      </c>
      <c r="M224" s="265"/>
      <c r="N224" s="265"/>
    </row>
    <row r="225" spans="1:14" s="177" customFormat="1" ht="14.25" customHeight="1" x14ac:dyDescent="0.2">
      <c r="A225" s="853" t="s">
        <v>269</v>
      </c>
      <c r="B225" s="114" t="s">
        <v>475</v>
      </c>
      <c r="C225" s="54">
        <v>6</v>
      </c>
      <c r="D225" s="55">
        <v>750</v>
      </c>
      <c r="E225" s="474"/>
      <c r="F225" s="475"/>
      <c r="G225" s="636">
        <v>630</v>
      </c>
      <c r="H225" s="152"/>
      <c r="I225" s="589"/>
      <c r="J225" s="767"/>
      <c r="K225" s="238" t="s">
        <v>364</v>
      </c>
      <c r="L225" s="376" t="s">
        <v>571</v>
      </c>
      <c r="M225" s="265"/>
      <c r="N225" s="265"/>
    </row>
    <row r="226" spans="1:14" s="177" customFormat="1" ht="14.25" customHeight="1" x14ac:dyDescent="0.2">
      <c r="A226" s="853" t="s">
        <v>268</v>
      </c>
      <c r="B226" s="114" t="s">
        <v>476</v>
      </c>
      <c r="C226" s="54">
        <v>6</v>
      </c>
      <c r="D226" s="55">
        <v>750</v>
      </c>
      <c r="E226" s="474"/>
      <c r="F226" s="475"/>
      <c r="G226" s="636">
        <v>630</v>
      </c>
      <c r="H226" s="152"/>
      <c r="I226" s="589"/>
      <c r="J226" s="767"/>
      <c r="K226" s="238" t="s">
        <v>365</v>
      </c>
      <c r="L226" s="376" t="s">
        <v>571</v>
      </c>
      <c r="M226" s="265"/>
      <c r="N226" s="265"/>
    </row>
    <row r="227" spans="1:14" ht="14.25" customHeight="1" x14ac:dyDescent="0.15">
      <c r="A227" s="805" t="s">
        <v>270</v>
      </c>
      <c r="B227" s="85" t="s">
        <v>271</v>
      </c>
      <c r="C227" s="8">
        <v>1</v>
      </c>
      <c r="D227" s="9">
        <v>1500</v>
      </c>
      <c r="E227" s="425">
        <v>275</v>
      </c>
      <c r="F227" s="426"/>
      <c r="G227" s="590">
        <v>305</v>
      </c>
      <c r="H227" s="152"/>
      <c r="I227" s="589"/>
      <c r="J227" s="543" t="s">
        <v>518</v>
      </c>
      <c r="K227" s="130"/>
      <c r="L227" s="376" t="s">
        <v>571</v>
      </c>
      <c r="M227" s="264"/>
      <c r="N227" s="264"/>
    </row>
    <row r="228" spans="1:14" ht="14.25" customHeight="1" x14ac:dyDescent="0.15">
      <c r="A228" s="805" t="s">
        <v>272</v>
      </c>
      <c r="B228" s="85" t="s">
        <v>276</v>
      </c>
      <c r="C228" s="8">
        <v>1</v>
      </c>
      <c r="D228" s="9">
        <v>1500</v>
      </c>
      <c r="E228" s="425">
        <v>328</v>
      </c>
      <c r="F228" s="426"/>
      <c r="G228" s="590">
        <v>365</v>
      </c>
      <c r="H228" s="152"/>
      <c r="I228" s="589"/>
      <c r="J228" s="543" t="s">
        <v>518</v>
      </c>
      <c r="K228" s="130" t="s">
        <v>366</v>
      </c>
      <c r="L228" s="376" t="s">
        <v>571</v>
      </c>
      <c r="M228" s="264"/>
      <c r="N228" s="264"/>
    </row>
    <row r="229" spans="1:14" ht="14.25" customHeight="1" x14ac:dyDescent="0.15">
      <c r="A229" s="805" t="s">
        <v>273</v>
      </c>
      <c r="B229" s="85" t="s">
        <v>277</v>
      </c>
      <c r="C229" s="8">
        <v>1</v>
      </c>
      <c r="D229" s="9">
        <v>1500</v>
      </c>
      <c r="E229" s="425">
        <v>328</v>
      </c>
      <c r="F229" s="426"/>
      <c r="G229" s="590">
        <v>365</v>
      </c>
      <c r="H229" s="152"/>
      <c r="I229" s="589"/>
      <c r="J229" s="514" t="s">
        <v>882</v>
      </c>
      <c r="K229" s="130" t="s">
        <v>367</v>
      </c>
      <c r="L229" s="376" t="s">
        <v>571</v>
      </c>
      <c r="M229" s="264"/>
      <c r="N229" s="264"/>
    </row>
    <row r="230" spans="1:14" ht="14.25" customHeight="1" x14ac:dyDescent="0.15">
      <c r="A230" s="805" t="s">
        <v>274</v>
      </c>
      <c r="B230" s="85" t="s">
        <v>278</v>
      </c>
      <c r="C230" s="8">
        <v>1</v>
      </c>
      <c r="D230" s="9">
        <v>1500</v>
      </c>
      <c r="E230" s="425">
        <v>328</v>
      </c>
      <c r="F230" s="426"/>
      <c r="G230" s="590">
        <v>365</v>
      </c>
      <c r="H230" s="152"/>
      <c r="I230" s="589"/>
      <c r="J230" s="514" t="s">
        <v>883</v>
      </c>
      <c r="L230" s="376" t="s">
        <v>571</v>
      </c>
      <c r="M230" s="264"/>
      <c r="N230" s="264"/>
    </row>
    <row r="231" spans="1:14" ht="14.25" customHeight="1" x14ac:dyDescent="0.15">
      <c r="A231" s="805" t="s">
        <v>275</v>
      </c>
      <c r="B231" s="85" t="s">
        <v>279</v>
      </c>
      <c r="C231" s="8">
        <v>1</v>
      </c>
      <c r="D231" s="9">
        <v>1500</v>
      </c>
      <c r="E231" s="425">
        <v>328</v>
      </c>
      <c r="F231" s="426"/>
      <c r="G231" s="590">
        <v>365</v>
      </c>
      <c r="H231" s="152"/>
      <c r="I231" s="589"/>
      <c r="J231" s="273" t="s">
        <v>934</v>
      </c>
      <c r="K231" s="130"/>
      <c r="L231" s="376" t="s">
        <v>571</v>
      </c>
      <c r="M231" s="264"/>
      <c r="N231" s="264"/>
    </row>
    <row r="232" spans="1:14" ht="14.25" customHeight="1" x14ac:dyDescent="0.15">
      <c r="A232" s="243" t="s">
        <v>30</v>
      </c>
      <c r="B232" s="83" t="s">
        <v>137</v>
      </c>
      <c r="C232" s="23">
        <v>6</v>
      </c>
      <c r="D232" s="24">
        <v>750</v>
      </c>
      <c r="E232" s="427">
        <v>620</v>
      </c>
      <c r="F232" s="428"/>
      <c r="G232" s="580">
        <v>680</v>
      </c>
      <c r="H232" s="211"/>
      <c r="I232" s="589"/>
      <c r="J232" s="543" t="s">
        <v>518</v>
      </c>
      <c r="K232" s="127" t="s">
        <v>45</v>
      </c>
      <c r="L232" s="376" t="s">
        <v>571</v>
      </c>
      <c r="M232" s="264"/>
      <c r="N232" s="264"/>
    </row>
    <row r="233" spans="1:14" ht="14.25" customHeight="1" x14ac:dyDescent="0.15">
      <c r="A233" s="243" t="s">
        <v>31</v>
      </c>
      <c r="B233" s="83" t="s">
        <v>138</v>
      </c>
      <c r="C233" s="23">
        <v>6</v>
      </c>
      <c r="D233" s="24">
        <v>750</v>
      </c>
      <c r="E233" s="427">
        <v>620</v>
      </c>
      <c r="F233" s="428"/>
      <c r="G233" s="580">
        <v>680</v>
      </c>
      <c r="H233" s="211"/>
      <c r="I233" s="589"/>
      <c r="J233" s="543" t="s">
        <v>518</v>
      </c>
      <c r="K233" s="127" t="s">
        <v>73</v>
      </c>
      <c r="L233" s="376" t="s">
        <v>571</v>
      </c>
      <c r="M233" s="264"/>
      <c r="N233" s="264"/>
    </row>
    <row r="234" spans="1:14" ht="14.25" customHeight="1" x14ac:dyDescent="0.15">
      <c r="A234" s="243" t="s">
        <v>32</v>
      </c>
      <c r="B234" s="83" t="s">
        <v>139</v>
      </c>
      <c r="C234" s="23">
        <v>6</v>
      </c>
      <c r="D234" s="24">
        <v>750</v>
      </c>
      <c r="E234" s="427">
        <v>555</v>
      </c>
      <c r="F234" s="428"/>
      <c r="G234" s="580">
        <v>615</v>
      </c>
      <c r="H234" s="211"/>
      <c r="I234" s="589"/>
      <c r="J234" s="543" t="s">
        <v>518</v>
      </c>
      <c r="K234" s="127" t="s">
        <v>71</v>
      </c>
      <c r="L234" s="376" t="s">
        <v>571</v>
      </c>
      <c r="M234" s="264"/>
      <c r="N234" s="264"/>
    </row>
    <row r="235" spans="1:14" ht="14.25" customHeight="1" x14ac:dyDescent="0.15">
      <c r="A235" s="243" t="s">
        <v>33</v>
      </c>
      <c r="B235" s="83" t="s">
        <v>140</v>
      </c>
      <c r="C235" s="23">
        <v>6</v>
      </c>
      <c r="D235" s="24">
        <v>750</v>
      </c>
      <c r="E235" s="427">
        <v>555</v>
      </c>
      <c r="F235" s="428"/>
      <c r="G235" s="580">
        <v>615</v>
      </c>
      <c r="H235" s="211"/>
      <c r="I235" s="589"/>
      <c r="J235" s="543" t="s">
        <v>518</v>
      </c>
      <c r="K235" s="127" t="s">
        <v>110</v>
      </c>
      <c r="L235" s="376" t="s">
        <v>571</v>
      </c>
      <c r="M235" s="264"/>
      <c r="N235" s="264"/>
    </row>
    <row r="236" spans="1:14" ht="14.25" customHeight="1" x14ac:dyDescent="0.15">
      <c r="A236" s="243" t="s">
        <v>49</v>
      </c>
      <c r="B236" s="83" t="s">
        <v>141</v>
      </c>
      <c r="C236" s="23">
        <v>6</v>
      </c>
      <c r="D236" s="24">
        <v>750</v>
      </c>
      <c r="E236" s="427">
        <v>620</v>
      </c>
      <c r="F236" s="428"/>
      <c r="G236" s="580">
        <v>680</v>
      </c>
      <c r="H236" s="211"/>
      <c r="I236" s="589"/>
      <c r="J236" s="543" t="s">
        <v>518</v>
      </c>
      <c r="K236" s="127" t="s">
        <v>51</v>
      </c>
      <c r="L236" s="376" t="s">
        <v>571</v>
      </c>
      <c r="M236" s="264"/>
      <c r="N236" s="264"/>
    </row>
    <row r="237" spans="1:14" ht="14.25" customHeight="1" x14ac:dyDescent="0.15">
      <c r="A237" s="243" t="s">
        <v>50</v>
      </c>
      <c r="B237" s="83" t="s">
        <v>142</v>
      </c>
      <c r="C237" s="23">
        <v>6</v>
      </c>
      <c r="D237" s="24">
        <v>750</v>
      </c>
      <c r="E237" s="427">
        <v>555</v>
      </c>
      <c r="F237" s="428"/>
      <c r="G237" s="580">
        <v>615</v>
      </c>
      <c r="H237" s="211"/>
      <c r="I237" s="589"/>
      <c r="J237" s="543" t="s">
        <v>518</v>
      </c>
      <c r="K237" s="127" t="s">
        <v>69</v>
      </c>
      <c r="L237" s="376" t="s">
        <v>571</v>
      </c>
      <c r="M237" s="264"/>
      <c r="N237" s="264"/>
    </row>
    <row r="238" spans="1:14" ht="14.25" customHeight="1" x14ac:dyDescent="0.15">
      <c r="A238" s="243" t="s">
        <v>878</v>
      </c>
      <c r="B238" s="83" t="s">
        <v>879</v>
      </c>
      <c r="C238" s="23">
        <v>6</v>
      </c>
      <c r="D238" s="24">
        <v>750</v>
      </c>
      <c r="E238" s="427">
        <v>555</v>
      </c>
      <c r="F238" s="428"/>
      <c r="G238" s="580">
        <v>615</v>
      </c>
      <c r="H238" s="211"/>
      <c r="I238" s="589"/>
      <c r="J238" s="543" t="s">
        <v>518</v>
      </c>
      <c r="K238" s="127"/>
      <c r="L238" s="376"/>
      <c r="M238" s="264"/>
      <c r="N238" s="264"/>
    </row>
    <row r="239" spans="1:14" s="178" customFormat="1" ht="14.25" customHeight="1" x14ac:dyDescent="0.15">
      <c r="A239" s="82" t="s">
        <v>81</v>
      </c>
      <c r="B239" s="83" t="s">
        <v>143</v>
      </c>
      <c r="C239" s="53">
        <v>6</v>
      </c>
      <c r="D239" s="24">
        <v>750</v>
      </c>
      <c r="E239" s="402"/>
      <c r="F239" s="403"/>
      <c r="G239" s="580">
        <v>492</v>
      </c>
      <c r="H239" s="194"/>
      <c r="I239" s="589"/>
      <c r="J239" s="517"/>
      <c r="K239" s="127" t="s">
        <v>118</v>
      </c>
      <c r="L239" s="376" t="s">
        <v>571</v>
      </c>
      <c r="M239" s="266"/>
      <c r="N239" s="266"/>
    </row>
    <row r="240" spans="1:14" s="178" customFormat="1" ht="14.25" customHeight="1" x14ac:dyDescent="0.15">
      <c r="A240" s="82" t="s">
        <v>136</v>
      </c>
      <c r="B240" s="83" t="s">
        <v>198</v>
      </c>
      <c r="C240" s="53">
        <v>6</v>
      </c>
      <c r="D240" s="24">
        <v>750</v>
      </c>
      <c r="E240" s="402"/>
      <c r="F240" s="403"/>
      <c r="G240" s="580">
        <v>492</v>
      </c>
      <c r="H240" s="194"/>
      <c r="I240" s="589"/>
      <c r="J240" s="517"/>
      <c r="K240" s="127" t="s">
        <v>426</v>
      </c>
      <c r="L240" s="376" t="s">
        <v>571</v>
      </c>
      <c r="M240" s="266"/>
      <c r="N240" s="266"/>
    </row>
    <row r="241" spans="1:14" s="178" customFormat="1" ht="14.25" customHeight="1" x14ac:dyDescent="0.15">
      <c r="A241" s="80" t="s">
        <v>280</v>
      </c>
      <c r="B241" s="83" t="s">
        <v>527</v>
      </c>
      <c r="C241" s="53">
        <v>6</v>
      </c>
      <c r="D241" s="24">
        <v>750</v>
      </c>
      <c r="E241" s="427">
        <v>467</v>
      </c>
      <c r="F241" s="428"/>
      <c r="G241" s="580">
        <v>492</v>
      </c>
      <c r="H241" s="194"/>
      <c r="I241" s="589"/>
      <c r="J241" s="555"/>
      <c r="K241" s="127" t="s">
        <v>641</v>
      </c>
      <c r="L241" s="376" t="s">
        <v>571</v>
      </c>
      <c r="M241" s="266"/>
      <c r="N241" s="266"/>
    </row>
    <row r="242" spans="1:14" s="178" customFormat="1" ht="14.25" customHeight="1" x14ac:dyDescent="0.15">
      <c r="A242" s="80" t="s">
        <v>880</v>
      </c>
      <c r="B242" s="83" t="s">
        <v>881</v>
      </c>
      <c r="C242" s="53">
        <v>6</v>
      </c>
      <c r="D242" s="24">
        <v>750</v>
      </c>
      <c r="E242" s="427">
        <v>467</v>
      </c>
      <c r="F242" s="428"/>
      <c r="G242" s="727"/>
      <c r="H242" s="194"/>
      <c r="I242" s="589"/>
      <c r="J242" s="555"/>
      <c r="K242" s="127"/>
      <c r="L242" s="376"/>
      <c r="M242" s="266"/>
      <c r="N242" s="266"/>
    </row>
    <row r="243" spans="1:14" s="179" customFormat="1" ht="14.25" customHeight="1" x14ac:dyDescent="0.15">
      <c r="A243" s="853" t="s">
        <v>281</v>
      </c>
      <c r="B243" s="114" t="s">
        <v>158</v>
      </c>
      <c r="C243" s="54">
        <v>6</v>
      </c>
      <c r="D243" s="55">
        <v>750</v>
      </c>
      <c r="E243" s="476">
        <v>585</v>
      </c>
      <c r="F243" s="477"/>
      <c r="G243" s="636">
        <v>630</v>
      </c>
      <c r="H243" s="152"/>
      <c r="I243" s="589"/>
      <c r="J243" s="767"/>
      <c r="K243" s="238" t="s">
        <v>369</v>
      </c>
      <c r="L243" s="376" t="s">
        <v>571</v>
      </c>
      <c r="M243" s="267"/>
      <c r="N243" s="267"/>
    </row>
    <row r="244" spans="1:14" s="168" customFormat="1" ht="14.25" customHeight="1" x14ac:dyDescent="0.15">
      <c r="A244" s="805" t="s">
        <v>282</v>
      </c>
      <c r="B244" s="85" t="s">
        <v>283</v>
      </c>
      <c r="C244" s="8">
        <v>1</v>
      </c>
      <c r="D244" s="9">
        <v>1500</v>
      </c>
      <c r="E244" s="425">
        <v>275</v>
      </c>
      <c r="F244" s="426"/>
      <c r="G244" s="590">
        <v>305</v>
      </c>
      <c r="H244" s="152"/>
      <c r="I244" s="589"/>
      <c r="J244" s="543" t="s">
        <v>518</v>
      </c>
      <c r="K244" s="130"/>
      <c r="L244" s="376" t="s">
        <v>571</v>
      </c>
      <c r="M244" s="262"/>
      <c r="N244" s="262"/>
    </row>
    <row r="245" spans="1:14" s="168" customFormat="1" ht="14.25" customHeight="1" x14ac:dyDescent="0.15">
      <c r="A245" s="805" t="s">
        <v>284</v>
      </c>
      <c r="B245" s="85" t="s">
        <v>290</v>
      </c>
      <c r="C245" s="8">
        <v>1</v>
      </c>
      <c r="D245" s="9">
        <v>1500</v>
      </c>
      <c r="E245" s="425">
        <v>328</v>
      </c>
      <c r="F245" s="426"/>
      <c r="G245" s="590">
        <v>365</v>
      </c>
      <c r="H245" s="152"/>
      <c r="I245" s="589"/>
      <c r="J245" s="543" t="s">
        <v>518</v>
      </c>
      <c r="K245" s="269" t="s">
        <v>370</v>
      </c>
      <c r="L245" s="376" t="s">
        <v>571</v>
      </c>
      <c r="M245" s="262"/>
      <c r="N245" s="262"/>
    </row>
    <row r="246" spans="1:14" s="168" customFormat="1" ht="14.25" customHeight="1" x14ac:dyDescent="0.15">
      <c r="A246" s="84" t="s">
        <v>285</v>
      </c>
      <c r="B246" s="85" t="s">
        <v>291</v>
      </c>
      <c r="C246" s="8">
        <v>1</v>
      </c>
      <c r="D246" s="9">
        <v>1500</v>
      </c>
      <c r="E246" s="425">
        <v>328</v>
      </c>
      <c r="F246" s="426"/>
      <c r="G246" s="590">
        <v>360</v>
      </c>
      <c r="H246" s="152"/>
      <c r="I246" s="589"/>
      <c r="J246" s="513"/>
      <c r="K246" s="269" t="s">
        <v>371</v>
      </c>
      <c r="L246" s="376" t="s">
        <v>571</v>
      </c>
      <c r="M246" s="262"/>
      <c r="N246" s="262"/>
    </row>
    <row r="247" spans="1:14" s="168" customFormat="1" ht="14.25" customHeight="1" x14ac:dyDescent="0.15">
      <c r="A247" s="84" t="s">
        <v>286</v>
      </c>
      <c r="B247" s="85" t="s">
        <v>292</v>
      </c>
      <c r="C247" s="8">
        <v>1</v>
      </c>
      <c r="D247" s="9">
        <v>1500</v>
      </c>
      <c r="E247" s="425">
        <v>328</v>
      </c>
      <c r="F247" s="426"/>
      <c r="G247" s="590">
        <v>360</v>
      </c>
      <c r="H247" s="152"/>
      <c r="I247" s="589"/>
      <c r="J247" s="513"/>
      <c r="K247" s="222"/>
      <c r="L247" s="376" t="s">
        <v>571</v>
      </c>
      <c r="M247" s="262"/>
      <c r="N247" s="262"/>
    </row>
    <row r="248" spans="1:14" s="168" customFormat="1" ht="14.25" customHeight="1" x14ac:dyDescent="0.15">
      <c r="A248" s="84" t="s">
        <v>287</v>
      </c>
      <c r="B248" s="85" t="s">
        <v>293</v>
      </c>
      <c r="C248" s="8">
        <v>1</v>
      </c>
      <c r="D248" s="9">
        <v>1500</v>
      </c>
      <c r="E248" s="425">
        <v>328</v>
      </c>
      <c r="F248" s="426"/>
      <c r="G248" s="590">
        <v>365</v>
      </c>
      <c r="H248" s="152"/>
      <c r="I248" s="589"/>
      <c r="J248" s="543" t="s">
        <v>518</v>
      </c>
      <c r="K248" s="222" t="s">
        <v>371</v>
      </c>
      <c r="L248" s="376" t="s">
        <v>571</v>
      </c>
      <c r="M248" s="262"/>
      <c r="N248" s="262"/>
    </row>
    <row r="249" spans="1:14" s="168" customFormat="1" ht="14.25" customHeight="1" x14ac:dyDescent="0.15">
      <c r="A249" s="84" t="s">
        <v>288</v>
      </c>
      <c r="B249" s="85" t="s">
        <v>294</v>
      </c>
      <c r="C249" s="8">
        <v>1</v>
      </c>
      <c r="D249" s="9">
        <v>1500</v>
      </c>
      <c r="E249" s="425">
        <v>328</v>
      </c>
      <c r="F249" s="426"/>
      <c r="G249" s="590">
        <v>365</v>
      </c>
      <c r="H249" s="152"/>
      <c r="I249" s="589"/>
      <c r="J249" s="543" t="s">
        <v>518</v>
      </c>
      <c r="K249" s="269" t="s">
        <v>372</v>
      </c>
      <c r="L249" s="376" t="s">
        <v>571</v>
      </c>
      <c r="M249" s="262"/>
      <c r="N249" s="262"/>
    </row>
    <row r="250" spans="1:14" s="168" customFormat="1" ht="14.25" customHeight="1" x14ac:dyDescent="0.15">
      <c r="A250" s="84" t="s">
        <v>54</v>
      </c>
      <c r="B250" s="85" t="s">
        <v>157</v>
      </c>
      <c r="C250" s="8">
        <v>1</v>
      </c>
      <c r="D250" s="9">
        <v>1500</v>
      </c>
      <c r="E250" s="425">
        <v>328</v>
      </c>
      <c r="F250" s="426"/>
      <c r="G250" s="590">
        <v>365</v>
      </c>
      <c r="H250" s="152"/>
      <c r="I250" s="589"/>
      <c r="J250" s="543" t="s">
        <v>518</v>
      </c>
      <c r="K250" s="269" t="s">
        <v>26</v>
      </c>
      <c r="L250" s="376" t="s">
        <v>571</v>
      </c>
      <c r="M250" s="262"/>
      <c r="N250" s="262"/>
    </row>
    <row r="251" spans="1:14" s="168" customFormat="1" ht="14.25" customHeight="1" x14ac:dyDescent="0.15">
      <c r="A251" s="247" t="s">
        <v>289</v>
      </c>
      <c r="B251" s="85" t="s">
        <v>295</v>
      </c>
      <c r="C251" s="8">
        <v>1</v>
      </c>
      <c r="D251" s="9">
        <v>1500</v>
      </c>
      <c r="E251" s="425">
        <v>328</v>
      </c>
      <c r="F251" s="426"/>
      <c r="G251" s="590">
        <v>365</v>
      </c>
      <c r="H251" s="152"/>
      <c r="I251" s="589"/>
      <c r="J251" s="543" t="s">
        <v>518</v>
      </c>
      <c r="K251" s="222"/>
      <c r="L251" s="376"/>
      <c r="M251" s="262"/>
      <c r="N251" s="262"/>
    </row>
    <row r="252" spans="1:14" s="168" customFormat="1" ht="14.25" customHeight="1" x14ac:dyDescent="0.15">
      <c r="A252" s="243" t="s">
        <v>34</v>
      </c>
      <c r="B252" s="83" t="s">
        <v>156</v>
      </c>
      <c r="C252" s="23">
        <v>6</v>
      </c>
      <c r="D252" s="24">
        <v>750</v>
      </c>
      <c r="E252" s="427">
        <v>620</v>
      </c>
      <c r="F252" s="428"/>
      <c r="G252" s="580">
        <v>680</v>
      </c>
      <c r="H252" s="211"/>
      <c r="I252" s="589"/>
      <c r="J252" s="543" t="s">
        <v>663</v>
      </c>
      <c r="K252" s="127" t="s">
        <v>25</v>
      </c>
      <c r="L252" s="376" t="s">
        <v>571</v>
      </c>
      <c r="M252" s="262"/>
      <c r="N252" s="262"/>
    </row>
    <row r="253" spans="1:14" s="168" customFormat="1" ht="14.25" customHeight="1" x14ac:dyDescent="0.15">
      <c r="A253" s="243" t="s">
        <v>35</v>
      </c>
      <c r="B253" s="83" t="s">
        <v>155</v>
      </c>
      <c r="C253" s="23">
        <v>6</v>
      </c>
      <c r="D253" s="24">
        <v>750</v>
      </c>
      <c r="E253" s="427">
        <v>555</v>
      </c>
      <c r="F253" s="428"/>
      <c r="G253" s="580">
        <v>618</v>
      </c>
      <c r="H253" s="211"/>
      <c r="I253" s="589"/>
      <c r="J253" s="543" t="s">
        <v>664</v>
      </c>
      <c r="K253" s="127" t="s">
        <v>46</v>
      </c>
      <c r="L253" s="376" t="s">
        <v>571</v>
      </c>
      <c r="M253" s="262"/>
      <c r="N253" s="262"/>
    </row>
    <row r="254" spans="1:14" s="168" customFormat="1" ht="14.25" customHeight="1" x14ac:dyDescent="0.15">
      <c r="A254" s="243" t="s">
        <v>36</v>
      </c>
      <c r="B254" s="83" t="s">
        <v>154</v>
      </c>
      <c r="C254" s="23">
        <v>6</v>
      </c>
      <c r="D254" s="24">
        <v>750</v>
      </c>
      <c r="E254" s="427">
        <v>555</v>
      </c>
      <c r="F254" s="428"/>
      <c r="G254" s="580">
        <v>618</v>
      </c>
      <c r="H254" s="211"/>
      <c r="I254" s="589"/>
      <c r="J254" s="543" t="s">
        <v>663</v>
      </c>
      <c r="K254" s="127" t="s">
        <v>70</v>
      </c>
      <c r="L254" s="376" t="s">
        <v>571</v>
      </c>
      <c r="M254" s="262"/>
      <c r="N254" s="262"/>
    </row>
    <row r="255" spans="1:14" s="168" customFormat="1" ht="14.25" customHeight="1" x14ac:dyDescent="0.15">
      <c r="A255" s="243" t="s">
        <v>92</v>
      </c>
      <c r="B255" s="83" t="s">
        <v>153</v>
      </c>
      <c r="C255" s="23">
        <v>6</v>
      </c>
      <c r="D255" s="24">
        <v>750</v>
      </c>
      <c r="E255" s="427">
        <v>555</v>
      </c>
      <c r="F255" s="428"/>
      <c r="G255" s="580">
        <v>618</v>
      </c>
      <c r="H255" s="211"/>
      <c r="I255" s="589"/>
      <c r="J255" s="543" t="s">
        <v>663</v>
      </c>
      <c r="K255" s="127" t="s">
        <v>111</v>
      </c>
      <c r="L255" s="376" t="s">
        <v>571</v>
      </c>
      <c r="M255" s="262"/>
      <c r="N255" s="262"/>
    </row>
    <row r="256" spans="1:14" s="168" customFormat="1" ht="14.25" customHeight="1" x14ac:dyDescent="0.15">
      <c r="A256" s="243" t="s">
        <v>634</v>
      </c>
      <c r="B256" s="83" t="s">
        <v>633</v>
      </c>
      <c r="C256" s="23">
        <v>6</v>
      </c>
      <c r="D256" s="24">
        <v>750</v>
      </c>
      <c r="E256" s="427">
        <v>555</v>
      </c>
      <c r="F256" s="428"/>
      <c r="G256" s="580">
        <v>618</v>
      </c>
      <c r="H256" s="212"/>
      <c r="I256" s="589"/>
      <c r="J256" s="543" t="s">
        <v>663</v>
      </c>
      <c r="K256" s="127"/>
      <c r="L256" s="376" t="s">
        <v>571</v>
      </c>
      <c r="M256" s="262"/>
      <c r="N256" s="262"/>
    </row>
    <row r="257" spans="1:14" s="168" customFormat="1" ht="14.25" customHeight="1" x14ac:dyDescent="0.15">
      <c r="A257" s="82" t="s">
        <v>58</v>
      </c>
      <c r="B257" s="83" t="s">
        <v>152</v>
      </c>
      <c r="C257" s="23">
        <v>6</v>
      </c>
      <c r="D257" s="24">
        <v>750</v>
      </c>
      <c r="E257" s="402"/>
      <c r="F257" s="403"/>
      <c r="G257" s="580">
        <v>492</v>
      </c>
      <c r="H257" s="212"/>
      <c r="I257" s="589"/>
      <c r="J257" s="517"/>
      <c r="K257" s="127" t="s">
        <v>87</v>
      </c>
      <c r="L257" s="376" t="s">
        <v>571</v>
      </c>
      <c r="M257" s="262"/>
      <c r="N257" s="262"/>
    </row>
    <row r="258" spans="1:14" s="168" customFormat="1" ht="14.25" customHeight="1" x14ac:dyDescent="0.15">
      <c r="A258" s="82" t="s">
        <v>82</v>
      </c>
      <c r="B258" s="83" t="s">
        <v>151</v>
      </c>
      <c r="C258" s="53">
        <v>6</v>
      </c>
      <c r="D258" s="24">
        <v>750</v>
      </c>
      <c r="E258" s="402"/>
      <c r="F258" s="403"/>
      <c r="G258" s="580">
        <v>492</v>
      </c>
      <c r="H258" s="212"/>
      <c r="I258" s="589"/>
      <c r="J258" s="517"/>
      <c r="K258" s="127" t="s">
        <v>373</v>
      </c>
      <c r="L258" s="376" t="s">
        <v>571</v>
      </c>
      <c r="M258" s="262"/>
      <c r="N258" s="262"/>
    </row>
    <row r="259" spans="1:14" s="168" customFormat="1" ht="14.25" customHeight="1" x14ac:dyDescent="0.15">
      <c r="A259" s="82" t="s">
        <v>146</v>
      </c>
      <c r="B259" s="83" t="s">
        <v>199</v>
      </c>
      <c r="C259" s="53">
        <v>6</v>
      </c>
      <c r="D259" s="24">
        <v>750</v>
      </c>
      <c r="E259" s="402"/>
      <c r="F259" s="403"/>
      <c r="G259" s="580">
        <v>492</v>
      </c>
      <c r="H259" s="212"/>
      <c r="I259" s="589"/>
      <c r="J259" s="517"/>
      <c r="K259" s="127" t="s">
        <v>382</v>
      </c>
      <c r="L259" s="376" t="s">
        <v>571</v>
      </c>
      <c r="M259" s="262"/>
      <c r="N259" s="262"/>
    </row>
    <row r="260" spans="1:14" s="168" customFormat="1" ht="14.25" customHeight="1" x14ac:dyDescent="0.15">
      <c r="A260" s="82" t="s">
        <v>296</v>
      </c>
      <c r="B260" s="83" t="s">
        <v>528</v>
      </c>
      <c r="C260" s="53">
        <v>6</v>
      </c>
      <c r="D260" s="24">
        <v>750</v>
      </c>
      <c r="E260" s="427">
        <v>467</v>
      </c>
      <c r="F260" s="428"/>
      <c r="G260" s="580">
        <v>492</v>
      </c>
      <c r="H260" s="212"/>
      <c r="I260" s="589"/>
      <c r="J260" s="555"/>
      <c r="K260" s="127" t="s">
        <v>642</v>
      </c>
      <c r="L260" s="376" t="s">
        <v>571</v>
      </c>
      <c r="M260" s="262"/>
      <c r="N260" s="262"/>
    </row>
    <row r="261" spans="1:14" s="168" customFormat="1" ht="14.25" customHeight="1" x14ac:dyDescent="0.15">
      <c r="A261" s="853" t="s">
        <v>297</v>
      </c>
      <c r="B261" s="114" t="s">
        <v>477</v>
      </c>
      <c r="C261" s="54">
        <v>6</v>
      </c>
      <c r="D261" s="55">
        <v>750</v>
      </c>
      <c r="E261" s="474"/>
      <c r="F261" s="475"/>
      <c r="G261" s="636">
        <v>630</v>
      </c>
      <c r="H261" s="152"/>
      <c r="I261" s="589"/>
      <c r="J261" s="767"/>
      <c r="K261" s="238" t="s">
        <v>374</v>
      </c>
      <c r="L261" s="376" t="s">
        <v>571</v>
      </c>
      <c r="M261" s="262"/>
      <c r="N261" s="262"/>
    </row>
    <row r="262" spans="1:14" s="168" customFormat="1" ht="14.25" customHeight="1" x14ac:dyDescent="0.15">
      <c r="A262" s="853" t="s">
        <v>298</v>
      </c>
      <c r="B262" s="114" t="s">
        <v>478</v>
      </c>
      <c r="C262" s="54">
        <v>6</v>
      </c>
      <c r="D262" s="55">
        <v>750</v>
      </c>
      <c r="E262" s="474"/>
      <c r="F262" s="475"/>
      <c r="G262" s="636">
        <v>630</v>
      </c>
      <c r="H262" s="152"/>
      <c r="I262" s="589"/>
      <c r="J262" s="767"/>
      <c r="K262" s="238" t="s">
        <v>375</v>
      </c>
      <c r="L262" s="376" t="s">
        <v>571</v>
      </c>
      <c r="M262" s="262"/>
      <c r="N262" s="262"/>
    </row>
    <row r="263" spans="1:14" s="168" customFormat="1" ht="14.25" customHeight="1" x14ac:dyDescent="0.15">
      <c r="A263" s="247" t="s">
        <v>299</v>
      </c>
      <c r="B263" s="85" t="s">
        <v>300</v>
      </c>
      <c r="C263" s="8">
        <v>1</v>
      </c>
      <c r="D263" s="9">
        <v>1500</v>
      </c>
      <c r="E263" s="425">
        <v>275</v>
      </c>
      <c r="F263" s="426"/>
      <c r="G263" s="590">
        <v>305</v>
      </c>
      <c r="H263" s="152"/>
      <c r="I263" s="589"/>
      <c r="J263" s="543" t="s">
        <v>663</v>
      </c>
      <c r="K263" s="130" t="s">
        <v>25</v>
      </c>
      <c r="L263" s="376" t="s">
        <v>571</v>
      </c>
      <c r="M263" s="262"/>
      <c r="N263" s="262"/>
    </row>
    <row r="264" spans="1:14" s="168" customFormat="1" ht="14.25" customHeight="1" x14ac:dyDescent="0.15">
      <c r="A264" s="84" t="s">
        <v>301</v>
      </c>
      <c r="B264" s="85" t="s">
        <v>304</v>
      </c>
      <c r="C264" s="8">
        <v>1</v>
      </c>
      <c r="D264" s="9">
        <v>1500</v>
      </c>
      <c r="E264" s="425">
        <v>328</v>
      </c>
      <c r="F264" s="426"/>
      <c r="G264" s="590">
        <v>360</v>
      </c>
      <c r="H264" s="152"/>
      <c r="I264" s="589"/>
      <c r="J264" s="513"/>
      <c r="K264" s="130" t="s">
        <v>371</v>
      </c>
      <c r="L264" s="376" t="s">
        <v>571</v>
      </c>
      <c r="M264" s="262"/>
      <c r="N264" s="262"/>
    </row>
    <row r="265" spans="1:14" s="168" customFormat="1" ht="14.25" customHeight="1" x14ac:dyDescent="0.15">
      <c r="A265" s="84" t="s">
        <v>302</v>
      </c>
      <c r="B265" s="85" t="s">
        <v>305</v>
      </c>
      <c r="C265" s="8">
        <v>1</v>
      </c>
      <c r="D265" s="9">
        <v>1500</v>
      </c>
      <c r="E265" s="425">
        <v>328</v>
      </c>
      <c r="F265" s="426"/>
      <c r="G265" s="590">
        <v>360</v>
      </c>
      <c r="H265" s="152"/>
      <c r="I265" s="589"/>
      <c r="J265" s="513"/>
      <c r="K265" s="130"/>
      <c r="L265" s="376" t="s">
        <v>571</v>
      </c>
      <c r="M265" s="262"/>
      <c r="N265" s="262"/>
    </row>
    <row r="266" spans="1:14" s="168" customFormat="1" ht="14.25" customHeight="1" x14ac:dyDescent="0.15">
      <c r="A266" s="247" t="s">
        <v>55</v>
      </c>
      <c r="B266" s="85" t="s">
        <v>150</v>
      </c>
      <c r="C266" s="8">
        <v>1</v>
      </c>
      <c r="D266" s="9">
        <v>1500</v>
      </c>
      <c r="E266" s="425">
        <v>328</v>
      </c>
      <c r="F266" s="426"/>
      <c r="G266" s="590">
        <v>365</v>
      </c>
      <c r="H266" s="152"/>
      <c r="I266" s="589"/>
      <c r="J266" s="543" t="s">
        <v>663</v>
      </c>
      <c r="K266" s="130" t="s">
        <v>53</v>
      </c>
      <c r="L266" s="376" t="s">
        <v>571</v>
      </c>
      <c r="M266" s="262"/>
      <c r="N266" s="262"/>
    </row>
    <row r="267" spans="1:14" s="168" customFormat="1" ht="14.25" customHeight="1" x14ac:dyDescent="0.15">
      <c r="A267" s="84" t="s">
        <v>303</v>
      </c>
      <c r="B267" s="85" t="s">
        <v>306</v>
      </c>
      <c r="C267" s="8">
        <v>1</v>
      </c>
      <c r="D267" s="9">
        <v>1500</v>
      </c>
      <c r="E267" s="425">
        <v>328</v>
      </c>
      <c r="F267" s="426"/>
      <c r="G267" s="590">
        <v>348</v>
      </c>
      <c r="H267" s="152"/>
      <c r="I267" s="589"/>
      <c r="J267" s="273" t="s">
        <v>930</v>
      </c>
      <c r="K267" s="130" t="s">
        <v>368</v>
      </c>
      <c r="L267" s="376" t="s">
        <v>571</v>
      </c>
      <c r="M267" s="262"/>
      <c r="N267" s="262"/>
    </row>
    <row r="268" spans="1:14" s="172" customFormat="1" ht="14.25" customHeight="1" x14ac:dyDescent="0.15">
      <c r="A268" s="80" t="s">
        <v>147</v>
      </c>
      <c r="B268" s="81" t="s">
        <v>148</v>
      </c>
      <c r="C268" s="3">
        <v>12</v>
      </c>
      <c r="D268" s="2">
        <v>750</v>
      </c>
      <c r="E268" s="402"/>
      <c r="F268" s="403"/>
      <c r="G268" s="580">
        <v>510</v>
      </c>
      <c r="H268" s="151">
        <v>485</v>
      </c>
      <c r="I268" s="581" t="s">
        <v>20</v>
      </c>
      <c r="J268" s="273" t="s">
        <v>940</v>
      </c>
      <c r="K268" s="127" t="s">
        <v>440</v>
      </c>
      <c r="L268" s="376" t="s">
        <v>571</v>
      </c>
      <c r="M268" s="262"/>
      <c r="N268" s="262"/>
    </row>
    <row r="269" spans="1:14" s="172" customFormat="1" ht="14.25" customHeight="1" x14ac:dyDescent="0.15">
      <c r="A269" s="86" t="s">
        <v>149</v>
      </c>
      <c r="B269" s="87" t="s">
        <v>159</v>
      </c>
      <c r="C269" s="10">
        <v>12</v>
      </c>
      <c r="D269" s="9">
        <v>375</v>
      </c>
      <c r="E269" s="402"/>
      <c r="F269" s="403"/>
      <c r="G269" s="580">
        <v>275</v>
      </c>
      <c r="H269" s="152"/>
      <c r="I269" s="589"/>
      <c r="J269" s="517"/>
      <c r="K269" s="139" t="s">
        <v>441</v>
      </c>
      <c r="L269" s="376" t="s">
        <v>571</v>
      </c>
      <c r="M269" s="262"/>
      <c r="N269" s="262"/>
    </row>
    <row r="270" spans="1:14" s="172" customFormat="1" ht="14.25" customHeight="1" x14ac:dyDescent="0.15">
      <c r="A270" s="80" t="s">
        <v>307</v>
      </c>
      <c r="B270" s="81" t="s">
        <v>536</v>
      </c>
      <c r="C270" s="3">
        <v>12</v>
      </c>
      <c r="D270" s="2">
        <v>750</v>
      </c>
      <c r="E270" s="427">
        <v>440</v>
      </c>
      <c r="F270" s="428"/>
      <c r="G270" s="580">
        <v>510</v>
      </c>
      <c r="H270" s="151">
        <v>485</v>
      </c>
      <c r="I270" s="581" t="s">
        <v>20</v>
      </c>
      <c r="J270" s="517"/>
      <c r="K270" s="223" t="s">
        <v>442</v>
      </c>
      <c r="L270" s="376" t="s">
        <v>571</v>
      </c>
      <c r="M270" s="262"/>
      <c r="N270" s="262"/>
    </row>
    <row r="271" spans="1:14" s="172" customFormat="1" ht="14.25" customHeight="1" x14ac:dyDescent="0.15">
      <c r="A271" s="740" t="s">
        <v>308</v>
      </c>
      <c r="B271" s="741" t="s">
        <v>925</v>
      </c>
      <c r="C271" s="742">
        <v>12</v>
      </c>
      <c r="D271" s="743">
        <v>375</v>
      </c>
      <c r="E271" s="744">
        <v>255</v>
      </c>
      <c r="F271" s="745"/>
      <c r="G271" s="746">
        <v>290</v>
      </c>
      <c r="H271" s="152"/>
      <c r="I271" s="589"/>
      <c r="J271" s="554" t="s">
        <v>515</v>
      </c>
      <c r="K271" s="139" t="s">
        <v>362</v>
      </c>
      <c r="L271" s="376" t="s">
        <v>571</v>
      </c>
      <c r="M271" s="262"/>
      <c r="N271" s="262"/>
    </row>
    <row r="272" spans="1:14" s="172" customFormat="1" ht="14.25" customHeight="1" x14ac:dyDescent="0.15">
      <c r="A272" s="257" t="s">
        <v>309</v>
      </c>
      <c r="B272" s="148" t="s">
        <v>537</v>
      </c>
      <c r="C272" s="10">
        <v>1</v>
      </c>
      <c r="D272" s="9">
        <v>1500</v>
      </c>
      <c r="E272" s="728"/>
      <c r="F272" s="428"/>
      <c r="G272" s="580">
        <v>108</v>
      </c>
      <c r="H272" s="152"/>
      <c r="I272" s="589"/>
      <c r="J272" s="543" t="s">
        <v>663</v>
      </c>
      <c r="K272" s="139" t="s">
        <v>362</v>
      </c>
      <c r="L272" s="376" t="s">
        <v>571</v>
      </c>
      <c r="M272" s="262"/>
      <c r="N272" s="262"/>
    </row>
    <row r="273" spans="1:14" s="172" customFormat="1" ht="14.25" customHeight="1" x14ac:dyDescent="0.15">
      <c r="A273" s="257" t="s">
        <v>884</v>
      </c>
      <c r="B273" s="148" t="s">
        <v>885</v>
      </c>
      <c r="C273" s="10">
        <v>1</v>
      </c>
      <c r="D273" s="9">
        <v>1500</v>
      </c>
      <c r="E273" s="427">
        <v>80</v>
      </c>
      <c r="F273" s="428"/>
      <c r="G273" s="580">
        <v>108</v>
      </c>
      <c r="H273" s="152"/>
      <c r="I273" s="589"/>
      <c r="J273" s="543" t="s">
        <v>663</v>
      </c>
      <c r="K273" s="139"/>
      <c r="L273" s="376"/>
      <c r="M273" s="262"/>
      <c r="N273" s="262"/>
    </row>
    <row r="274" spans="1:14" s="172" customFormat="1" ht="14.25" customHeight="1" x14ac:dyDescent="0.15">
      <c r="A274" s="243" t="s">
        <v>37</v>
      </c>
      <c r="B274" s="83" t="s">
        <v>163</v>
      </c>
      <c r="C274" s="23">
        <v>6</v>
      </c>
      <c r="D274" s="24">
        <v>750</v>
      </c>
      <c r="E274" s="427">
        <v>620</v>
      </c>
      <c r="F274" s="428"/>
      <c r="G274" s="580">
        <v>685</v>
      </c>
      <c r="H274" s="212"/>
      <c r="I274" s="589"/>
      <c r="J274" s="543" t="s">
        <v>663</v>
      </c>
      <c r="K274" s="127" t="s">
        <v>26</v>
      </c>
      <c r="L274" s="376" t="s">
        <v>571</v>
      </c>
      <c r="M274" s="262"/>
      <c r="N274" s="262"/>
    </row>
    <row r="275" spans="1:14" s="168" customFormat="1" ht="14.25" customHeight="1" x14ac:dyDescent="0.15">
      <c r="A275" s="243" t="s">
        <v>38</v>
      </c>
      <c r="B275" s="83" t="s">
        <v>164</v>
      </c>
      <c r="C275" s="23">
        <v>6</v>
      </c>
      <c r="D275" s="24">
        <v>750</v>
      </c>
      <c r="E275" s="427">
        <v>620</v>
      </c>
      <c r="F275" s="428"/>
      <c r="G275" s="580">
        <v>685</v>
      </c>
      <c r="H275" s="212"/>
      <c r="I275" s="589"/>
      <c r="J275" s="543" t="s">
        <v>663</v>
      </c>
      <c r="K275" s="127" t="s">
        <v>112</v>
      </c>
      <c r="L275" s="376" t="s">
        <v>571</v>
      </c>
      <c r="M275" s="262"/>
      <c r="N275" s="262"/>
    </row>
    <row r="276" spans="1:14" s="172" customFormat="1" ht="14.25" customHeight="1" x14ac:dyDescent="0.15">
      <c r="A276" s="243" t="s">
        <v>39</v>
      </c>
      <c r="B276" s="83" t="s">
        <v>165</v>
      </c>
      <c r="C276" s="23">
        <v>6</v>
      </c>
      <c r="D276" s="24">
        <v>750</v>
      </c>
      <c r="E276" s="427">
        <v>620</v>
      </c>
      <c r="F276" s="428"/>
      <c r="G276" s="580">
        <v>685</v>
      </c>
      <c r="H276" s="212"/>
      <c r="I276" s="589"/>
      <c r="J276" s="543" t="s">
        <v>663</v>
      </c>
      <c r="K276" s="127" t="s">
        <v>113</v>
      </c>
      <c r="L276" s="376" t="s">
        <v>571</v>
      </c>
      <c r="M276" s="262"/>
      <c r="N276" s="262"/>
    </row>
    <row r="277" spans="1:14" s="172" customFormat="1" ht="14.25" customHeight="1" x14ac:dyDescent="0.15">
      <c r="A277" s="243" t="s">
        <v>40</v>
      </c>
      <c r="B277" s="83" t="s">
        <v>166</v>
      </c>
      <c r="C277" s="23">
        <v>6</v>
      </c>
      <c r="D277" s="24">
        <v>750</v>
      </c>
      <c r="E277" s="427"/>
      <c r="F277" s="428"/>
      <c r="G277" s="580">
        <v>680</v>
      </c>
      <c r="H277" s="212"/>
      <c r="I277" s="589"/>
      <c r="J277" s="554" t="s">
        <v>886</v>
      </c>
      <c r="K277" s="127" t="s">
        <v>114</v>
      </c>
      <c r="L277" s="376" t="s">
        <v>571</v>
      </c>
      <c r="M277" s="262"/>
      <c r="N277" s="262"/>
    </row>
    <row r="278" spans="1:14" s="172" customFormat="1" ht="14.25" customHeight="1" x14ac:dyDescent="0.15">
      <c r="A278" s="243" t="s">
        <v>40</v>
      </c>
      <c r="B278" s="83" t="s">
        <v>166</v>
      </c>
      <c r="C278" s="23">
        <v>6</v>
      </c>
      <c r="D278" s="24">
        <v>750</v>
      </c>
      <c r="E278" s="427">
        <v>620</v>
      </c>
      <c r="F278" s="428"/>
      <c r="G278" s="580">
        <v>685</v>
      </c>
      <c r="H278" s="212"/>
      <c r="I278" s="589"/>
      <c r="J278" s="543" t="s">
        <v>663</v>
      </c>
      <c r="K278" s="127"/>
      <c r="L278" s="376"/>
      <c r="M278" s="262"/>
      <c r="N278" s="262"/>
    </row>
    <row r="279" spans="1:14" s="168" customFormat="1" ht="14.25" customHeight="1" x14ac:dyDescent="0.15">
      <c r="A279" s="82" t="s">
        <v>160</v>
      </c>
      <c r="B279" s="83" t="s">
        <v>167</v>
      </c>
      <c r="C279" s="53">
        <v>6</v>
      </c>
      <c r="D279" s="24">
        <v>750</v>
      </c>
      <c r="E279" s="402"/>
      <c r="F279" s="403"/>
      <c r="G279" s="580">
        <v>540</v>
      </c>
      <c r="H279" s="212"/>
      <c r="I279" s="589"/>
      <c r="J279" s="555"/>
      <c r="K279" s="127" t="s">
        <v>429</v>
      </c>
      <c r="L279" s="376" t="s">
        <v>571</v>
      </c>
      <c r="M279" s="262"/>
      <c r="N279" s="262"/>
    </row>
    <row r="280" spans="1:14" s="168" customFormat="1" ht="14.25" customHeight="1" x14ac:dyDescent="0.15">
      <c r="A280" s="82" t="s">
        <v>310</v>
      </c>
      <c r="B280" s="83" t="s">
        <v>535</v>
      </c>
      <c r="C280" s="53">
        <v>6</v>
      </c>
      <c r="D280" s="24">
        <v>750</v>
      </c>
      <c r="E280" s="467"/>
      <c r="F280" s="428"/>
      <c r="G280" s="580">
        <v>540</v>
      </c>
      <c r="H280" s="212"/>
      <c r="I280" s="589"/>
      <c r="J280" s="555"/>
      <c r="K280" s="127" t="s">
        <v>427</v>
      </c>
      <c r="L280" s="376" t="s">
        <v>571</v>
      </c>
      <c r="M280" s="262"/>
      <c r="N280" s="262"/>
    </row>
    <row r="281" spans="1:14" s="168" customFormat="1" ht="14.25" customHeight="1" x14ac:dyDescent="0.15">
      <c r="A281" s="82" t="s">
        <v>887</v>
      </c>
      <c r="B281" s="83" t="s">
        <v>888</v>
      </c>
      <c r="C281" s="53">
        <v>6</v>
      </c>
      <c r="D281" s="24">
        <v>750</v>
      </c>
      <c r="E281" s="427">
        <v>515</v>
      </c>
      <c r="F281" s="428"/>
      <c r="G281" s="642"/>
      <c r="H281" s="212"/>
      <c r="I281" s="589"/>
      <c r="J281" s="555"/>
      <c r="K281" s="127"/>
      <c r="L281" s="376"/>
      <c r="M281" s="262"/>
      <c r="N281" s="262"/>
    </row>
    <row r="282" spans="1:14" s="180" customFormat="1" ht="14.25" customHeight="1" x14ac:dyDescent="0.15">
      <c r="A282" s="853" t="s">
        <v>313</v>
      </c>
      <c r="B282" s="114" t="s">
        <v>311</v>
      </c>
      <c r="C282" s="54">
        <v>6</v>
      </c>
      <c r="D282" s="55">
        <v>750</v>
      </c>
      <c r="E282" s="476">
        <v>680</v>
      </c>
      <c r="F282" s="477"/>
      <c r="G282" s="636">
        <v>720</v>
      </c>
      <c r="H282" s="213"/>
      <c r="I282" s="637"/>
      <c r="J282" s="768" t="s">
        <v>931</v>
      </c>
      <c r="K282" s="238" t="s">
        <v>377</v>
      </c>
      <c r="L282" s="376" t="s">
        <v>571</v>
      </c>
      <c r="M282" s="262"/>
      <c r="N282" s="262"/>
    </row>
    <row r="283" spans="1:14" s="180" customFormat="1" ht="14.25" customHeight="1" x14ac:dyDescent="0.15">
      <c r="A283" s="245" t="s">
        <v>313</v>
      </c>
      <c r="B283" s="114" t="s">
        <v>311</v>
      </c>
      <c r="C283" s="54">
        <v>6</v>
      </c>
      <c r="D283" s="55">
        <v>750</v>
      </c>
      <c r="E283" s="476">
        <v>680</v>
      </c>
      <c r="F283" s="477"/>
      <c r="G283" s="636">
        <v>745</v>
      </c>
      <c r="H283" s="213"/>
      <c r="I283" s="637"/>
      <c r="J283" s="554" t="s">
        <v>515</v>
      </c>
      <c r="K283" s="238"/>
      <c r="L283" s="376"/>
      <c r="M283" s="262"/>
      <c r="N283" s="262"/>
    </row>
    <row r="284" spans="1:14" s="180" customFormat="1" ht="14.25" customHeight="1" x14ac:dyDescent="0.15">
      <c r="A284" s="853" t="s">
        <v>314</v>
      </c>
      <c r="B284" s="114" t="s">
        <v>312</v>
      </c>
      <c r="C284" s="54">
        <v>6</v>
      </c>
      <c r="D284" s="55">
        <v>750</v>
      </c>
      <c r="E284" s="476">
        <v>640</v>
      </c>
      <c r="F284" s="477"/>
      <c r="G284" s="636">
        <v>680</v>
      </c>
      <c r="H284" s="213"/>
      <c r="I284" s="637"/>
      <c r="J284" s="768" t="s">
        <v>932</v>
      </c>
      <c r="K284" s="238" t="s">
        <v>378</v>
      </c>
      <c r="L284" s="376" t="s">
        <v>571</v>
      </c>
      <c r="M284" s="262"/>
      <c r="N284" s="262"/>
    </row>
    <row r="285" spans="1:14" s="180" customFormat="1" ht="14.25" customHeight="1" x14ac:dyDescent="0.15">
      <c r="A285" s="245" t="s">
        <v>314</v>
      </c>
      <c r="B285" s="114" t="s">
        <v>312</v>
      </c>
      <c r="C285" s="54">
        <v>6</v>
      </c>
      <c r="D285" s="55">
        <v>750</v>
      </c>
      <c r="E285" s="476">
        <v>640</v>
      </c>
      <c r="F285" s="477"/>
      <c r="G285" s="636">
        <v>695</v>
      </c>
      <c r="H285" s="213"/>
      <c r="I285" s="637"/>
      <c r="J285" s="554" t="s">
        <v>515</v>
      </c>
      <c r="K285" s="238"/>
      <c r="L285" s="376"/>
      <c r="M285" s="262"/>
      <c r="N285" s="262"/>
    </row>
    <row r="286" spans="1:14" s="180" customFormat="1" ht="14.25" customHeight="1" x14ac:dyDescent="0.15">
      <c r="A286" s="245" t="s">
        <v>355</v>
      </c>
      <c r="B286" s="114" t="s">
        <v>479</v>
      </c>
      <c r="C286" s="54">
        <v>6</v>
      </c>
      <c r="D286" s="55">
        <v>750</v>
      </c>
      <c r="E286" s="476">
        <v>640</v>
      </c>
      <c r="F286" s="477"/>
      <c r="G286" s="636">
        <v>675</v>
      </c>
      <c r="H286" s="213"/>
      <c r="I286" s="637"/>
      <c r="J286" s="768" t="s">
        <v>933</v>
      </c>
      <c r="K286" s="238" t="s">
        <v>379</v>
      </c>
      <c r="L286" s="376" t="s">
        <v>571</v>
      </c>
      <c r="M286" s="262"/>
      <c r="N286" s="262"/>
    </row>
    <row r="287" spans="1:14" s="168" customFormat="1" ht="14.25" customHeight="1" x14ac:dyDescent="0.15">
      <c r="A287" s="247" t="s">
        <v>315</v>
      </c>
      <c r="B287" s="85" t="s">
        <v>316</v>
      </c>
      <c r="C287" s="8">
        <v>1</v>
      </c>
      <c r="D287" s="9">
        <v>1500</v>
      </c>
      <c r="E287" s="748">
        <v>300</v>
      </c>
      <c r="F287" s="749"/>
      <c r="G287" s="590">
        <v>335</v>
      </c>
      <c r="H287" s="152"/>
      <c r="I287" s="589"/>
      <c r="J287" s="543" t="s">
        <v>663</v>
      </c>
      <c r="K287" s="130"/>
      <c r="L287" s="376" t="s">
        <v>571</v>
      </c>
      <c r="M287" s="262"/>
      <c r="N287" s="262"/>
    </row>
    <row r="288" spans="1:14" s="168" customFormat="1" ht="14.25" customHeight="1" x14ac:dyDescent="0.15">
      <c r="A288" s="247" t="s">
        <v>317</v>
      </c>
      <c r="B288" s="85" t="s">
        <v>321</v>
      </c>
      <c r="C288" s="8">
        <v>1</v>
      </c>
      <c r="D288" s="9">
        <v>1500</v>
      </c>
      <c r="E288" s="425">
        <v>355</v>
      </c>
      <c r="F288" s="426"/>
      <c r="G288" s="590">
        <v>385</v>
      </c>
      <c r="H288" s="152"/>
      <c r="I288" s="589"/>
      <c r="J288" s="543" t="s">
        <v>663</v>
      </c>
      <c r="K288" s="130" t="s">
        <v>380</v>
      </c>
      <c r="L288" s="376" t="s">
        <v>571</v>
      </c>
      <c r="M288" s="262"/>
      <c r="N288" s="262"/>
    </row>
    <row r="289" spans="1:14" s="168" customFormat="1" ht="14.25" customHeight="1" x14ac:dyDescent="0.15">
      <c r="A289" s="84" t="s">
        <v>318</v>
      </c>
      <c r="B289" s="85" t="s">
        <v>322</v>
      </c>
      <c r="C289" s="8">
        <v>1</v>
      </c>
      <c r="D289" s="9">
        <v>1500</v>
      </c>
      <c r="E289" s="425">
        <v>355</v>
      </c>
      <c r="F289" s="426"/>
      <c r="G289" s="590">
        <v>385</v>
      </c>
      <c r="H289" s="152"/>
      <c r="I289" s="589"/>
      <c r="J289" s="513"/>
      <c r="K289" s="130" t="s">
        <v>376</v>
      </c>
      <c r="L289" s="376" t="s">
        <v>571</v>
      </c>
      <c r="M289" s="262"/>
      <c r="N289" s="262"/>
    </row>
    <row r="290" spans="1:14" s="168" customFormat="1" ht="14.25" customHeight="1" x14ac:dyDescent="0.15">
      <c r="A290" s="84" t="s">
        <v>319</v>
      </c>
      <c r="B290" s="85" t="s">
        <v>323</v>
      </c>
      <c r="C290" s="8">
        <v>1</v>
      </c>
      <c r="D290" s="9">
        <v>1500</v>
      </c>
      <c r="E290" s="425">
        <v>355</v>
      </c>
      <c r="F290" s="426"/>
      <c r="G290" s="590">
        <v>385</v>
      </c>
      <c r="H290" s="152"/>
      <c r="I290" s="589"/>
      <c r="J290" s="513"/>
      <c r="K290" s="130"/>
      <c r="L290" s="376" t="s">
        <v>571</v>
      </c>
      <c r="M290" s="262"/>
      <c r="N290" s="262"/>
    </row>
    <row r="291" spans="1:14" s="168" customFormat="1" ht="14.25" customHeight="1" x14ac:dyDescent="0.15">
      <c r="A291" s="84" t="s">
        <v>320</v>
      </c>
      <c r="B291" s="85" t="s">
        <v>324</v>
      </c>
      <c r="C291" s="8">
        <v>1</v>
      </c>
      <c r="D291" s="9">
        <v>1500</v>
      </c>
      <c r="E291" s="425">
        <v>355</v>
      </c>
      <c r="F291" s="426"/>
      <c r="G291" s="590">
        <v>385</v>
      </c>
      <c r="H291" s="152"/>
      <c r="I291" s="589"/>
      <c r="J291" s="543" t="s">
        <v>663</v>
      </c>
      <c r="K291" s="130" t="s">
        <v>376</v>
      </c>
      <c r="L291" s="376" t="s">
        <v>571</v>
      </c>
      <c r="M291" s="262"/>
      <c r="N291" s="262"/>
    </row>
    <row r="292" spans="1:14" s="168" customFormat="1" ht="14.25" customHeight="1" x14ac:dyDescent="0.15">
      <c r="A292" s="84" t="s">
        <v>56</v>
      </c>
      <c r="B292" s="85" t="s">
        <v>168</v>
      </c>
      <c r="C292" s="8">
        <v>1</v>
      </c>
      <c r="D292" s="9">
        <v>1500</v>
      </c>
      <c r="E292" s="748">
        <v>355</v>
      </c>
      <c r="F292" s="749"/>
      <c r="G292" s="590">
        <v>375</v>
      </c>
      <c r="H292" s="152"/>
      <c r="I292" s="589"/>
      <c r="J292" s="273" t="s">
        <v>867</v>
      </c>
      <c r="K292" s="130"/>
      <c r="L292" s="376"/>
      <c r="M292" s="262"/>
      <c r="N292" s="262"/>
    </row>
    <row r="293" spans="1:14" s="168" customFormat="1" ht="14.25" customHeight="1" x14ac:dyDescent="0.15">
      <c r="A293" s="84" t="s">
        <v>56</v>
      </c>
      <c r="B293" s="85" t="s">
        <v>168</v>
      </c>
      <c r="C293" s="8">
        <v>1</v>
      </c>
      <c r="D293" s="9">
        <v>1500</v>
      </c>
      <c r="E293" s="748">
        <v>355</v>
      </c>
      <c r="F293" s="749"/>
      <c r="G293" s="590">
        <v>395</v>
      </c>
      <c r="H293" s="152"/>
      <c r="I293" s="589"/>
      <c r="J293" s="543" t="s">
        <v>663</v>
      </c>
      <c r="K293" s="130" t="s">
        <v>368</v>
      </c>
      <c r="L293" s="376" t="s">
        <v>571</v>
      </c>
      <c r="M293" s="262"/>
      <c r="N293" s="262"/>
    </row>
    <row r="294" spans="1:14" s="181" customFormat="1" ht="20" customHeight="1" x14ac:dyDescent="0.25">
      <c r="A294" s="115" t="s">
        <v>614</v>
      </c>
      <c r="B294" s="116"/>
      <c r="C294" s="56"/>
      <c r="D294" s="57"/>
      <c r="E294" s="478"/>
      <c r="F294" s="479"/>
      <c r="G294" s="638"/>
      <c r="H294" s="214"/>
      <c r="I294" s="639"/>
      <c r="J294" s="556"/>
      <c r="K294" s="128"/>
      <c r="L294" s="378"/>
    </row>
    <row r="295" spans="1:14" s="168" customFormat="1" ht="15" customHeight="1" x14ac:dyDescent="0.15">
      <c r="A295" s="80" t="s">
        <v>615</v>
      </c>
      <c r="B295" s="148" t="s">
        <v>804</v>
      </c>
      <c r="C295" s="3">
        <v>12</v>
      </c>
      <c r="D295" s="2">
        <v>750</v>
      </c>
      <c r="E295" s="402"/>
      <c r="F295" s="403"/>
      <c r="G295" s="580">
        <v>102</v>
      </c>
      <c r="H295" s="151">
        <v>96</v>
      </c>
      <c r="I295" s="581" t="s">
        <v>561</v>
      </c>
      <c r="J295" s="517"/>
      <c r="K295" s="130"/>
      <c r="L295" s="707"/>
      <c r="M295" s="262"/>
      <c r="N295" s="262"/>
    </row>
    <row r="296" spans="1:14" s="168" customFormat="1" ht="17" customHeight="1" x14ac:dyDescent="0.15">
      <c r="A296" s="82" t="s">
        <v>616</v>
      </c>
      <c r="B296" s="83" t="s">
        <v>523</v>
      </c>
      <c r="C296" s="3">
        <v>12</v>
      </c>
      <c r="D296" s="2">
        <v>750</v>
      </c>
      <c r="E296" s="402"/>
      <c r="F296" s="403"/>
      <c r="G296" s="580">
        <v>164</v>
      </c>
      <c r="H296" s="151">
        <v>156</v>
      </c>
      <c r="I296" s="581" t="s">
        <v>20</v>
      </c>
      <c r="J296" s="557"/>
      <c r="K296" s="130"/>
      <c r="L296" s="707"/>
      <c r="M296" s="262"/>
      <c r="N296" s="262"/>
    </row>
    <row r="297" spans="1:14" s="168" customFormat="1" ht="19" customHeight="1" x14ac:dyDescent="0.15">
      <c r="A297" s="82" t="s">
        <v>723</v>
      </c>
      <c r="B297" s="83" t="s">
        <v>724</v>
      </c>
      <c r="C297" s="3">
        <v>12</v>
      </c>
      <c r="D297" s="2">
        <v>750</v>
      </c>
      <c r="E297" s="402"/>
      <c r="F297" s="403"/>
      <c r="G297" s="580">
        <v>174</v>
      </c>
      <c r="H297" s="151">
        <v>166</v>
      </c>
      <c r="I297" s="640" t="s">
        <v>20</v>
      </c>
      <c r="K297" s="130"/>
      <c r="L297" s="707"/>
      <c r="M297" s="262"/>
      <c r="N297" s="262"/>
    </row>
    <row r="298" spans="1:14" s="181" customFormat="1" ht="20" customHeight="1" x14ac:dyDescent="0.25">
      <c r="A298" s="115" t="s">
        <v>52</v>
      </c>
      <c r="B298" s="116"/>
      <c r="C298" s="56"/>
      <c r="D298" s="57"/>
      <c r="E298" s="478"/>
      <c r="F298" s="479"/>
      <c r="G298" s="638"/>
      <c r="H298" s="214"/>
      <c r="I298" s="639"/>
      <c r="J298" s="556"/>
      <c r="K298" s="128"/>
      <c r="L298" s="378"/>
    </row>
    <row r="299" spans="1:14" s="182" customFormat="1" ht="14.25" customHeight="1" x14ac:dyDescent="0.15">
      <c r="A299" s="82" t="s">
        <v>240</v>
      </c>
      <c r="B299" s="747" t="s">
        <v>810</v>
      </c>
      <c r="C299" s="25">
        <v>12</v>
      </c>
      <c r="D299" s="2">
        <v>750</v>
      </c>
      <c r="E299" s="402"/>
      <c r="F299" s="403"/>
      <c r="G299" s="580">
        <v>161</v>
      </c>
      <c r="H299" s="151">
        <v>155</v>
      </c>
      <c r="I299" s="581" t="s">
        <v>20</v>
      </c>
      <c r="J299" s="554" t="s">
        <v>675</v>
      </c>
      <c r="K299" s="136" t="s">
        <v>546</v>
      </c>
      <c r="L299" s="708"/>
    </row>
    <row r="300" spans="1:14" s="182" customFormat="1" ht="14.25" customHeight="1" x14ac:dyDescent="0.15">
      <c r="A300" s="80" t="s">
        <v>161</v>
      </c>
      <c r="B300" s="386" t="s">
        <v>805</v>
      </c>
      <c r="C300" s="6">
        <v>12</v>
      </c>
      <c r="D300" s="2">
        <v>750</v>
      </c>
      <c r="E300" s="402"/>
      <c r="F300" s="403"/>
      <c r="G300" s="580">
        <v>117</v>
      </c>
      <c r="H300" s="151">
        <v>107</v>
      </c>
      <c r="I300" s="581" t="s">
        <v>19</v>
      </c>
      <c r="J300" s="520" t="s">
        <v>28</v>
      </c>
      <c r="K300" s="136"/>
      <c r="L300" s="708"/>
    </row>
    <row r="301" spans="1:14" s="182" customFormat="1" ht="26" customHeight="1" x14ac:dyDescent="0.15">
      <c r="A301" s="80" t="s">
        <v>892</v>
      </c>
      <c r="B301" s="386" t="s">
        <v>891</v>
      </c>
      <c r="C301" s="6">
        <v>12</v>
      </c>
      <c r="D301" s="2">
        <v>750</v>
      </c>
      <c r="E301" s="400">
        <v>92</v>
      </c>
      <c r="F301" s="403"/>
      <c r="G301" s="642"/>
      <c r="H301" s="152"/>
      <c r="I301" s="589"/>
      <c r="J301" s="520"/>
      <c r="K301" s="136"/>
      <c r="L301" s="708"/>
    </row>
    <row r="302" spans="1:14" s="163" customFormat="1" ht="20" customHeight="1" x14ac:dyDescent="0.2">
      <c r="A302" s="94" t="s">
        <v>6</v>
      </c>
      <c r="B302" s="97"/>
      <c r="C302" s="15"/>
      <c r="D302" s="16"/>
      <c r="E302" s="423"/>
      <c r="F302" s="480"/>
      <c r="G302" s="603"/>
      <c r="H302" s="190"/>
      <c r="I302" s="585"/>
      <c r="J302" s="558"/>
      <c r="K302" s="128"/>
      <c r="L302" s="370"/>
    </row>
    <row r="303" spans="1:14" ht="14.25" customHeight="1" x14ac:dyDescent="0.15">
      <c r="A303" s="80" t="s">
        <v>241</v>
      </c>
      <c r="B303" s="81" t="s">
        <v>242</v>
      </c>
      <c r="C303" s="3">
        <v>12</v>
      </c>
      <c r="D303" s="2">
        <v>750</v>
      </c>
      <c r="E303" s="402"/>
      <c r="F303" s="403"/>
      <c r="G303" s="580">
        <v>135</v>
      </c>
      <c r="H303" s="151">
        <v>129</v>
      </c>
      <c r="I303" s="581" t="s">
        <v>20</v>
      </c>
      <c r="J303" s="517"/>
      <c r="K303" s="127" t="s">
        <v>26</v>
      </c>
      <c r="L303" s="358"/>
    </row>
    <row r="304" spans="1:14" ht="14.25" customHeight="1" x14ac:dyDescent="0.15">
      <c r="A304" s="80" t="s">
        <v>893</v>
      </c>
      <c r="B304" s="81" t="s">
        <v>894</v>
      </c>
      <c r="C304" s="3">
        <v>12</v>
      </c>
      <c r="D304" s="2">
        <v>750</v>
      </c>
      <c r="E304" s="400">
        <v>118</v>
      </c>
      <c r="F304" s="403"/>
      <c r="G304" s="642"/>
      <c r="H304" s="152"/>
      <c r="I304" s="589"/>
      <c r="J304" s="517"/>
      <c r="K304" s="127"/>
      <c r="L304" s="358"/>
    </row>
    <row r="305" spans="1:12" ht="14.25" customHeight="1" x14ac:dyDescent="0.15">
      <c r="A305" s="80" t="s">
        <v>57</v>
      </c>
      <c r="B305" s="81" t="s">
        <v>124</v>
      </c>
      <c r="C305" s="3">
        <v>12</v>
      </c>
      <c r="D305" s="2">
        <v>750</v>
      </c>
      <c r="E305" s="402"/>
      <c r="F305" s="403"/>
      <c r="G305" s="580">
        <v>160</v>
      </c>
      <c r="H305" s="215">
        <v>129</v>
      </c>
      <c r="I305" s="641" t="s">
        <v>19</v>
      </c>
      <c r="J305" s="559" t="s">
        <v>899</v>
      </c>
      <c r="K305" s="131" t="s">
        <v>116</v>
      </c>
      <c r="L305" s="358"/>
    </row>
    <row r="306" spans="1:12" ht="14.25" customHeight="1" x14ac:dyDescent="0.15">
      <c r="A306" s="80" t="s">
        <v>244</v>
      </c>
      <c r="B306" s="81" t="s">
        <v>243</v>
      </c>
      <c r="C306" s="3">
        <v>12</v>
      </c>
      <c r="D306" s="2">
        <v>750</v>
      </c>
      <c r="E306" s="400">
        <v>240</v>
      </c>
      <c r="F306" s="401"/>
      <c r="G306" s="642"/>
      <c r="H306" s="216"/>
      <c r="I306" s="589"/>
      <c r="J306" s="561"/>
      <c r="K306" s="138"/>
      <c r="L306" s="358" t="s">
        <v>793</v>
      </c>
    </row>
    <row r="307" spans="1:12" ht="14.25" customHeight="1" x14ac:dyDescent="0.15">
      <c r="A307" s="80" t="s">
        <v>191</v>
      </c>
      <c r="B307" s="81" t="s">
        <v>208</v>
      </c>
      <c r="C307" s="3">
        <v>12</v>
      </c>
      <c r="D307" s="2">
        <v>750</v>
      </c>
      <c r="E307" s="402"/>
      <c r="F307" s="403"/>
      <c r="G307" s="580">
        <v>126</v>
      </c>
      <c r="H307" s="151">
        <v>116</v>
      </c>
      <c r="I307" s="581" t="s">
        <v>19</v>
      </c>
      <c r="J307" s="729" t="s">
        <v>898</v>
      </c>
      <c r="K307" s="138" t="s">
        <v>362</v>
      </c>
      <c r="L307" s="358"/>
    </row>
    <row r="308" spans="1:12" ht="14.25" customHeight="1" x14ac:dyDescent="0.15">
      <c r="A308" s="244" t="s">
        <v>895</v>
      </c>
      <c r="B308" s="81" t="s">
        <v>896</v>
      </c>
      <c r="C308" s="3">
        <v>12</v>
      </c>
      <c r="D308" s="2">
        <v>750</v>
      </c>
      <c r="E308" s="400">
        <v>102</v>
      </c>
      <c r="F308" s="403"/>
      <c r="G308" s="642"/>
      <c r="H308" s="152"/>
      <c r="I308" s="589"/>
      <c r="J308" s="518" t="s">
        <v>515</v>
      </c>
      <c r="K308" s="138"/>
      <c r="L308" s="358"/>
    </row>
    <row r="309" spans="1:12" ht="14.25" customHeight="1" x14ac:dyDescent="0.15">
      <c r="A309" s="782" t="s">
        <v>186</v>
      </c>
      <c r="B309" s="81" t="s">
        <v>187</v>
      </c>
      <c r="C309" s="3">
        <v>12</v>
      </c>
      <c r="D309" s="2">
        <v>750</v>
      </c>
      <c r="E309" s="402"/>
      <c r="F309" s="403"/>
      <c r="G309" s="580">
        <v>215</v>
      </c>
      <c r="H309" s="216"/>
      <c r="I309" s="589"/>
      <c r="J309" s="518" t="s">
        <v>897</v>
      </c>
      <c r="K309" s="138"/>
      <c r="L309" s="358"/>
    </row>
    <row r="310" spans="1:12" ht="14.25" customHeight="1" x14ac:dyDescent="0.15">
      <c r="A310" s="244" t="s">
        <v>901</v>
      </c>
      <c r="B310" s="81" t="s">
        <v>902</v>
      </c>
      <c r="C310" s="3">
        <v>12</v>
      </c>
      <c r="D310" s="2">
        <v>750</v>
      </c>
      <c r="E310" s="400">
        <v>190</v>
      </c>
      <c r="F310" s="403"/>
      <c r="G310" s="580">
        <v>233</v>
      </c>
      <c r="H310" s="216"/>
      <c r="I310" s="589"/>
      <c r="J310" s="518" t="s">
        <v>515</v>
      </c>
      <c r="K310" s="138" t="s">
        <v>53</v>
      </c>
      <c r="L310" s="358"/>
    </row>
    <row r="311" spans="1:12" s="163" customFormat="1" ht="20" customHeight="1" x14ac:dyDescent="0.2">
      <c r="A311" s="88" t="s">
        <v>42</v>
      </c>
      <c r="B311" s="89"/>
      <c r="C311" s="11"/>
      <c r="D311" s="12"/>
      <c r="E311" s="415"/>
      <c r="F311" s="416"/>
      <c r="G311" s="596"/>
      <c r="H311" s="189"/>
      <c r="I311" s="597"/>
      <c r="J311" s="523"/>
      <c r="K311" s="133"/>
      <c r="L311" s="370"/>
    </row>
    <row r="312" spans="1:12" s="172" customFormat="1" ht="14.25" customHeight="1" x14ac:dyDescent="0.15">
      <c r="A312" s="246" t="s">
        <v>179</v>
      </c>
      <c r="B312" s="93" t="s">
        <v>448</v>
      </c>
      <c r="C312" s="13">
        <v>12</v>
      </c>
      <c r="D312" s="14">
        <v>750</v>
      </c>
      <c r="E312" s="417">
        <v>100</v>
      </c>
      <c r="F312" s="418"/>
      <c r="G312" s="598">
        <v>138</v>
      </c>
      <c r="H312" s="151">
        <v>132</v>
      </c>
      <c r="I312" s="599" t="s">
        <v>19</v>
      </c>
      <c r="J312" s="518" t="s">
        <v>554</v>
      </c>
      <c r="K312" s="138"/>
      <c r="L312" s="358" t="s">
        <v>796</v>
      </c>
    </row>
    <row r="313" spans="1:12" ht="14.25" customHeight="1" x14ac:dyDescent="0.15">
      <c r="A313" s="90" t="s">
        <v>47</v>
      </c>
      <c r="B313" s="91" t="s">
        <v>460</v>
      </c>
      <c r="C313" s="13">
        <v>12</v>
      </c>
      <c r="D313" s="14">
        <v>750</v>
      </c>
      <c r="E313" s="421"/>
      <c r="F313" s="422"/>
      <c r="G313" s="643">
        <v>90</v>
      </c>
      <c r="H313" s="217"/>
      <c r="I313" s="607"/>
      <c r="J313" s="562" t="s">
        <v>900</v>
      </c>
      <c r="K313" s="138" t="s">
        <v>48</v>
      </c>
      <c r="L313" s="358"/>
    </row>
    <row r="314" spans="1:12" ht="14.25" customHeight="1" x14ac:dyDescent="0.15">
      <c r="A314" s="90" t="s">
        <v>333</v>
      </c>
      <c r="B314" s="91" t="s">
        <v>459</v>
      </c>
      <c r="C314" s="13">
        <v>12</v>
      </c>
      <c r="D314" s="14">
        <v>750</v>
      </c>
      <c r="E314" s="417"/>
      <c r="F314" s="418"/>
      <c r="G314" s="598">
        <v>127</v>
      </c>
      <c r="H314" s="152"/>
      <c r="I314" s="607"/>
      <c r="J314" s="771" t="s">
        <v>938</v>
      </c>
      <c r="K314" s="224" t="s">
        <v>591</v>
      </c>
      <c r="L314" s="358"/>
    </row>
    <row r="315" spans="1:12" ht="14.25" customHeight="1" x14ac:dyDescent="0.15">
      <c r="A315" s="242" t="s">
        <v>903</v>
      </c>
      <c r="B315" s="91" t="s">
        <v>450</v>
      </c>
      <c r="C315" s="13">
        <v>12</v>
      </c>
      <c r="D315" s="14">
        <v>750</v>
      </c>
      <c r="E315" s="417">
        <v>100</v>
      </c>
      <c r="F315" s="418"/>
      <c r="G315" s="598">
        <v>138</v>
      </c>
      <c r="H315" s="151">
        <v>132</v>
      </c>
      <c r="I315" s="599" t="s">
        <v>19</v>
      </c>
      <c r="J315" s="518" t="s">
        <v>554</v>
      </c>
      <c r="K315" s="224"/>
      <c r="L315" s="358"/>
    </row>
    <row r="316" spans="1:12" ht="14.25" customHeight="1" x14ac:dyDescent="0.15">
      <c r="A316" s="90" t="s">
        <v>209</v>
      </c>
      <c r="B316" s="91" t="s">
        <v>458</v>
      </c>
      <c r="C316" s="13">
        <v>12</v>
      </c>
      <c r="D316" s="14">
        <v>750</v>
      </c>
      <c r="E316" s="417">
        <v>110</v>
      </c>
      <c r="F316" s="418"/>
      <c r="G316" s="598">
        <v>137</v>
      </c>
      <c r="H316" s="151">
        <v>127</v>
      </c>
      <c r="I316" s="599" t="s">
        <v>19</v>
      </c>
      <c r="J316" s="560"/>
      <c r="K316" s="224" t="s">
        <v>592</v>
      </c>
      <c r="L316" s="358"/>
    </row>
    <row r="317" spans="1:12" ht="14.25" customHeight="1" x14ac:dyDescent="0.15">
      <c r="A317" s="293" t="s">
        <v>332</v>
      </c>
      <c r="B317" s="294" t="s">
        <v>451</v>
      </c>
      <c r="C317" s="295">
        <v>12</v>
      </c>
      <c r="D317" s="296">
        <v>750</v>
      </c>
      <c r="E317" s="453">
        <v>110</v>
      </c>
      <c r="F317" s="454"/>
      <c r="G317" s="582">
        <v>127</v>
      </c>
      <c r="H317" s="773"/>
      <c r="I317" s="774"/>
      <c r="J317" s="772" t="s">
        <v>626</v>
      </c>
      <c r="K317" s="138" t="s">
        <v>593</v>
      </c>
      <c r="L317" s="358"/>
    </row>
    <row r="318" spans="1:12" ht="14.25" customHeight="1" x14ac:dyDescent="0.15">
      <c r="A318" s="242" t="s">
        <v>570</v>
      </c>
      <c r="B318" s="91" t="s">
        <v>452</v>
      </c>
      <c r="C318" s="13">
        <v>12</v>
      </c>
      <c r="D318" s="14">
        <v>750</v>
      </c>
      <c r="E318" s="417">
        <v>100</v>
      </c>
      <c r="F318" s="418"/>
      <c r="G318" s="580">
        <v>138</v>
      </c>
      <c r="H318" s="151">
        <v>132</v>
      </c>
      <c r="I318" s="599" t="s">
        <v>22</v>
      </c>
      <c r="J318" s="518" t="s">
        <v>554</v>
      </c>
      <c r="K318" s="138"/>
      <c r="L318" s="358" t="s">
        <v>796</v>
      </c>
    </row>
    <row r="319" spans="1:12" s="182" customFormat="1" ht="19" customHeight="1" x14ac:dyDescent="0.15">
      <c r="A319" s="246" t="s">
        <v>506</v>
      </c>
      <c r="B319" s="254" t="s">
        <v>806</v>
      </c>
      <c r="C319" s="13">
        <v>12</v>
      </c>
      <c r="D319" s="14">
        <v>750</v>
      </c>
      <c r="E319" s="417">
        <v>144</v>
      </c>
      <c r="F319" s="418"/>
      <c r="G319" s="598">
        <v>189</v>
      </c>
      <c r="H319" s="151">
        <v>183</v>
      </c>
      <c r="I319" s="599" t="s">
        <v>19</v>
      </c>
      <c r="J319" s="510" t="s">
        <v>554</v>
      </c>
      <c r="K319" s="131" t="s">
        <v>594</v>
      </c>
      <c r="L319" s="363"/>
    </row>
    <row r="320" spans="1:12" s="182" customFormat="1" ht="18" customHeight="1" x14ac:dyDescent="0.15">
      <c r="A320" s="342" t="s">
        <v>678</v>
      </c>
      <c r="B320" s="343" t="s">
        <v>807</v>
      </c>
      <c r="C320" s="13">
        <v>4</v>
      </c>
      <c r="D320" s="14">
        <v>1500</v>
      </c>
      <c r="E320" s="417">
        <v>100</v>
      </c>
      <c r="F320" s="418"/>
      <c r="G320" s="598">
        <v>140</v>
      </c>
      <c r="H320" s="151"/>
      <c r="I320" s="599"/>
      <c r="J320" s="529" t="s">
        <v>188</v>
      </c>
      <c r="K320" s="131" t="s">
        <v>594</v>
      </c>
      <c r="L320" s="363"/>
    </row>
    <row r="321" spans="1:13" s="182" customFormat="1" ht="24" customHeight="1" x14ac:dyDescent="0.15">
      <c r="A321" s="246" t="s">
        <v>397</v>
      </c>
      <c r="B321" s="254" t="s">
        <v>808</v>
      </c>
      <c r="C321" s="13">
        <v>12</v>
      </c>
      <c r="D321" s="14">
        <v>750</v>
      </c>
      <c r="E321" s="417">
        <v>156</v>
      </c>
      <c r="F321" s="418"/>
      <c r="G321" s="598">
        <v>216</v>
      </c>
      <c r="H321" s="151">
        <v>208</v>
      </c>
      <c r="I321" s="599" t="s">
        <v>19</v>
      </c>
      <c r="J321" s="511" t="s">
        <v>515</v>
      </c>
      <c r="K321" s="131" t="s">
        <v>53</v>
      </c>
      <c r="L321" s="358" t="s">
        <v>796</v>
      </c>
    </row>
    <row r="322" spans="1:13" s="182" customFormat="1" ht="29" customHeight="1" x14ac:dyDescent="0.15">
      <c r="A322" s="342" t="s">
        <v>756</v>
      </c>
      <c r="B322" s="343" t="s">
        <v>809</v>
      </c>
      <c r="C322" s="13">
        <v>4</v>
      </c>
      <c r="D322" s="14">
        <v>1500</v>
      </c>
      <c r="E322" s="417">
        <v>120</v>
      </c>
      <c r="F322" s="418"/>
      <c r="G322" s="598">
        <v>160</v>
      </c>
      <c r="H322" s="151"/>
      <c r="I322" s="599"/>
      <c r="J322" s="529" t="s">
        <v>188</v>
      </c>
      <c r="K322" s="131" t="s">
        <v>679</v>
      </c>
      <c r="L322" s="363"/>
    </row>
    <row r="323" spans="1:13" s="154" customFormat="1" ht="19" x14ac:dyDescent="0.15">
      <c r="A323" s="117" t="s">
        <v>67</v>
      </c>
      <c r="B323" s="118"/>
      <c r="C323" s="58"/>
      <c r="D323" s="59"/>
      <c r="E323" s="481"/>
      <c r="F323" s="482"/>
      <c r="G323" s="644"/>
      <c r="H323" s="218"/>
      <c r="I323" s="645"/>
      <c r="J323" s="564"/>
      <c r="K323" s="146"/>
      <c r="L323" s="370"/>
    </row>
    <row r="324" spans="1:13" s="154" customFormat="1" ht="14.25" customHeight="1" x14ac:dyDescent="0.15">
      <c r="A324" s="731" t="s">
        <v>759</v>
      </c>
      <c r="B324" s="300" t="s">
        <v>907</v>
      </c>
      <c r="C324" s="732">
        <v>12</v>
      </c>
      <c r="D324" s="733">
        <v>750</v>
      </c>
      <c r="E324" s="406"/>
      <c r="F324" s="407"/>
      <c r="G324" s="582">
        <v>82</v>
      </c>
      <c r="H324" s="288">
        <v>76</v>
      </c>
      <c r="I324" s="734" t="s">
        <v>19</v>
      </c>
      <c r="J324" s="560"/>
      <c r="K324" s="143"/>
      <c r="L324" s="358"/>
    </row>
    <row r="325" spans="1:13" s="154" customFormat="1" ht="14.25" customHeight="1" x14ac:dyDescent="0.15">
      <c r="A325" s="339" t="s">
        <v>760</v>
      </c>
      <c r="B325" s="81" t="s">
        <v>761</v>
      </c>
      <c r="C325" s="61"/>
      <c r="D325" s="60"/>
      <c r="E325" s="404">
        <v>57</v>
      </c>
      <c r="F325" s="405"/>
      <c r="G325" s="580">
        <v>88</v>
      </c>
      <c r="H325" s="151">
        <v>82</v>
      </c>
      <c r="I325" s="646" t="s">
        <v>19</v>
      </c>
      <c r="J325" s="554" t="s">
        <v>515</v>
      </c>
      <c r="K325" s="143"/>
      <c r="L325" s="358" t="s">
        <v>796</v>
      </c>
      <c r="M325" s="704"/>
    </row>
    <row r="326" spans="1:13" s="153" customFormat="1" ht="14.25" customHeight="1" x14ac:dyDescent="0.15">
      <c r="A326" s="119" t="s">
        <v>119</v>
      </c>
      <c r="B326" s="81" t="s">
        <v>238</v>
      </c>
      <c r="C326" s="61">
        <v>12</v>
      </c>
      <c r="D326" s="60">
        <v>750</v>
      </c>
      <c r="E326" s="467"/>
      <c r="F326" s="468"/>
      <c r="G326" s="580">
        <v>82</v>
      </c>
      <c r="H326" s="151">
        <v>76</v>
      </c>
      <c r="I326" s="581" t="s">
        <v>19</v>
      </c>
      <c r="J326" s="560"/>
      <c r="K326" s="127"/>
      <c r="L326" s="358"/>
    </row>
    <row r="327" spans="1:13" s="153" customFormat="1" ht="14.25" customHeight="1" x14ac:dyDescent="0.15">
      <c r="A327" s="339" t="s">
        <v>757</v>
      </c>
      <c r="B327" s="81" t="s">
        <v>758</v>
      </c>
      <c r="C327" s="61">
        <v>12</v>
      </c>
      <c r="D327" s="60">
        <v>750</v>
      </c>
      <c r="E327" s="404">
        <v>57</v>
      </c>
      <c r="F327" s="405"/>
      <c r="G327" s="642"/>
      <c r="H327" s="152"/>
      <c r="I327" s="589"/>
      <c r="J327" s="565"/>
      <c r="K327" s="127"/>
      <c r="L327" s="358" t="s">
        <v>796</v>
      </c>
      <c r="M327" s="704"/>
    </row>
    <row r="328" spans="1:13" s="154" customFormat="1" ht="14.25" customHeight="1" x14ac:dyDescent="0.15">
      <c r="A328" s="119" t="s">
        <v>210</v>
      </c>
      <c r="B328" s="81" t="s">
        <v>211</v>
      </c>
      <c r="C328" s="61">
        <v>12</v>
      </c>
      <c r="D328" s="60">
        <v>750</v>
      </c>
      <c r="E328" s="467"/>
      <c r="F328" s="468"/>
      <c r="G328" s="580">
        <v>110</v>
      </c>
      <c r="H328" s="151">
        <v>104</v>
      </c>
      <c r="I328" s="581" t="s">
        <v>20</v>
      </c>
      <c r="J328" s="563" t="s">
        <v>334</v>
      </c>
      <c r="K328" s="131" t="s">
        <v>41</v>
      </c>
      <c r="L328" s="358"/>
    </row>
    <row r="329" spans="1:13" s="154" customFormat="1" ht="14.25" customHeight="1" x14ac:dyDescent="0.15">
      <c r="A329" s="339" t="s">
        <v>770</v>
      </c>
      <c r="B329" s="81" t="s">
        <v>771</v>
      </c>
      <c r="C329" s="61">
        <v>12</v>
      </c>
      <c r="D329" s="60">
        <v>750</v>
      </c>
      <c r="E329" s="404">
        <v>80</v>
      </c>
      <c r="F329" s="405"/>
      <c r="G329" s="642"/>
      <c r="H329" s="152"/>
      <c r="I329" s="589"/>
      <c r="J329" s="554" t="s">
        <v>515</v>
      </c>
      <c r="K329" s="131"/>
      <c r="L329" s="358" t="s">
        <v>796</v>
      </c>
      <c r="M329" s="704"/>
    </row>
    <row r="330" spans="1:13" s="154" customFormat="1" ht="14.25" customHeight="1" x14ac:dyDescent="0.15">
      <c r="A330" s="344" t="s">
        <v>762</v>
      </c>
      <c r="B330" s="102" t="s">
        <v>763</v>
      </c>
      <c r="C330" s="345">
        <v>12</v>
      </c>
      <c r="D330" s="346">
        <v>375</v>
      </c>
      <c r="E330" s="483">
        <v>55</v>
      </c>
      <c r="F330" s="484"/>
      <c r="G330" s="624">
        <v>81</v>
      </c>
      <c r="H330" s="152"/>
      <c r="I330" s="589"/>
      <c r="J330" s="529" t="s">
        <v>188</v>
      </c>
      <c r="K330" s="127"/>
      <c r="L330" s="358" t="s">
        <v>796</v>
      </c>
      <c r="M330" s="704"/>
    </row>
    <row r="331" spans="1:13" s="154" customFormat="1" ht="14.25" customHeight="1" x14ac:dyDescent="0.15">
      <c r="A331" s="119" t="s">
        <v>337</v>
      </c>
      <c r="B331" s="81" t="s">
        <v>336</v>
      </c>
      <c r="C331" s="61">
        <v>12</v>
      </c>
      <c r="D331" s="60">
        <v>750</v>
      </c>
      <c r="E331" s="467"/>
      <c r="F331" s="468"/>
      <c r="G331" s="580">
        <v>195</v>
      </c>
      <c r="H331" s="151">
        <v>185</v>
      </c>
      <c r="I331" s="581" t="s">
        <v>22</v>
      </c>
      <c r="J331" s="529"/>
      <c r="K331" s="131" t="s">
        <v>629</v>
      </c>
      <c r="L331" s="358"/>
    </row>
    <row r="332" spans="1:13" s="154" customFormat="1" ht="16" customHeight="1" x14ac:dyDescent="0.15">
      <c r="A332" s="339" t="s">
        <v>764</v>
      </c>
      <c r="B332" s="81" t="s">
        <v>765</v>
      </c>
      <c r="C332" s="61">
        <v>12</v>
      </c>
      <c r="D332" s="60">
        <v>750</v>
      </c>
      <c r="E332" s="404">
        <v>150</v>
      </c>
      <c r="F332" s="405"/>
      <c r="G332" s="580">
        <v>198</v>
      </c>
      <c r="H332" s="151">
        <v>188</v>
      </c>
      <c r="I332" s="581" t="s">
        <v>22</v>
      </c>
      <c r="J332" s="554" t="s">
        <v>515</v>
      </c>
      <c r="K332" s="131"/>
      <c r="L332" s="358" t="s">
        <v>796</v>
      </c>
      <c r="M332" s="704"/>
    </row>
    <row r="333" spans="1:13" s="154" customFormat="1" ht="17" customHeight="1" x14ac:dyDescent="0.15">
      <c r="A333" s="119" t="s">
        <v>214</v>
      </c>
      <c r="B333" s="81" t="s">
        <v>213</v>
      </c>
      <c r="C333" s="61">
        <v>12</v>
      </c>
      <c r="D333" s="60">
        <v>750</v>
      </c>
      <c r="E333" s="404">
        <v>225</v>
      </c>
      <c r="F333" s="405"/>
      <c r="G333" s="580">
        <v>312</v>
      </c>
      <c r="H333" s="151">
        <v>290</v>
      </c>
      <c r="I333" s="581" t="s">
        <v>22</v>
      </c>
      <c r="J333" s="566" t="s">
        <v>784</v>
      </c>
      <c r="K333" s="131" t="s">
        <v>444</v>
      </c>
      <c r="L333" s="358" t="s">
        <v>796</v>
      </c>
      <c r="M333" s="704"/>
    </row>
    <row r="334" spans="1:13" s="183" customFormat="1" ht="18" customHeight="1" x14ac:dyDescent="0.15">
      <c r="A334" s="244" t="s">
        <v>766</v>
      </c>
      <c r="B334" s="149" t="s">
        <v>819</v>
      </c>
      <c r="C334" s="347">
        <v>12</v>
      </c>
      <c r="D334" s="36">
        <v>750</v>
      </c>
      <c r="E334" s="404">
        <v>94</v>
      </c>
      <c r="F334" s="405"/>
      <c r="G334" s="580">
        <v>129</v>
      </c>
      <c r="H334" s="151">
        <v>123</v>
      </c>
      <c r="I334" s="646" t="s">
        <v>20</v>
      </c>
      <c r="J334" s="554" t="s">
        <v>908</v>
      </c>
      <c r="K334" s="143"/>
      <c r="L334" s="358" t="s">
        <v>796</v>
      </c>
      <c r="M334" s="704"/>
    </row>
    <row r="335" spans="1:13" s="183" customFormat="1" ht="15" customHeight="1" x14ac:dyDescent="0.15">
      <c r="A335" s="80" t="s">
        <v>68</v>
      </c>
      <c r="B335" s="81" t="s">
        <v>820</v>
      </c>
      <c r="C335" s="62">
        <v>12</v>
      </c>
      <c r="D335" s="36">
        <v>750</v>
      </c>
      <c r="E335" s="467"/>
      <c r="F335" s="468"/>
      <c r="G335" s="647">
        <v>105</v>
      </c>
      <c r="H335" s="152"/>
      <c r="I335" s="648"/>
      <c r="J335" s="568" t="s">
        <v>911</v>
      </c>
      <c r="K335" s="143" t="s">
        <v>445</v>
      </c>
      <c r="L335" s="363"/>
    </row>
    <row r="336" spans="1:13" s="183" customFormat="1" ht="17" customHeight="1" x14ac:dyDescent="0.15">
      <c r="A336" s="80" t="s">
        <v>909</v>
      </c>
      <c r="B336" s="81" t="s">
        <v>910</v>
      </c>
      <c r="C336" s="62">
        <v>12</v>
      </c>
      <c r="D336" s="36">
        <v>750</v>
      </c>
      <c r="E336" s="404">
        <v>114</v>
      </c>
      <c r="F336" s="405"/>
      <c r="G336" s="649"/>
      <c r="H336" s="152"/>
      <c r="I336" s="648"/>
      <c r="J336" s="569"/>
      <c r="K336" s="143"/>
      <c r="L336" s="358" t="s">
        <v>796</v>
      </c>
      <c r="M336" s="704"/>
    </row>
    <row r="337" spans="1:13" s="154" customFormat="1" ht="16" customHeight="1" x14ac:dyDescent="0.15">
      <c r="A337" s="344" t="s">
        <v>767</v>
      </c>
      <c r="B337" s="102" t="s">
        <v>768</v>
      </c>
      <c r="C337" s="345">
        <v>6</v>
      </c>
      <c r="D337" s="346">
        <v>500</v>
      </c>
      <c r="E337" s="483">
        <v>97</v>
      </c>
      <c r="F337" s="484"/>
      <c r="G337" s="624">
        <v>127</v>
      </c>
      <c r="H337" s="152"/>
      <c r="I337" s="589"/>
      <c r="J337" s="529" t="s">
        <v>188</v>
      </c>
      <c r="K337" s="127"/>
      <c r="L337" s="358" t="s">
        <v>796</v>
      </c>
      <c r="M337" s="704"/>
    </row>
    <row r="338" spans="1:13" s="153" customFormat="1" ht="18" customHeight="1" x14ac:dyDescent="0.15">
      <c r="A338" s="119" t="s">
        <v>120</v>
      </c>
      <c r="B338" s="81" t="s">
        <v>821</v>
      </c>
      <c r="C338" s="61">
        <v>12</v>
      </c>
      <c r="D338" s="60">
        <v>750</v>
      </c>
      <c r="E338" s="467"/>
      <c r="F338" s="468"/>
      <c r="G338" s="580">
        <v>82</v>
      </c>
      <c r="H338" s="151">
        <v>76</v>
      </c>
      <c r="I338" s="646" t="s">
        <v>19</v>
      </c>
      <c r="J338" s="560"/>
      <c r="K338" s="143" t="s">
        <v>115</v>
      </c>
      <c r="L338" s="362"/>
    </row>
    <row r="339" spans="1:13" s="153" customFormat="1" ht="20" customHeight="1" x14ac:dyDescent="0.15">
      <c r="A339" s="339" t="s">
        <v>769</v>
      </c>
      <c r="B339" s="81" t="s">
        <v>822</v>
      </c>
      <c r="C339" s="61">
        <v>12</v>
      </c>
      <c r="D339" s="60">
        <v>750</v>
      </c>
      <c r="E339" s="404">
        <v>54</v>
      </c>
      <c r="F339" s="405"/>
      <c r="G339" s="580">
        <v>84</v>
      </c>
      <c r="H339" s="151">
        <v>78</v>
      </c>
      <c r="I339" s="646" t="s">
        <v>19</v>
      </c>
      <c r="J339" s="554" t="s">
        <v>515</v>
      </c>
      <c r="K339" s="143"/>
      <c r="L339" s="358" t="s">
        <v>796</v>
      </c>
      <c r="M339" s="704"/>
    </row>
    <row r="340" spans="1:13" s="153" customFormat="1" ht="17" customHeight="1" x14ac:dyDescent="0.15">
      <c r="A340" s="735" t="s">
        <v>772</v>
      </c>
      <c r="B340" s="81" t="s">
        <v>833</v>
      </c>
      <c r="C340" s="345">
        <v>12</v>
      </c>
      <c r="D340" s="346">
        <v>375</v>
      </c>
      <c r="E340" s="483">
        <v>40</v>
      </c>
      <c r="F340" s="484"/>
      <c r="G340" s="624">
        <v>68</v>
      </c>
      <c r="H340" s="151">
        <v>62</v>
      </c>
      <c r="I340" s="646" t="s">
        <v>19</v>
      </c>
      <c r="J340" s="554" t="s">
        <v>908</v>
      </c>
      <c r="K340" s="348"/>
      <c r="L340" s="358" t="s">
        <v>796</v>
      </c>
      <c r="M340" s="704"/>
    </row>
    <row r="341" spans="1:13" s="153" customFormat="1" ht="15" customHeight="1" x14ac:dyDescent="0.15">
      <c r="A341" s="119" t="s">
        <v>398</v>
      </c>
      <c r="B341" s="81" t="s">
        <v>823</v>
      </c>
      <c r="C341" s="61">
        <v>12</v>
      </c>
      <c r="D341" s="60">
        <v>750</v>
      </c>
      <c r="E341" s="467"/>
      <c r="F341" s="468"/>
      <c r="G341" s="580">
        <v>115</v>
      </c>
      <c r="H341" s="151">
        <v>105</v>
      </c>
      <c r="I341" s="646" t="s">
        <v>20</v>
      </c>
      <c r="J341" s="560"/>
      <c r="K341" s="143" t="s">
        <v>362</v>
      </c>
      <c r="L341" s="358"/>
    </row>
    <row r="342" spans="1:13" s="153" customFormat="1" ht="17" customHeight="1" x14ac:dyDescent="0.15">
      <c r="A342" s="339" t="s">
        <v>912</v>
      </c>
      <c r="B342" s="81" t="s">
        <v>913</v>
      </c>
      <c r="C342" s="61">
        <v>12</v>
      </c>
      <c r="D342" s="60">
        <v>750</v>
      </c>
      <c r="E342" s="404">
        <v>79</v>
      </c>
      <c r="F342" s="405"/>
      <c r="G342" s="580">
        <v>115</v>
      </c>
      <c r="H342" s="151">
        <v>106</v>
      </c>
      <c r="I342" s="646" t="s">
        <v>929</v>
      </c>
      <c r="J342" s="554" t="s">
        <v>515</v>
      </c>
      <c r="K342" s="143"/>
      <c r="L342" s="358" t="s">
        <v>796</v>
      </c>
      <c r="M342" s="704"/>
    </row>
    <row r="343" spans="1:13" s="183" customFormat="1" ht="16.5" customHeight="1" x14ac:dyDescent="0.15">
      <c r="A343" s="80" t="s">
        <v>356</v>
      </c>
      <c r="B343" s="120" t="s">
        <v>824</v>
      </c>
      <c r="C343" s="66">
        <v>6</v>
      </c>
      <c r="D343" s="65">
        <v>750</v>
      </c>
      <c r="E343" s="467"/>
      <c r="F343" s="468"/>
      <c r="G343" s="580">
        <v>136</v>
      </c>
      <c r="H343" s="151">
        <v>130</v>
      </c>
      <c r="I343" s="632"/>
      <c r="J343" s="570"/>
      <c r="K343" s="127" t="s">
        <v>630</v>
      </c>
      <c r="L343" s="362"/>
    </row>
    <row r="344" spans="1:13" s="183" customFormat="1" ht="19" customHeight="1" x14ac:dyDescent="0.15">
      <c r="A344" s="244" t="s">
        <v>774</v>
      </c>
      <c r="B344" s="120" t="s">
        <v>825</v>
      </c>
      <c r="C344" s="66">
        <v>6</v>
      </c>
      <c r="D344" s="65">
        <v>750</v>
      </c>
      <c r="E344" s="404">
        <v>102</v>
      </c>
      <c r="F344" s="405"/>
      <c r="G344" s="580">
        <v>138</v>
      </c>
      <c r="H344" s="151">
        <v>132</v>
      </c>
      <c r="I344" s="632"/>
      <c r="J344" s="554" t="s">
        <v>515</v>
      </c>
      <c r="K344" s="127"/>
      <c r="L344" s="358" t="s">
        <v>796</v>
      </c>
      <c r="M344" s="704"/>
    </row>
    <row r="345" spans="1:13" s="184" customFormat="1" ht="18" customHeight="1" x14ac:dyDescent="0.15">
      <c r="A345" s="80" t="s">
        <v>44</v>
      </c>
      <c r="B345" s="120" t="s">
        <v>832</v>
      </c>
      <c r="C345" s="63">
        <v>12</v>
      </c>
      <c r="D345" s="64">
        <v>750</v>
      </c>
      <c r="E345" s="485"/>
      <c r="F345" s="486"/>
      <c r="G345" s="580">
        <v>158</v>
      </c>
      <c r="H345" s="152"/>
      <c r="I345" s="650"/>
      <c r="J345" s="567"/>
      <c r="K345" s="225" t="s">
        <v>446</v>
      </c>
      <c r="L345" s="364"/>
    </row>
    <row r="346" spans="1:13" s="184" customFormat="1" ht="21" customHeight="1" x14ac:dyDescent="0.15">
      <c r="A346" s="244" t="s">
        <v>773</v>
      </c>
      <c r="B346" s="120" t="s">
        <v>831</v>
      </c>
      <c r="C346" s="349" t="s">
        <v>121</v>
      </c>
      <c r="D346" s="64" t="s">
        <v>122</v>
      </c>
      <c r="E346" s="487" t="s">
        <v>914</v>
      </c>
      <c r="F346" s="488"/>
      <c r="G346" s="580">
        <v>180</v>
      </c>
      <c r="H346" s="151">
        <v>174</v>
      </c>
      <c r="I346" s="750" t="s">
        <v>20</v>
      </c>
      <c r="J346" s="554" t="s">
        <v>515</v>
      </c>
      <c r="K346" s="127"/>
      <c r="L346" s="358" t="s">
        <v>796</v>
      </c>
      <c r="M346" s="704"/>
    </row>
    <row r="347" spans="1:13" s="184" customFormat="1" ht="14.25" customHeight="1" x14ac:dyDescent="0.15">
      <c r="A347" s="80" t="s">
        <v>335</v>
      </c>
      <c r="B347" s="81" t="s">
        <v>826</v>
      </c>
      <c r="C347" s="66">
        <v>6</v>
      </c>
      <c r="D347" s="65">
        <v>750</v>
      </c>
      <c r="E347" s="489"/>
      <c r="F347" s="490"/>
      <c r="G347" s="580">
        <v>170</v>
      </c>
      <c r="H347" s="152"/>
      <c r="I347" s="650"/>
      <c r="J347" s="567"/>
      <c r="K347" s="127" t="s">
        <v>26</v>
      </c>
      <c r="L347" s="364"/>
    </row>
    <row r="348" spans="1:13" s="183" customFormat="1" ht="14.25" customHeight="1" x14ac:dyDescent="0.15">
      <c r="A348" s="244" t="s">
        <v>123</v>
      </c>
      <c r="B348" s="81" t="s">
        <v>827</v>
      </c>
      <c r="C348" s="66">
        <v>6</v>
      </c>
      <c r="D348" s="65">
        <v>750</v>
      </c>
      <c r="E348" s="489"/>
      <c r="F348" s="490"/>
      <c r="G348" s="580">
        <v>185</v>
      </c>
      <c r="H348" s="151">
        <v>175</v>
      </c>
      <c r="I348" s="646" t="s">
        <v>20</v>
      </c>
      <c r="J348" s="554" t="s">
        <v>515</v>
      </c>
      <c r="K348" s="127" t="s">
        <v>443</v>
      </c>
      <c r="L348" s="362"/>
    </row>
    <row r="349" spans="1:13" s="183" customFormat="1" ht="14.25" customHeight="1" x14ac:dyDescent="0.15">
      <c r="A349" s="80" t="s">
        <v>775</v>
      </c>
      <c r="B349" s="81" t="s">
        <v>828</v>
      </c>
      <c r="C349" s="66">
        <v>6</v>
      </c>
      <c r="D349" s="65">
        <v>750</v>
      </c>
      <c r="E349" s="487" t="s">
        <v>914</v>
      </c>
      <c r="F349" s="488"/>
      <c r="G349" s="642"/>
      <c r="H349" s="152"/>
      <c r="I349" s="648"/>
      <c r="J349" s="567"/>
      <c r="K349" s="127"/>
      <c r="L349" s="358" t="s">
        <v>796</v>
      </c>
      <c r="M349" s="704"/>
    </row>
    <row r="350" spans="1:13" s="183" customFormat="1" ht="14.25" customHeight="1" x14ac:dyDescent="0.15">
      <c r="A350" s="80" t="s">
        <v>76</v>
      </c>
      <c r="B350" s="81" t="s">
        <v>829</v>
      </c>
      <c r="C350" s="66">
        <v>6</v>
      </c>
      <c r="D350" s="65">
        <v>750</v>
      </c>
      <c r="E350" s="489"/>
      <c r="F350" s="490"/>
      <c r="G350" s="580">
        <v>218</v>
      </c>
      <c r="H350" s="152"/>
      <c r="I350" s="648"/>
      <c r="J350" s="736" t="s">
        <v>915</v>
      </c>
      <c r="K350" s="127" t="s">
        <v>53</v>
      </c>
      <c r="L350" s="363"/>
    </row>
    <row r="351" spans="1:13" s="183" customFormat="1" ht="14.25" customHeight="1" x14ac:dyDescent="0.15">
      <c r="A351" s="80" t="s">
        <v>192</v>
      </c>
      <c r="B351" s="81" t="s">
        <v>830</v>
      </c>
      <c r="C351" s="66">
        <v>6</v>
      </c>
      <c r="D351" s="65">
        <v>750</v>
      </c>
      <c r="E351" s="467"/>
      <c r="F351" s="468"/>
      <c r="G351" s="580">
        <v>218</v>
      </c>
      <c r="H351" s="209"/>
      <c r="I351" s="648"/>
      <c r="J351" s="567"/>
      <c r="K351" s="127"/>
      <c r="L351" s="363"/>
    </row>
    <row r="352" spans="1:13" s="183" customFormat="1" ht="14.25" customHeight="1" x14ac:dyDescent="0.15">
      <c r="A352" s="80" t="s">
        <v>916</v>
      </c>
      <c r="B352" s="81" t="s">
        <v>917</v>
      </c>
      <c r="C352" s="66">
        <v>6</v>
      </c>
      <c r="D352" s="65">
        <v>750</v>
      </c>
      <c r="E352" s="404">
        <v>185</v>
      </c>
      <c r="F352" s="405"/>
      <c r="G352" s="642"/>
      <c r="H352" s="209"/>
      <c r="I352" s="648"/>
      <c r="J352" s="567"/>
      <c r="K352" s="143" t="s">
        <v>381</v>
      </c>
      <c r="L352" s="358" t="s">
        <v>796</v>
      </c>
      <c r="M352" s="704"/>
    </row>
    <row r="353" spans="1:13" s="163" customFormat="1" ht="20" customHeight="1" x14ac:dyDescent="0.2">
      <c r="A353" s="88" t="s">
        <v>62</v>
      </c>
      <c r="B353" s="89"/>
      <c r="C353" s="11"/>
      <c r="D353" s="12"/>
      <c r="E353" s="491"/>
      <c r="F353" s="492"/>
      <c r="G353" s="596"/>
      <c r="H353" s="189"/>
      <c r="I353" s="597"/>
      <c r="J353" s="571"/>
      <c r="K353" s="133"/>
      <c r="L353" s="370"/>
    </row>
    <row r="354" spans="1:13" s="168" customFormat="1" ht="14.25" customHeight="1" x14ac:dyDescent="0.15">
      <c r="A354" s="104" t="s">
        <v>400</v>
      </c>
      <c r="B354" s="98" t="s">
        <v>419</v>
      </c>
      <c r="C354" s="34">
        <v>12</v>
      </c>
      <c r="D354" s="14">
        <v>750</v>
      </c>
      <c r="E354" s="495"/>
      <c r="F354" s="496"/>
      <c r="G354" s="598">
        <v>105</v>
      </c>
      <c r="H354" s="151">
        <v>95</v>
      </c>
      <c r="I354" s="599" t="s">
        <v>93</v>
      </c>
      <c r="J354" s="572" t="s">
        <v>978</v>
      </c>
      <c r="K354" s="127" t="s">
        <v>676</v>
      </c>
      <c r="L354" s="358" t="s">
        <v>793</v>
      </c>
      <c r="M354" s="380" t="s">
        <v>797</v>
      </c>
    </row>
    <row r="355" spans="1:13" s="168" customFormat="1" ht="14.25" customHeight="1" x14ac:dyDescent="0.15">
      <c r="A355" s="275" t="s">
        <v>400</v>
      </c>
      <c r="B355" s="98" t="s">
        <v>926</v>
      </c>
      <c r="C355" s="34">
        <v>12</v>
      </c>
      <c r="D355" s="14">
        <v>750</v>
      </c>
      <c r="E355" s="493">
        <v>73</v>
      </c>
      <c r="F355" s="494"/>
      <c r="G355" s="598">
        <v>105</v>
      </c>
      <c r="H355" s="151">
        <v>98</v>
      </c>
      <c r="I355" s="599" t="s">
        <v>93</v>
      </c>
      <c r="J355" s="554" t="s">
        <v>515</v>
      </c>
      <c r="K355" s="127"/>
      <c r="L355" s="358"/>
      <c r="M355" s="380"/>
    </row>
    <row r="356" spans="1:13" s="168" customFormat="1" ht="14.25" customHeight="1" x14ac:dyDescent="0.15">
      <c r="A356" s="90" t="s">
        <v>338</v>
      </c>
      <c r="B356" s="91" t="s">
        <v>339</v>
      </c>
      <c r="C356" s="67">
        <v>6</v>
      </c>
      <c r="D356" s="68">
        <v>750</v>
      </c>
      <c r="E356" s="495"/>
      <c r="F356" s="496"/>
      <c r="G356" s="598">
        <v>130</v>
      </c>
      <c r="H356" s="151">
        <v>120</v>
      </c>
      <c r="I356" s="599" t="s">
        <v>20</v>
      </c>
      <c r="J356" s="509" t="s">
        <v>918</v>
      </c>
      <c r="K356" s="127"/>
      <c r="L356" s="362"/>
    </row>
    <row r="357" spans="1:13" s="168" customFormat="1" ht="14.25" customHeight="1" x14ac:dyDescent="0.15">
      <c r="A357" s="242" t="s">
        <v>657</v>
      </c>
      <c r="B357" s="91" t="s">
        <v>658</v>
      </c>
      <c r="C357" s="67">
        <v>6</v>
      </c>
      <c r="D357" s="68">
        <v>750</v>
      </c>
      <c r="E357" s="493">
        <v>108</v>
      </c>
      <c r="F357" s="494"/>
      <c r="G357" s="598">
        <v>140</v>
      </c>
      <c r="H357" s="151">
        <v>134</v>
      </c>
      <c r="I357" s="599" t="s">
        <v>20</v>
      </c>
      <c r="J357" s="554" t="s">
        <v>515</v>
      </c>
      <c r="K357" s="127"/>
      <c r="L357" s="358" t="s">
        <v>793</v>
      </c>
      <c r="M357" s="380" t="s">
        <v>797</v>
      </c>
    </row>
    <row r="358" spans="1:13" s="175" customFormat="1" ht="14.25" customHeight="1" x14ac:dyDescent="0.15">
      <c r="A358" s="791" t="s">
        <v>651</v>
      </c>
      <c r="B358" s="93" t="s">
        <v>652</v>
      </c>
      <c r="C358" s="13">
        <v>12</v>
      </c>
      <c r="D358" s="14">
        <v>750</v>
      </c>
      <c r="E358" s="495"/>
      <c r="F358" s="496"/>
      <c r="G358" s="598">
        <v>108</v>
      </c>
      <c r="H358" s="151">
        <v>98</v>
      </c>
      <c r="I358" s="599" t="s">
        <v>563</v>
      </c>
      <c r="J358" s="572" t="s">
        <v>977</v>
      </c>
      <c r="K358" s="127"/>
      <c r="L358" s="358" t="s">
        <v>793</v>
      </c>
      <c r="M358" s="704" t="s">
        <v>797</v>
      </c>
    </row>
    <row r="359" spans="1:13" s="175" customFormat="1" ht="14.25" customHeight="1" x14ac:dyDescent="0.15">
      <c r="A359" s="246" t="s">
        <v>651</v>
      </c>
      <c r="B359" s="93" t="s">
        <v>927</v>
      </c>
      <c r="C359" s="13">
        <v>12</v>
      </c>
      <c r="D359" s="14">
        <v>750</v>
      </c>
      <c r="E359" s="493">
        <v>79</v>
      </c>
      <c r="F359" s="494"/>
      <c r="G359" s="598">
        <v>118</v>
      </c>
      <c r="H359" s="151">
        <v>105</v>
      </c>
      <c r="I359" s="599" t="s">
        <v>563</v>
      </c>
      <c r="J359" s="554" t="s">
        <v>515</v>
      </c>
      <c r="K359" s="127"/>
      <c r="L359" s="358" t="s">
        <v>793</v>
      </c>
      <c r="M359" s="380" t="s">
        <v>797</v>
      </c>
    </row>
    <row r="360" spans="1:13" s="175" customFormat="1" ht="14.25" customHeight="1" x14ac:dyDescent="0.15">
      <c r="A360" s="123" t="s">
        <v>655</v>
      </c>
      <c r="B360" s="124" t="s">
        <v>656</v>
      </c>
      <c r="C360" s="69">
        <v>3</v>
      </c>
      <c r="D360" s="70">
        <v>1500</v>
      </c>
      <c r="E360" s="497">
        <v>62</v>
      </c>
      <c r="F360" s="498"/>
      <c r="G360" s="652">
        <v>85</v>
      </c>
      <c r="H360" s="207"/>
      <c r="I360" s="651"/>
      <c r="J360" s="572"/>
      <c r="K360" s="127"/>
      <c r="L360" s="358" t="s">
        <v>793</v>
      </c>
      <c r="M360" s="380" t="s">
        <v>797</v>
      </c>
    </row>
    <row r="361" spans="1:13" s="168" customFormat="1" ht="14.25" customHeight="1" x14ac:dyDescent="0.15">
      <c r="A361" s="90" t="s">
        <v>176</v>
      </c>
      <c r="B361" s="91" t="s">
        <v>420</v>
      </c>
      <c r="C361" s="13">
        <v>12</v>
      </c>
      <c r="D361" s="14">
        <v>750</v>
      </c>
      <c r="E361" s="495"/>
      <c r="F361" s="496"/>
      <c r="G361" s="598">
        <v>147</v>
      </c>
      <c r="H361" s="151">
        <v>135</v>
      </c>
      <c r="I361" s="599" t="s">
        <v>21</v>
      </c>
      <c r="J361" s="572" t="s">
        <v>976</v>
      </c>
      <c r="K361" s="127" t="s">
        <v>545</v>
      </c>
      <c r="L361" s="362"/>
    </row>
    <row r="362" spans="1:13" s="168" customFormat="1" ht="14.25" customHeight="1" x14ac:dyDescent="0.15">
      <c r="A362" s="242" t="s">
        <v>650</v>
      </c>
      <c r="B362" s="91" t="s">
        <v>674</v>
      </c>
      <c r="C362" s="13">
        <v>12</v>
      </c>
      <c r="D362" s="14">
        <v>750</v>
      </c>
      <c r="E362" s="714">
        <v>114</v>
      </c>
      <c r="F362" s="737"/>
      <c r="G362" s="598">
        <v>155</v>
      </c>
      <c r="H362" s="151">
        <v>145</v>
      </c>
      <c r="I362" s="607" t="s">
        <v>21</v>
      </c>
      <c r="J362" s="554" t="s">
        <v>515</v>
      </c>
      <c r="K362" s="127"/>
      <c r="L362" s="358" t="s">
        <v>793</v>
      </c>
      <c r="M362" s="380" t="s">
        <v>797</v>
      </c>
    </row>
    <row r="363" spans="1:13" ht="14.25" customHeight="1" x14ac:dyDescent="0.15">
      <c r="A363" s="92" t="s">
        <v>340</v>
      </c>
      <c r="B363" s="91" t="s">
        <v>421</v>
      </c>
      <c r="C363" s="13">
        <v>12</v>
      </c>
      <c r="D363" s="14">
        <v>750</v>
      </c>
      <c r="E363" s="495"/>
      <c r="F363" s="496"/>
      <c r="G363" s="598">
        <v>215</v>
      </c>
      <c r="H363" s="151">
        <v>205</v>
      </c>
      <c r="I363" s="599" t="s">
        <v>19</v>
      </c>
      <c r="J363" s="572" t="s">
        <v>972</v>
      </c>
      <c r="K363" s="127" t="s">
        <v>622</v>
      </c>
      <c r="L363" s="358" t="s">
        <v>793</v>
      </c>
      <c r="M363" s="380" t="s">
        <v>797</v>
      </c>
    </row>
    <row r="364" spans="1:13" ht="14.25" customHeight="1" x14ac:dyDescent="0.15">
      <c r="A364" s="246" t="s">
        <v>340</v>
      </c>
      <c r="B364" s="91" t="s">
        <v>928</v>
      </c>
      <c r="C364" s="13">
        <v>12</v>
      </c>
      <c r="D364" s="14">
        <v>750</v>
      </c>
      <c r="E364" s="493">
        <v>182</v>
      </c>
      <c r="F364" s="494"/>
      <c r="G364" s="598">
        <v>229</v>
      </c>
      <c r="H364" s="151">
        <v>222</v>
      </c>
      <c r="I364" s="599" t="s">
        <v>19</v>
      </c>
      <c r="J364" s="554" t="s">
        <v>515</v>
      </c>
      <c r="K364" s="127"/>
      <c r="L364" s="358"/>
      <c r="M364" s="380"/>
    </row>
    <row r="365" spans="1:13" ht="14.25" customHeight="1" x14ac:dyDescent="0.15">
      <c r="A365" s="121" t="s">
        <v>342</v>
      </c>
      <c r="B365" s="122" t="s">
        <v>343</v>
      </c>
      <c r="C365" s="69">
        <v>1</v>
      </c>
      <c r="D365" s="70">
        <v>1500</v>
      </c>
      <c r="E365" s="497">
        <v>110</v>
      </c>
      <c r="F365" s="498"/>
      <c r="G365" s="652">
        <v>140</v>
      </c>
      <c r="H365" s="152"/>
      <c r="I365" s="607"/>
      <c r="J365" s="529" t="s">
        <v>188</v>
      </c>
      <c r="K365" s="283" t="s">
        <v>26</v>
      </c>
      <c r="L365" s="358" t="s">
        <v>793</v>
      </c>
      <c r="M365" s="380" t="s">
        <v>797</v>
      </c>
    </row>
    <row r="366" spans="1:13" ht="14.25" customHeight="1" x14ac:dyDescent="0.15">
      <c r="A366" s="90" t="s">
        <v>126</v>
      </c>
      <c r="B366" s="91" t="s">
        <v>239</v>
      </c>
      <c r="C366" s="67">
        <v>6</v>
      </c>
      <c r="D366" s="68">
        <v>750</v>
      </c>
      <c r="E366" s="467"/>
      <c r="F366" s="468"/>
      <c r="G366" s="598">
        <v>150</v>
      </c>
      <c r="H366" s="152"/>
      <c r="I366" s="632"/>
      <c r="J366" s="560"/>
      <c r="K366" s="134" t="s">
        <v>621</v>
      </c>
      <c r="L366" s="362"/>
    </row>
    <row r="367" spans="1:13" ht="14.25" customHeight="1" x14ac:dyDescent="0.15">
      <c r="A367" s="242" t="s">
        <v>653</v>
      </c>
      <c r="B367" s="91" t="s">
        <v>654</v>
      </c>
      <c r="C367" s="67">
        <v>6</v>
      </c>
      <c r="D367" s="68">
        <v>750</v>
      </c>
      <c r="E367" s="404">
        <v>125</v>
      </c>
      <c r="F367" s="405"/>
      <c r="G367" s="598">
        <v>154</v>
      </c>
      <c r="H367" s="152"/>
      <c r="I367" s="632"/>
      <c r="J367" s="554" t="s">
        <v>515</v>
      </c>
      <c r="K367" s="226"/>
      <c r="L367" s="358" t="s">
        <v>793</v>
      </c>
      <c r="M367" s="380" t="s">
        <v>797</v>
      </c>
    </row>
    <row r="368" spans="1:13" ht="14.25" customHeight="1" x14ac:dyDescent="0.15">
      <c r="A368" s="121" t="s">
        <v>919</v>
      </c>
      <c r="B368" s="91" t="s">
        <v>920</v>
      </c>
      <c r="C368" s="69">
        <v>1</v>
      </c>
      <c r="D368" s="70">
        <v>3000</v>
      </c>
      <c r="E368" s="499"/>
      <c r="F368" s="500"/>
      <c r="G368" s="652">
        <v>127</v>
      </c>
      <c r="H368" s="152"/>
      <c r="I368" s="632"/>
      <c r="J368" s="560" t="s">
        <v>188</v>
      </c>
      <c r="K368" s="226" t="s">
        <v>621</v>
      </c>
      <c r="L368" s="362"/>
    </row>
    <row r="369" spans="1:13" ht="24" customHeight="1" x14ac:dyDescent="0.15">
      <c r="A369" s="90" t="s">
        <v>357</v>
      </c>
      <c r="B369" s="91" t="s">
        <v>522</v>
      </c>
      <c r="C369" s="67">
        <v>3</v>
      </c>
      <c r="D369" s="68">
        <v>750</v>
      </c>
      <c r="E369" s="404">
        <v>440</v>
      </c>
      <c r="F369" s="405"/>
      <c r="G369" s="598">
        <v>489</v>
      </c>
      <c r="H369" s="219"/>
      <c r="I369" s="632"/>
      <c r="J369" s="854" t="s">
        <v>602</v>
      </c>
      <c r="K369" s="147"/>
      <c r="L369" s="358" t="s">
        <v>793</v>
      </c>
      <c r="M369" s="380" t="s">
        <v>797</v>
      </c>
    </row>
    <row r="370" spans="1:13" ht="14.25" customHeight="1" x14ac:dyDescent="0.15">
      <c r="A370" s="92" t="s">
        <v>341</v>
      </c>
      <c r="B370" s="93" t="s">
        <v>347</v>
      </c>
      <c r="C370" s="67">
        <v>6</v>
      </c>
      <c r="D370" s="68">
        <v>750</v>
      </c>
      <c r="E370" s="404">
        <v>230</v>
      </c>
      <c r="F370" s="405"/>
      <c r="G370" s="598">
        <v>274</v>
      </c>
      <c r="H370" s="152"/>
      <c r="I370" s="632"/>
      <c r="J370" s="573"/>
      <c r="K370" s="127" t="s">
        <v>625</v>
      </c>
      <c r="L370" s="358" t="s">
        <v>793</v>
      </c>
      <c r="M370" s="380" t="s">
        <v>797</v>
      </c>
    </row>
    <row r="371" spans="1:13" ht="14.25" customHeight="1" x14ac:dyDescent="0.15">
      <c r="A371" s="281" t="s">
        <v>344</v>
      </c>
      <c r="B371" s="122" t="s">
        <v>348</v>
      </c>
      <c r="C371" s="69">
        <v>1</v>
      </c>
      <c r="D371" s="70">
        <v>1500</v>
      </c>
      <c r="E371" s="483">
        <v>88</v>
      </c>
      <c r="F371" s="484"/>
      <c r="G371" s="652">
        <v>110</v>
      </c>
      <c r="H371" s="219"/>
      <c r="I371" s="632"/>
      <c r="J371" s="574" t="s">
        <v>623</v>
      </c>
      <c r="K371" s="130" t="s">
        <v>625</v>
      </c>
      <c r="L371" s="358" t="s">
        <v>793</v>
      </c>
      <c r="M371" s="380" t="s">
        <v>797</v>
      </c>
    </row>
    <row r="372" spans="1:13" ht="14.25" customHeight="1" x14ac:dyDescent="0.15">
      <c r="A372" s="281" t="s">
        <v>345</v>
      </c>
      <c r="B372" s="122" t="s">
        <v>349</v>
      </c>
      <c r="C372" s="69">
        <v>1</v>
      </c>
      <c r="D372" s="70">
        <v>3000</v>
      </c>
      <c r="E372" s="483">
        <v>171</v>
      </c>
      <c r="F372" s="484"/>
      <c r="G372" s="652">
        <v>215</v>
      </c>
      <c r="H372" s="219"/>
      <c r="I372" s="632"/>
      <c r="J372" s="574" t="s">
        <v>623</v>
      </c>
      <c r="K372" s="130" t="s">
        <v>625</v>
      </c>
      <c r="L372" s="358" t="s">
        <v>793</v>
      </c>
      <c r="M372" s="380" t="s">
        <v>797</v>
      </c>
    </row>
    <row r="373" spans="1:13" ht="14.25" customHeight="1" x14ac:dyDescent="0.15">
      <c r="A373" s="281" t="s">
        <v>346</v>
      </c>
      <c r="B373" s="122" t="s">
        <v>350</v>
      </c>
      <c r="C373" s="69">
        <v>1</v>
      </c>
      <c r="D373" s="70">
        <v>5000</v>
      </c>
      <c r="E373" s="483">
        <v>345</v>
      </c>
      <c r="F373" s="484"/>
      <c r="G373" s="652">
        <v>422</v>
      </c>
      <c r="H373" s="219"/>
      <c r="I373" s="632"/>
      <c r="J373" s="574" t="s">
        <v>623</v>
      </c>
      <c r="K373" s="130" t="s">
        <v>625</v>
      </c>
      <c r="L373" s="358" t="s">
        <v>793</v>
      </c>
      <c r="M373" s="380" t="s">
        <v>797</v>
      </c>
    </row>
    <row r="374" spans="1:13" ht="14.25" customHeight="1" x14ac:dyDescent="0.15">
      <c r="A374" s="123" t="s">
        <v>181</v>
      </c>
      <c r="B374" s="124" t="s">
        <v>203</v>
      </c>
      <c r="C374" s="69">
        <v>6</v>
      </c>
      <c r="D374" s="70">
        <v>500</v>
      </c>
      <c r="E374" s="501"/>
      <c r="F374" s="502"/>
      <c r="G374" s="652">
        <v>170</v>
      </c>
      <c r="H374" s="219"/>
      <c r="I374" s="632"/>
      <c r="J374" s="573" t="s">
        <v>939</v>
      </c>
      <c r="K374" s="130"/>
      <c r="L374" s="358"/>
      <c r="M374" s="380"/>
    </row>
    <row r="375" spans="1:13" ht="14.25" customHeight="1" x14ac:dyDescent="0.15">
      <c r="A375" s="738" t="s">
        <v>921</v>
      </c>
      <c r="B375" s="124" t="s">
        <v>922</v>
      </c>
      <c r="C375" s="69">
        <v>6</v>
      </c>
      <c r="D375" s="70">
        <v>500</v>
      </c>
      <c r="E375" s="739">
        <v>148</v>
      </c>
      <c r="F375" s="502"/>
      <c r="G375" s="652">
        <v>180</v>
      </c>
      <c r="H375" s="219"/>
      <c r="I375" s="632"/>
      <c r="J375" s="554" t="s">
        <v>515</v>
      </c>
      <c r="K375" s="147" t="s">
        <v>53</v>
      </c>
      <c r="L375" s="362"/>
    </row>
    <row r="376" spans="1:13" s="163" customFormat="1" ht="20" customHeight="1" x14ac:dyDescent="0.2">
      <c r="A376" s="125" t="s">
        <v>43</v>
      </c>
      <c r="B376" s="126"/>
      <c r="C376" s="11"/>
      <c r="D376" s="12"/>
      <c r="E376" s="415"/>
      <c r="F376" s="416"/>
      <c r="G376" s="596"/>
      <c r="H376" s="189"/>
      <c r="I376" s="597"/>
      <c r="J376" s="575"/>
      <c r="K376" s="133"/>
      <c r="L376" s="370"/>
    </row>
    <row r="377" spans="1:13" ht="14.25" customHeight="1" x14ac:dyDescent="0.15">
      <c r="A377" s="791" t="s">
        <v>401</v>
      </c>
      <c r="B377" s="93" t="s">
        <v>449</v>
      </c>
      <c r="C377" s="13">
        <v>12</v>
      </c>
      <c r="D377" s="14">
        <v>750</v>
      </c>
      <c r="E377" s="417">
        <v>85</v>
      </c>
      <c r="F377" s="418"/>
      <c r="G377" s="598">
        <v>120</v>
      </c>
      <c r="H377" s="151">
        <v>112</v>
      </c>
      <c r="I377" s="599" t="s">
        <v>20</v>
      </c>
      <c r="J377" s="783"/>
      <c r="K377" s="227"/>
      <c r="L377" s="358"/>
    </row>
    <row r="378" spans="1:13" ht="14.25" customHeight="1" x14ac:dyDescent="0.15">
      <c r="A378" s="791" t="s">
        <v>402</v>
      </c>
      <c r="B378" s="93" t="s">
        <v>450</v>
      </c>
      <c r="C378" s="13">
        <v>12</v>
      </c>
      <c r="D378" s="14">
        <v>750</v>
      </c>
      <c r="E378" s="493">
        <v>75</v>
      </c>
      <c r="F378" s="418"/>
      <c r="G378" s="598">
        <v>110</v>
      </c>
      <c r="H378" s="151">
        <v>105</v>
      </c>
      <c r="I378" s="599" t="s">
        <v>20</v>
      </c>
      <c r="J378" s="792"/>
      <c r="K378" s="227"/>
      <c r="L378" s="358" t="s">
        <v>796</v>
      </c>
    </row>
    <row r="379" spans="1:13" ht="14.25" customHeight="1" x14ac:dyDescent="0.15">
      <c r="A379" s="790" t="s">
        <v>403</v>
      </c>
      <c r="B379" s="294" t="s">
        <v>954</v>
      </c>
      <c r="C379" s="295">
        <v>12</v>
      </c>
      <c r="D379" s="296">
        <v>750</v>
      </c>
      <c r="E379" s="788">
        <v>75</v>
      </c>
      <c r="F379" s="454"/>
      <c r="G379" s="600">
        <v>110</v>
      </c>
      <c r="H379" s="288">
        <v>105</v>
      </c>
      <c r="I379" s="601" t="s">
        <v>565</v>
      </c>
      <c r="J379" s="789" t="s">
        <v>649</v>
      </c>
      <c r="K379" s="227" t="s">
        <v>41</v>
      </c>
      <c r="L379" s="358" t="s">
        <v>796</v>
      </c>
    </row>
    <row r="380" spans="1:13" ht="14.25" customHeight="1" x14ac:dyDescent="0.15">
      <c r="A380" s="785" t="s">
        <v>951</v>
      </c>
      <c r="B380" s="91" t="s">
        <v>952</v>
      </c>
      <c r="C380" s="13">
        <v>12</v>
      </c>
      <c r="D380" s="14">
        <v>750</v>
      </c>
      <c r="E380" s="493" t="s">
        <v>953</v>
      </c>
      <c r="F380" s="418"/>
      <c r="G380" s="598" t="s">
        <v>953</v>
      </c>
      <c r="H380" s="151" t="s">
        <v>953</v>
      </c>
      <c r="I380" s="599" t="s">
        <v>565</v>
      </c>
      <c r="J380" s="783"/>
      <c r="K380" s="227" t="s">
        <v>41</v>
      </c>
      <c r="L380" s="358" t="s">
        <v>796</v>
      </c>
    </row>
    <row r="381" spans="1:13" ht="14.25" customHeight="1" x14ac:dyDescent="0.15">
      <c r="A381" s="90" t="s">
        <v>177</v>
      </c>
      <c r="B381" s="91" t="s">
        <v>451</v>
      </c>
      <c r="C381" s="13">
        <v>12</v>
      </c>
      <c r="D381" s="14">
        <v>750</v>
      </c>
      <c r="E381" s="421"/>
      <c r="F381" s="422"/>
      <c r="G381" s="598">
        <v>107</v>
      </c>
      <c r="H381" s="151">
        <v>101</v>
      </c>
      <c r="I381" s="599" t="s">
        <v>19</v>
      </c>
      <c r="J381" s="549" t="s">
        <v>667</v>
      </c>
      <c r="K381" s="134" t="s">
        <v>41</v>
      </c>
      <c r="L381" s="358"/>
    </row>
    <row r="382" spans="1:13" ht="14.25" customHeight="1" x14ac:dyDescent="0.15">
      <c r="A382" s="242" t="s">
        <v>404</v>
      </c>
      <c r="B382" s="91" t="s">
        <v>452</v>
      </c>
      <c r="C382" s="13">
        <v>12</v>
      </c>
      <c r="D382" s="14">
        <v>750</v>
      </c>
      <c r="E382" s="417">
        <v>85</v>
      </c>
      <c r="F382" s="418"/>
      <c r="G382" s="598">
        <v>120</v>
      </c>
      <c r="H382" s="151">
        <v>112</v>
      </c>
      <c r="I382" s="599" t="s">
        <v>20</v>
      </c>
      <c r="J382" s="514" t="s">
        <v>554</v>
      </c>
      <c r="K382" s="134"/>
      <c r="L382" s="358"/>
    </row>
    <row r="383" spans="1:13" ht="14.25" customHeight="1" x14ac:dyDescent="0.15">
      <c r="A383" s="248" t="s">
        <v>557</v>
      </c>
      <c r="B383" s="93" t="s">
        <v>558</v>
      </c>
      <c r="C383" s="13">
        <v>12</v>
      </c>
      <c r="D383" s="14">
        <v>750</v>
      </c>
      <c r="E383" s="417">
        <v>85</v>
      </c>
      <c r="F383" s="418"/>
      <c r="G383" s="598">
        <v>120</v>
      </c>
      <c r="H383" s="151">
        <v>115</v>
      </c>
      <c r="I383" s="599" t="s">
        <v>19</v>
      </c>
      <c r="J383" s="576" t="s">
        <v>617</v>
      </c>
      <c r="K383" s="227"/>
      <c r="L383" s="358"/>
    </row>
    <row r="384" spans="1:13" ht="14.25" customHeight="1" x14ac:dyDescent="0.15">
      <c r="A384" s="249" t="s">
        <v>405</v>
      </c>
      <c r="B384" s="252" t="s">
        <v>453</v>
      </c>
      <c r="C384" s="13">
        <v>12</v>
      </c>
      <c r="D384" s="14">
        <v>750</v>
      </c>
      <c r="E384" s="493">
        <v>66</v>
      </c>
      <c r="F384" s="418"/>
      <c r="G384" s="598">
        <v>102</v>
      </c>
      <c r="H384" s="151">
        <v>96</v>
      </c>
      <c r="I384" s="599" t="s">
        <v>19</v>
      </c>
      <c r="J384" s="576" t="s">
        <v>554</v>
      </c>
      <c r="K384" s="134"/>
      <c r="L384" s="358" t="s">
        <v>796</v>
      </c>
    </row>
    <row r="385" spans="1:12" ht="14.25" customHeight="1" x14ac:dyDescent="0.15">
      <c r="A385" s="92" t="s">
        <v>212</v>
      </c>
      <c r="B385" s="93" t="s">
        <v>454</v>
      </c>
      <c r="C385" s="13">
        <v>12</v>
      </c>
      <c r="D385" s="14">
        <v>750</v>
      </c>
      <c r="E385" s="421"/>
      <c r="F385" s="422"/>
      <c r="G385" s="598">
        <v>99</v>
      </c>
      <c r="H385" s="151">
        <v>93</v>
      </c>
      <c r="I385" s="599" t="s">
        <v>20</v>
      </c>
      <c r="J385" s="549" t="s">
        <v>904</v>
      </c>
      <c r="K385" s="134"/>
      <c r="L385" s="358"/>
    </row>
    <row r="386" spans="1:12" ht="14.25" customHeight="1" x14ac:dyDescent="0.15">
      <c r="A386" s="246" t="s">
        <v>406</v>
      </c>
      <c r="B386" s="93" t="s">
        <v>455</v>
      </c>
      <c r="C386" s="13">
        <v>12</v>
      </c>
      <c r="D386" s="14">
        <v>750</v>
      </c>
      <c r="E386" s="417">
        <v>75</v>
      </c>
      <c r="F386" s="418"/>
      <c r="G386" s="598">
        <v>106</v>
      </c>
      <c r="H386" s="151">
        <v>100</v>
      </c>
      <c r="I386" s="599" t="s">
        <v>565</v>
      </c>
      <c r="J386" s="514" t="s">
        <v>554</v>
      </c>
      <c r="K386" s="134"/>
      <c r="L386" s="358"/>
    </row>
    <row r="387" spans="1:12" ht="14.25" customHeight="1" x14ac:dyDescent="0.15">
      <c r="A387" s="248" t="s">
        <v>624</v>
      </c>
      <c r="B387" s="103" t="s">
        <v>456</v>
      </c>
      <c r="C387" s="253">
        <v>12</v>
      </c>
      <c r="D387" s="14">
        <v>750</v>
      </c>
      <c r="E387" s="417">
        <v>85</v>
      </c>
      <c r="F387" s="418"/>
      <c r="G387" s="598">
        <v>123</v>
      </c>
      <c r="H387" s="152"/>
      <c r="I387" s="607"/>
      <c r="J387" s="730" t="s">
        <v>566</v>
      </c>
      <c r="K387" s="167"/>
      <c r="L387" s="358"/>
    </row>
    <row r="388" spans="1:12" ht="14.25" customHeight="1" x14ac:dyDescent="0.15">
      <c r="A388" s="242" t="s">
        <v>407</v>
      </c>
      <c r="B388" s="91" t="s">
        <v>457</v>
      </c>
      <c r="C388" s="13">
        <v>12</v>
      </c>
      <c r="D388" s="14">
        <v>750</v>
      </c>
      <c r="E388" s="417">
        <v>85</v>
      </c>
      <c r="F388" s="418"/>
      <c r="G388" s="598">
        <v>123</v>
      </c>
      <c r="H388" s="152"/>
      <c r="I388" s="607"/>
      <c r="J388" s="730" t="s">
        <v>567</v>
      </c>
      <c r="K388" s="127"/>
      <c r="L388" s="358"/>
    </row>
    <row r="389" spans="1:12" ht="13.25" customHeight="1" thickBot="1" x14ac:dyDescent="0.2">
      <c r="A389" s="236"/>
      <c r="B389" s="236"/>
      <c r="C389" s="236"/>
      <c r="D389" s="236"/>
      <c r="E389" s="503"/>
      <c r="F389" s="504"/>
      <c r="G389" s="653"/>
      <c r="H389" s="654"/>
      <c r="I389" s="655"/>
      <c r="J389" s="236"/>
      <c r="K389" s="237"/>
      <c r="L389" s="379"/>
    </row>
    <row r="390" spans="1:12" ht="13.25" customHeight="1" x14ac:dyDescent="0.15"/>
    <row r="391" spans="1:12" ht="13.25" customHeight="1" x14ac:dyDescent="0.15">
      <c r="E391" s="351"/>
      <c r="F391" s="351"/>
      <c r="G391" s="164"/>
      <c r="H391" s="164"/>
    </row>
  </sheetData>
  <mergeCells count="9">
    <mergeCell ref="A9:K9"/>
    <mergeCell ref="A8:K8"/>
    <mergeCell ref="A1:K1"/>
    <mergeCell ref="A7:K7"/>
    <mergeCell ref="A6:K6"/>
    <mergeCell ref="A5:K5"/>
    <mergeCell ref="A2:K2"/>
    <mergeCell ref="A3:K3"/>
    <mergeCell ref="A4:K4"/>
  </mergeCells>
  <phoneticPr fontId="6" type="noConversion"/>
  <printOptions horizontalCentered="1" gridLines="1"/>
  <pageMargins left="0.25" right="0.25" top="0.75" bottom="0.75" header="0.3" footer="0.3"/>
  <pageSetup scale="46" fitToHeight="0" orientation="landscape" copies="9" r:id="rId1"/>
  <headerFooter alignWithMargins="0"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ColWidth="8.83203125" defaultRowHeight="13" x14ac:dyDescent="0.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FDC4CD89937F4E99EC85F2548B7E86" ma:contentTypeVersion="4" ma:contentTypeDescription="Create a new document." ma:contentTypeScope="" ma:versionID="057a181983f4edb4bbf9828ed349316a">
  <xsd:schema xmlns:xsd="http://www.w3.org/2001/XMLSchema" xmlns:xs="http://www.w3.org/2001/XMLSchema" xmlns:p="http://schemas.microsoft.com/office/2006/metadata/properties" xmlns:ns3="cdd1c790-19ab-42ed-a569-173628880277" targetNamespace="http://schemas.microsoft.com/office/2006/metadata/properties" ma:root="true" ma:fieldsID="312e17650884ea7b5a0f5a9c8773bc9a" ns3:_="">
    <xsd:import namespace="cdd1c790-19ab-42ed-a569-1736288802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d1c790-19ab-42ed-a569-1736288802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A9C5F0-03C3-41B0-87BE-DEF9F3C1EB15}">
  <ds:schemaRefs>
    <ds:schemaRef ds:uri="http://purl.org/dc/dcmitype/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cdd1c790-19ab-42ed-a569-17362888027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840E7CA-F67B-4BCA-A500-9E565CB8BA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d1c790-19ab-42ed-a569-1736288802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8DFC6CB-F15F-40D5-AA3B-4C6378DC82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Q2 2025</vt:lpstr>
      <vt:lpstr>Sheet1</vt:lpstr>
      <vt:lpstr>'Q2 2025'!Print_Area</vt:lpstr>
    </vt:vector>
  </TitlesOfParts>
  <Company>DSM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Mathews</dc:creator>
  <cp:lastModifiedBy>Jolanta Tomaselli</cp:lastModifiedBy>
  <cp:lastPrinted>2025-09-08T14:20:38Z</cp:lastPrinted>
  <dcterms:created xsi:type="dcterms:W3CDTF">2011-12-28T16:55:09Z</dcterms:created>
  <dcterms:modified xsi:type="dcterms:W3CDTF">2026-01-29T14:28:26Z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0x01010046FDC4CD89937F4E99EC85F2548B7E86</vt:lpwstr>
  </property>
</Properties>
</file>