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tziwinescom.sharepoint.com/sites/SchatziWines/Shared Documents/Jen Working Docs/Inventory and FOB/"/>
    </mc:Choice>
  </mc:AlternateContent>
  <xr:revisionPtr revIDLastSave="0" documentId="8_{75D1A94A-0BD9-3A4F-BE6B-C3073B1EA687}" xr6:coauthVersionLast="47" xr6:coauthVersionMax="47" xr10:uidLastSave="{00000000-0000-0000-0000-000000000000}"/>
  <bookViews>
    <workbookView xWindow="4680" yWindow="1300" windowWidth="29280" windowHeight="18040" xr2:uid="{51ED3E6E-DC90-694D-94E9-95CE1E011E8A}"/>
  </bookViews>
  <sheets>
    <sheet name="Wine" sheetId="1" r:id="rId1"/>
    <sheet name="NA" sheetId="2" r:id="rId2"/>
  </sheets>
  <definedNames>
    <definedName name="XStatus" localSheetId="0">Wine!$A$1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8" i="1" l="1"/>
  <c r="K159" i="1"/>
  <c r="K156" i="1"/>
  <c r="K157" i="1"/>
  <c r="K99" i="1"/>
  <c r="K367" i="1"/>
  <c r="K364" i="1"/>
  <c r="K369" i="1"/>
  <c r="K366" i="1"/>
  <c r="K368" i="1"/>
  <c r="K365" i="1"/>
  <c r="K370" i="1"/>
  <c r="K361" i="1"/>
  <c r="K357" i="1"/>
  <c r="K355" i="1"/>
  <c r="K354" i="1"/>
  <c r="K353" i="1"/>
  <c r="K356" i="1"/>
  <c r="K358" i="1"/>
  <c r="K350" i="1"/>
  <c r="K347" i="1"/>
  <c r="K345" i="1"/>
  <c r="K342" i="1"/>
  <c r="K346" i="1"/>
  <c r="K344" i="1"/>
  <c r="K343" i="1"/>
  <c r="K339" i="1"/>
  <c r="K337" i="1"/>
  <c r="K340" i="1"/>
  <c r="K338" i="1"/>
  <c r="K336" i="1"/>
  <c r="K334" i="1"/>
  <c r="K333" i="1"/>
  <c r="K332" i="1"/>
  <c r="K331" i="1"/>
  <c r="K329" i="1"/>
  <c r="K328" i="1"/>
  <c r="K326" i="1"/>
  <c r="K325" i="1"/>
  <c r="K324" i="1"/>
  <c r="K323" i="1"/>
  <c r="K314" i="1"/>
  <c r="K321" i="1"/>
  <c r="K318" i="1"/>
  <c r="K320" i="1"/>
  <c r="K317" i="1"/>
  <c r="K315" i="1"/>
  <c r="K319" i="1"/>
  <c r="K316" i="1"/>
  <c r="K310" i="1"/>
  <c r="K312" i="1"/>
  <c r="K309" i="1"/>
  <c r="K311" i="1"/>
  <c r="K306" i="1"/>
  <c r="K307" i="1"/>
  <c r="K304" i="1"/>
  <c r="K305" i="1"/>
  <c r="K303" i="1"/>
  <c r="K300" i="1"/>
  <c r="K299" i="1"/>
  <c r="K295" i="1"/>
  <c r="K294" i="1"/>
  <c r="K290" i="1"/>
  <c r="K291" i="1"/>
  <c r="K292" i="1"/>
  <c r="K289" i="1"/>
  <c r="K287" i="1"/>
  <c r="K286" i="1"/>
  <c r="K282" i="1"/>
  <c r="K280" i="1"/>
  <c r="K284" i="1"/>
  <c r="K283" i="1"/>
  <c r="K281" i="1"/>
  <c r="K278" i="1"/>
  <c r="K277" i="1"/>
  <c r="K270" i="1"/>
  <c r="K276" i="1"/>
  <c r="K274" i="1"/>
  <c r="K272" i="1"/>
  <c r="K275" i="1"/>
  <c r="K273" i="1"/>
  <c r="K271" i="1"/>
  <c r="K266" i="1"/>
  <c r="K264" i="1"/>
  <c r="K265" i="1"/>
  <c r="K268" i="1"/>
  <c r="K267" i="1"/>
  <c r="K259" i="1"/>
  <c r="K257" i="1"/>
  <c r="K261" i="1"/>
  <c r="K254" i="1"/>
  <c r="K262" i="1"/>
  <c r="K255" i="1"/>
  <c r="K256" i="1"/>
  <c r="K253" i="1"/>
  <c r="K258" i="1"/>
  <c r="K260" i="1"/>
  <c r="K252" i="1"/>
  <c r="K244" i="1"/>
  <c r="K248" i="1"/>
  <c r="K246" i="1"/>
  <c r="K245" i="1"/>
  <c r="K250" i="1"/>
  <c r="K247" i="1"/>
  <c r="K249" i="1"/>
  <c r="K243" i="1"/>
  <c r="K240" i="1"/>
  <c r="K239" i="1"/>
  <c r="K241" i="1"/>
  <c r="K233" i="1"/>
  <c r="K231" i="1"/>
  <c r="K232" i="1"/>
  <c r="K235" i="1"/>
  <c r="K237" i="1"/>
  <c r="K236" i="1"/>
  <c r="K230" i="1"/>
  <c r="K234" i="1"/>
  <c r="K228" i="1"/>
  <c r="K227" i="1"/>
  <c r="K226" i="1"/>
  <c r="K223" i="1"/>
  <c r="K224" i="1"/>
  <c r="K222" i="1"/>
  <c r="K221" i="1"/>
  <c r="K220" i="1"/>
  <c r="K219" i="1"/>
  <c r="K215" i="1"/>
  <c r="K216" i="1"/>
  <c r="K214" i="1"/>
  <c r="K218" i="1"/>
  <c r="K225" i="1"/>
  <c r="K217" i="1"/>
  <c r="K200" i="1"/>
  <c r="K204" i="1"/>
  <c r="K211" i="1"/>
  <c r="K210" i="1"/>
  <c r="K206" i="1"/>
  <c r="K212" i="1"/>
  <c r="K208" i="1"/>
  <c r="K207" i="1"/>
  <c r="K205" i="1"/>
  <c r="K203" i="1"/>
  <c r="K202" i="1"/>
  <c r="K199" i="1"/>
  <c r="K198" i="1"/>
  <c r="K209" i="1"/>
  <c r="K201" i="1"/>
  <c r="K195" i="1"/>
  <c r="K196" i="1"/>
  <c r="K191" i="1"/>
  <c r="K192" i="1"/>
  <c r="K193" i="1"/>
  <c r="K190" i="1"/>
  <c r="K188" i="1"/>
  <c r="K187" i="1"/>
  <c r="K183" i="1"/>
  <c r="K186" i="1"/>
  <c r="K185" i="1"/>
  <c r="K184" i="1"/>
  <c r="K181" i="1"/>
  <c r="K171" i="1"/>
  <c r="K168" i="1"/>
  <c r="K165" i="1"/>
  <c r="K163" i="1"/>
  <c r="K175" i="1"/>
  <c r="K164" i="1"/>
  <c r="K169" i="1"/>
  <c r="K166" i="1"/>
  <c r="K177" i="1"/>
  <c r="K179" i="1"/>
  <c r="K170" i="1"/>
  <c r="K176" i="1"/>
  <c r="K167" i="1"/>
  <c r="K173" i="1"/>
  <c r="K178" i="1"/>
  <c r="K174" i="1"/>
  <c r="K172" i="1"/>
  <c r="K162" i="1"/>
  <c r="K154" i="1"/>
  <c r="K153" i="1"/>
  <c r="K151" i="1"/>
  <c r="K149" i="1"/>
  <c r="K147" i="1"/>
  <c r="K144" i="1"/>
  <c r="K141" i="1"/>
  <c r="K150" i="1"/>
  <c r="K145" i="1"/>
  <c r="K148" i="1"/>
  <c r="K146" i="1"/>
  <c r="K143" i="1"/>
  <c r="K142" i="1"/>
  <c r="K140" i="1"/>
  <c r="K138" i="1"/>
  <c r="K137" i="1"/>
  <c r="K136" i="1"/>
  <c r="K135" i="1"/>
  <c r="K133" i="1"/>
  <c r="K130" i="1"/>
  <c r="K128" i="1"/>
  <c r="K131" i="1"/>
  <c r="K132" i="1"/>
  <c r="K129" i="1"/>
  <c r="K126" i="1"/>
  <c r="K123" i="1"/>
  <c r="K124" i="1"/>
  <c r="K125" i="1"/>
  <c r="K121" i="1"/>
  <c r="K120" i="1"/>
  <c r="K117" i="1"/>
  <c r="K119" i="1"/>
  <c r="K116" i="1"/>
  <c r="K118" i="1"/>
  <c r="K113" i="1"/>
  <c r="K114" i="1"/>
  <c r="K111" i="1"/>
  <c r="K110" i="1"/>
  <c r="K109" i="1"/>
  <c r="K108" i="1"/>
  <c r="K105" i="1"/>
  <c r="K106" i="1"/>
  <c r="K107" i="1"/>
  <c r="K103" i="1"/>
  <c r="K102" i="1"/>
  <c r="K101" i="1"/>
  <c r="K87" i="1"/>
  <c r="K88" i="1"/>
  <c r="K89" i="1"/>
  <c r="K93" i="1"/>
  <c r="K94" i="1"/>
  <c r="K96" i="1"/>
  <c r="K97" i="1"/>
  <c r="K92" i="1"/>
  <c r="K95" i="1"/>
  <c r="K91" i="1"/>
  <c r="K90" i="1"/>
  <c r="K84" i="1"/>
  <c r="K83" i="1"/>
  <c r="K81" i="1"/>
  <c r="K80" i="1"/>
  <c r="K78" i="1"/>
  <c r="K79" i="1"/>
  <c r="K77" i="1"/>
  <c r="K72" i="1"/>
  <c r="K74" i="1"/>
  <c r="K73" i="1"/>
  <c r="K71" i="1"/>
  <c r="K75" i="1"/>
  <c r="K67" i="1"/>
  <c r="K68" i="1"/>
  <c r="K66" i="1"/>
  <c r="K64" i="1"/>
  <c r="K63" i="1"/>
  <c r="K62" i="1"/>
  <c r="K61" i="1"/>
  <c r="K56" i="1"/>
  <c r="K57" i="1"/>
  <c r="K59" i="1"/>
  <c r="K58" i="1"/>
  <c r="K53" i="1"/>
  <c r="K50" i="1"/>
  <c r="K54" i="1"/>
  <c r="K52" i="1"/>
  <c r="K51" i="1"/>
  <c r="K44" i="1"/>
  <c r="K45" i="1"/>
  <c r="K42" i="1"/>
  <c r="K43" i="1"/>
  <c r="K47" i="1"/>
  <c r="K48" i="1"/>
  <c r="K46" i="1"/>
  <c r="K37" i="1"/>
  <c r="K36" i="1"/>
  <c r="K40" i="1"/>
  <c r="K39" i="1"/>
  <c r="K38" i="1"/>
  <c r="K34" i="1"/>
  <c r="K28" i="1"/>
  <c r="K29" i="1"/>
  <c r="K31" i="1"/>
  <c r="K30" i="1"/>
  <c r="K32" i="1"/>
  <c r="K27" i="1"/>
  <c r="K25" i="1"/>
  <c r="K21" i="1"/>
  <c r="K20" i="1"/>
  <c r="K23" i="1"/>
  <c r="K22" i="1"/>
  <c r="K24" i="1"/>
  <c r="K15" i="1"/>
  <c r="K14" i="1"/>
  <c r="K18" i="1"/>
  <c r="K16" i="1"/>
  <c r="K17" i="1"/>
</calcChain>
</file>

<file path=xl/sharedStrings.xml><?xml version="1.0" encoding="utf-8"?>
<sst xmlns="http://schemas.openxmlformats.org/spreadsheetml/2006/main" count="2062" uniqueCount="816">
  <si>
    <t>Schatzi Wines, LLC Run Date:01/20/2026 08:13:46 AM ET   Download CSV</t>
  </si>
  <si>
    <t>Warehouse:FDL, FDL Units in:Cases</t>
  </si>
  <si>
    <t>Producer(s) NOT: 1150 1590 1600 1580 1530 1350 1010 1650 1700 1550</t>
  </si>
  <si>
    <t>Units in:Cases</t>
  </si>
  <si>
    <t>Sku</t>
  </si>
  <si>
    <t>Producer</t>
  </si>
  <si>
    <t>Product Name</t>
  </si>
  <si>
    <t>Vintage</t>
  </si>
  <si>
    <t>Case Pack</t>
  </si>
  <si>
    <t>Stock Size</t>
  </si>
  <si>
    <t>ALL</t>
  </si>
  <si>
    <t>Orders</t>
  </si>
  <si>
    <t>Available</t>
  </si>
  <si>
    <t>Purchase</t>
  </si>
  <si>
    <t>Next ETA</t>
  </si>
  <si>
    <t>Price Plan:FOBNJ</t>
  </si>
  <si>
    <t>State/Region</t>
  </si>
  <si>
    <t>Appellation</t>
  </si>
  <si>
    <t>Press</t>
  </si>
  <si>
    <t>AT</t>
  </si>
  <si>
    <t>Austria</t>
  </si>
  <si>
    <t>Lesehof Stagard</t>
  </si>
  <si>
    <t>SZLST-070</t>
  </si>
  <si>
    <t>Riesling "Steinzeug"</t>
  </si>
  <si>
    <t>750ml BTL</t>
  </si>
  <si>
    <t>Niederosterreich</t>
  </si>
  <si>
    <t>Kremstal</t>
  </si>
  <si>
    <t>FAL:94 JS:96 WA:94</t>
  </si>
  <si>
    <t>SZLST-071</t>
  </si>
  <si>
    <t>Riesling Steiner Hund</t>
  </si>
  <si>
    <t>FAL:94 JS:94 VM:94 WE:91</t>
  </si>
  <si>
    <t>SZLST-074</t>
  </si>
  <si>
    <t>Riesling Steiner Grillenparz</t>
  </si>
  <si>
    <t>FAL:94 JS:91 VM:95 WE:92</t>
  </si>
  <si>
    <t>SZLST-075</t>
  </si>
  <si>
    <t>FAL:95 JS:93 VM:97</t>
  </si>
  <si>
    <t>SZLST-076</t>
  </si>
  <si>
    <t>Riesling Steiner Schreck</t>
  </si>
  <si>
    <t>FAL:93 JS:94 VM:95 WE:93</t>
  </si>
  <si>
    <t>Sohm &amp; Kracher</t>
  </si>
  <si>
    <t>SZSHM-029</t>
  </si>
  <si>
    <t>Gruner Veltliner "Single Vineyard"</t>
  </si>
  <si>
    <t>Weinviertel</t>
  </si>
  <si>
    <t>JS:94 VM:93 WA:95</t>
  </si>
  <si>
    <t>SZSHM-036</t>
  </si>
  <si>
    <t>Gruner Veltliner "Alte Reben"</t>
  </si>
  <si>
    <t>FAL:93 JS:94 VM:90 WA:92</t>
  </si>
  <si>
    <t>SZSHM-037</t>
  </si>
  <si>
    <t>Gruner Veltliner "St. Georg"</t>
  </si>
  <si>
    <t>Burgenland</t>
  </si>
  <si>
    <t>Leithaberg</t>
  </si>
  <si>
    <t>FAL:93 JS:95 WA:95</t>
  </si>
  <si>
    <t>SZSHM-040L</t>
  </si>
  <si>
    <t>Gruner Veltliner (Liter)</t>
  </si>
  <si>
    <t>1L BTL</t>
  </si>
  <si>
    <t>SZSHM-041</t>
  </si>
  <si>
    <t>Gruner Veltliner "Lion"</t>
  </si>
  <si>
    <t>SZSHM-042</t>
  </si>
  <si>
    <t>Chardonnay "St. Georg"</t>
  </si>
  <si>
    <t>Frischengruber</t>
  </si>
  <si>
    <t>SZFRS-023</t>
  </si>
  <si>
    <t>Riesling Federspiel "Terrassen"</t>
  </si>
  <si>
    <t>Wachau</t>
  </si>
  <si>
    <t>FAL:92</t>
  </si>
  <si>
    <t>SZFRS-026</t>
  </si>
  <si>
    <t>Gruner Veltliner Ried Kreuzberg Smaragd</t>
  </si>
  <si>
    <t>FAL:97 JS:93 WA:94 WE:91</t>
  </si>
  <si>
    <t>SZFRS-027</t>
  </si>
  <si>
    <t>Riesling Ried Goldberg Smaragd</t>
  </si>
  <si>
    <t>FAL:96 WA:93</t>
  </si>
  <si>
    <t>SZFRS-028</t>
  </si>
  <si>
    <t>Riesling Ried Loibenberg Smaragd</t>
  </si>
  <si>
    <t>FAL:95 WA:94</t>
  </si>
  <si>
    <t>SZFRS-035</t>
  </si>
  <si>
    <t>Gruner Veltliner Steiger Federspiel</t>
  </si>
  <si>
    <t>FAL:92 VM:89</t>
  </si>
  <si>
    <t>SZFRS-036</t>
  </si>
  <si>
    <t>VM:88</t>
  </si>
  <si>
    <t>Gross&amp;Gross</t>
  </si>
  <si>
    <t>SZBGR-012</t>
  </si>
  <si>
    <t>"Jakobi" Sauvignon Blanc</t>
  </si>
  <si>
    <t>Steiermark</t>
  </si>
  <si>
    <t>Sudsteiermark</t>
  </si>
  <si>
    <t>Weingut Gross</t>
  </si>
  <si>
    <t>SZGRO-015</t>
  </si>
  <si>
    <t>Ehrenhausen Sauvignon Blanc</t>
  </si>
  <si>
    <t>FAL:93 JS:94</t>
  </si>
  <si>
    <t>SZGRO-016</t>
  </si>
  <si>
    <t>Ried Sulz Sauvignon Blanc</t>
  </si>
  <si>
    <t>FAL:96 JS:96 WA:91-92</t>
  </si>
  <si>
    <t>SZGRO-017</t>
  </si>
  <si>
    <t>Ried Nussberg Sauvignon Blanc</t>
  </si>
  <si>
    <t>FAL:96 JS:96 WA:93-94</t>
  </si>
  <si>
    <t>SZGRO-018</t>
  </si>
  <si>
    <t>Sauvignon Blanc "Bergwein"</t>
  </si>
  <si>
    <t>FAL:93 JS:92</t>
  </si>
  <si>
    <t>SZGRO-019</t>
  </si>
  <si>
    <t>JS:93</t>
  </si>
  <si>
    <t>Grassl</t>
  </si>
  <si>
    <t>SZGRL-003</t>
  </si>
  <si>
    <t>Zweigelt "Rubin Carnuntum"</t>
  </si>
  <si>
    <t>Carnuntum</t>
  </si>
  <si>
    <t>FAL:91</t>
  </si>
  <si>
    <t>SZGRL-005</t>
  </si>
  <si>
    <t>Zweigelt Schuttenberg</t>
  </si>
  <si>
    <t>FAL:93 JS:91</t>
  </si>
  <si>
    <t>SZGRL-006</t>
  </si>
  <si>
    <t>St. Laurent "Alte Reben"</t>
  </si>
  <si>
    <t>FAL:94</t>
  </si>
  <si>
    <t>SZGRL-008</t>
  </si>
  <si>
    <t>St. Laurent</t>
  </si>
  <si>
    <t>SZGRL-009</t>
  </si>
  <si>
    <t>Gruner Veltliner</t>
  </si>
  <si>
    <t>SZGRL-010</t>
  </si>
  <si>
    <t>SZGRL-011</t>
  </si>
  <si>
    <t>Zweigelt</t>
  </si>
  <si>
    <t>Weingut Kollwentz</t>
  </si>
  <si>
    <t>SZKOL-001</t>
  </si>
  <si>
    <t>Chardonnay "Leithakalk"</t>
  </si>
  <si>
    <t>FAL:93 JS:93 VM:90</t>
  </si>
  <si>
    <t>SZKOL-004</t>
  </si>
  <si>
    <t>Blaufrankisch Ried Setz</t>
  </si>
  <si>
    <t>FAL:97</t>
  </si>
  <si>
    <t>SZKOL-007</t>
  </si>
  <si>
    <t>Chardonnay Ried Katterstein</t>
  </si>
  <si>
    <t>FAL:96 VM:94</t>
  </si>
  <si>
    <t>SZKOL-010</t>
  </si>
  <si>
    <t>Blaufrankisch "Leithakalk"</t>
  </si>
  <si>
    <t>SZKOL-011</t>
  </si>
  <si>
    <t>FAL:95</t>
  </si>
  <si>
    <t>Trapl</t>
  </si>
  <si>
    <t>SZTRP-006</t>
  </si>
  <si>
    <t>Blaufrankisch "Karpatenschiefer"</t>
  </si>
  <si>
    <t>VM:90-92</t>
  </si>
  <si>
    <t>SZTRP-007</t>
  </si>
  <si>
    <t>Blaufrankisch Spitzerberg</t>
  </si>
  <si>
    <t>SZTRP-008</t>
  </si>
  <si>
    <t>Blaufrankisch</t>
  </si>
  <si>
    <t>SZTRP-009</t>
  </si>
  <si>
    <t>Weinbau Schiefer</t>
  </si>
  <si>
    <t>SZSCH-001</t>
  </si>
  <si>
    <t>Schiefer Weisser Schiefer (Welschriesling)</t>
  </si>
  <si>
    <t>Sudburgenland</t>
  </si>
  <si>
    <t>JS:89</t>
  </si>
  <si>
    <t>SZSCH-002</t>
  </si>
  <si>
    <t>Schiefer Blaufrankisch</t>
  </si>
  <si>
    <t>SZSCH-003</t>
  </si>
  <si>
    <t>Blaufrankisch "vom Blauen Schiefer"</t>
  </si>
  <si>
    <t>FAL:93</t>
  </si>
  <si>
    <t>SZSCH-004</t>
  </si>
  <si>
    <t>Blaufrankisch Ried Szapary "S"</t>
  </si>
  <si>
    <t>Fritsch</t>
  </si>
  <si>
    <t>SZFRT-001</t>
  </si>
  <si>
    <t>Fritsch Gruner Veltliner Ried Steinberg</t>
  </si>
  <si>
    <t>Wagram</t>
  </si>
  <si>
    <t>SZFRT-004</t>
  </si>
  <si>
    <t>Fritsch Gruner Veltliner Ried Schlossberg</t>
  </si>
  <si>
    <t>SZFRT-005</t>
  </si>
  <si>
    <t>Fritsch Pinot Noir Ried Ruppersthal</t>
  </si>
  <si>
    <t>CH</t>
  </si>
  <si>
    <t>Switzerland</t>
  </si>
  <si>
    <t>Jean-Rene Germanier</t>
  </si>
  <si>
    <t>SZJRG-053</t>
  </si>
  <si>
    <t>Cornalin Reserve</t>
  </si>
  <si>
    <t>Valais</t>
  </si>
  <si>
    <t>WA:92</t>
  </si>
  <si>
    <t>SZJRG-056</t>
  </si>
  <si>
    <t>Fendant Vetroz "Les Terrasses" (Chasselas)</t>
  </si>
  <si>
    <t>FAL:90 WA:89</t>
  </si>
  <si>
    <t>SZJRG-058</t>
  </si>
  <si>
    <t>Petite Arvine</t>
  </si>
  <si>
    <t>JS:92 WA:92</t>
  </si>
  <si>
    <t>SZJRG-059</t>
  </si>
  <si>
    <t>Clos de la Couta Heida (Savagnin)</t>
  </si>
  <si>
    <t>JS:95 WA:93</t>
  </si>
  <si>
    <t>SZJRG-064</t>
  </si>
  <si>
    <t>FAL:90 JS:92</t>
  </si>
  <si>
    <t>Domaine La Colombe</t>
  </si>
  <si>
    <t>SZDLC-027</t>
  </si>
  <si>
    <t>Fechy (Chasselas)</t>
  </si>
  <si>
    <t>Vaud</t>
  </si>
  <si>
    <t>La Cote</t>
  </si>
  <si>
    <t>SZDLC-033</t>
  </si>
  <si>
    <t>Petit Clos (Chasselas)</t>
  </si>
  <si>
    <t>SZDLC-034</t>
  </si>
  <si>
    <t>Brez (Chasselas)</t>
  </si>
  <si>
    <t>SZDLC-035</t>
  </si>
  <si>
    <t>Gamay Noir "Vaud"</t>
  </si>
  <si>
    <t>SZDLC-036</t>
  </si>
  <si>
    <t>Pinot Noir "Vaud"</t>
  </si>
  <si>
    <t>Weingut Georg Fromm</t>
  </si>
  <si>
    <t>SZFRM-003</t>
  </si>
  <si>
    <t>Pinot Noir Village</t>
  </si>
  <si>
    <t>Graubunden</t>
  </si>
  <si>
    <t>WA:93</t>
  </si>
  <si>
    <t>SZFRM-004</t>
  </si>
  <si>
    <t>Pinot Noir Selvenen</t>
  </si>
  <si>
    <t>DE</t>
  </si>
  <si>
    <t>Germany</t>
  </si>
  <si>
    <t>Weingut Leitz</t>
  </si>
  <si>
    <t>N.V.</t>
  </si>
  <si>
    <t>Rheinhessen</t>
  </si>
  <si>
    <t>250ml Cans</t>
  </si>
  <si>
    <t>SZJJL-178</t>
  </si>
  <si>
    <t>Rudesheimer Klosterlay Riesling Kabinett</t>
  </si>
  <si>
    <t>Rheingau</t>
  </si>
  <si>
    <t>Johannisberg</t>
  </si>
  <si>
    <t>SZJJL-179</t>
  </si>
  <si>
    <t>Rudesheimer Riesling trocken</t>
  </si>
  <si>
    <t>FAL:91 JS:92 VM:90 WA:92</t>
  </si>
  <si>
    <t>SZJJL-181</t>
  </si>
  <si>
    <t>Rottland Riesling "Hinterhaus" Grosses Gewachs</t>
  </si>
  <si>
    <t>FAL:93 JS:96 VM:94</t>
  </si>
  <si>
    <t>SZJJL-182</t>
  </si>
  <si>
    <t>Berg Roseneck Riesling "Katerloch" Grosses Gewachs</t>
  </si>
  <si>
    <t>FAL:93 JS:95 VM:93</t>
  </si>
  <si>
    <t>SZJJL-190</t>
  </si>
  <si>
    <t>Schlossberg Riesling "Ehrenfels" Grosses Gewachs</t>
  </si>
  <si>
    <t>FAL:96 JS:94 VM:96 WA:94</t>
  </si>
  <si>
    <t>SZJJL-191</t>
  </si>
  <si>
    <t>FAL:93 JS:95 VM:96 WA:94</t>
  </si>
  <si>
    <t>SZJJL-192</t>
  </si>
  <si>
    <t>Rosengarten Riesling Grosses Gewachs "Monopole"</t>
  </si>
  <si>
    <t>FAL:93 JS:93 VM:94 WA:93</t>
  </si>
  <si>
    <t>SZJJL-194</t>
  </si>
  <si>
    <t>FAL:94 JS:93 VM:95 WA:94</t>
  </si>
  <si>
    <t>SZJJL-201</t>
  </si>
  <si>
    <t>"Leitz OUT" Cans</t>
  </si>
  <si>
    <t>1L (4x250ml Cans)</t>
  </si>
  <si>
    <t>SZJJL-202</t>
  </si>
  <si>
    <t>Eins Zwei Dry Riesling "3"</t>
  </si>
  <si>
    <t>SZJJL-203</t>
  </si>
  <si>
    <t>Riesling QbA feinherb</t>
  </si>
  <si>
    <t>Weinhaus Heger</t>
  </si>
  <si>
    <t>Dr. Heger</t>
  </si>
  <si>
    <t>SZDRH-081</t>
  </si>
  <si>
    <t>Ihringer Spatburgunder</t>
  </si>
  <si>
    <t>Baden</t>
  </si>
  <si>
    <t>Kaiserstuhl</t>
  </si>
  <si>
    <t>FAL:92 WA:88</t>
  </si>
  <si>
    <t>SZDRH-082</t>
  </si>
  <si>
    <t>Ihringer Winklerberg Spatburgunder Erste Lage</t>
  </si>
  <si>
    <t>SZDRH-083</t>
  </si>
  <si>
    <t>Vorderer Winklerberg Spatburgunder Grosses Gewachs</t>
  </si>
  <si>
    <t>FAL:96 WA:92</t>
  </si>
  <si>
    <t>Weingut Heinrich Spindler</t>
  </si>
  <si>
    <t>SZHSP-046</t>
  </si>
  <si>
    <t>Forster Riesling trocken</t>
  </si>
  <si>
    <t>Pfalz</t>
  </si>
  <si>
    <t>Mittelhaardt</t>
  </si>
  <si>
    <t>VM:90</t>
  </si>
  <si>
    <t>SZHSP-050</t>
  </si>
  <si>
    <t>Sauvignon Blanc</t>
  </si>
  <si>
    <t>SZHSP-052</t>
  </si>
  <si>
    <t>Riesling trocken</t>
  </si>
  <si>
    <t>SZHSP-055</t>
  </si>
  <si>
    <t>Ungeheuer Riesling trocken Grosse Lage</t>
  </si>
  <si>
    <t>JS:92 VM:94</t>
  </si>
  <si>
    <t>SZHSP-056</t>
  </si>
  <si>
    <t>Pechstein Riesling trocken Grosse Lage</t>
  </si>
  <si>
    <t>JS:93 VM:95</t>
  </si>
  <si>
    <t>SZHSP-057</t>
  </si>
  <si>
    <t>Jesuitengarten Riesling trocken Grosse Lage</t>
  </si>
  <si>
    <t>JS:94 VM:94</t>
  </si>
  <si>
    <t>SZHSP-058</t>
  </si>
  <si>
    <t>Kirchenstuck Riesling trocken Grosse Lage</t>
  </si>
  <si>
    <t>JS:94 VM:95</t>
  </si>
  <si>
    <t>Weingut von Hovel</t>
  </si>
  <si>
    <t>Mosel</t>
  </si>
  <si>
    <t>Saar</t>
  </si>
  <si>
    <t>SZWVH-059</t>
  </si>
  <si>
    <t>Oberemmeler Hutte Riesling Kabinett "Monopol Lage"</t>
  </si>
  <si>
    <t>SZWVH-064</t>
  </si>
  <si>
    <t>Saar Riesling Kabinett</t>
  </si>
  <si>
    <t>VM:89</t>
  </si>
  <si>
    <t>Weingut Franzen</t>
  </si>
  <si>
    <t>SZFRZ-037</t>
  </si>
  <si>
    <t>Bremmer Calmont Riesling trocken</t>
  </si>
  <si>
    <t>Mosel Terraces</t>
  </si>
  <si>
    <t>SZFRZ-038</t>
  </si>
  <si>
    <t>Elbling</t>
  </si>
  <si>
    <t>SZFRZ-040</t>
  </si>
  <si>
    <t>SZFRZ-047</t>
  </si>
  <si>
    <t>Quarzit-Schiefer Riesling trocken</t>
  </si>
  <si>
    <t>SZFRZ-048</t>
  </si>
  <si>
    <t>SZFRZ-049</t>
  </si>
  <si>
    <t>Calmont Riesling Grosses Gewachs</t>
  </si>
  <si>
    <t>JS:94</t>
  </si>
  <si>
    <t>Weingut Knebel</t>
  </si>
  <si>
    <t>SZKBL-054</t>
  </si>
  <si>
    <t>Rottgen Riesling Kabinett</t>
  </si>
  <si>
    <t>VM:92</t>
  </si>
  <si>
    <t>SZKBL-055</t>
  </si>
  <si>
    <t>Riesling "Von den Terrassen"</t>
  </si>
  <si>
    <t>MFW:92 VM:89</t>
  </si>
  <si>
    <t>SZKBL-056</t>
  </si>
  <si>
    <t>Riesling</t>
  </si>
  <si>
    <t>MFW:90 VM:89</t>
  </si>
  <si>
    <t>SZKBL-058</t>
  </si>
  <si>
    <t>Uhlen Riesling Grosses Gewachs</t>
  </si>
  <si>
    <t>JS:95 VM:94</t>
  </si>
  <si>
    <t>Weingut Karl Haidle</t>
  </si>
  <si>
    <t>SZKHD-031</t>
  </si>
  <si>
    <t>Samling 2530 (Kerner) "Naturwein"</t>
  </si>
  <si>
    <t>Wurttemberg</t>
  </si>
  <si>
    <t>Remstal</t>
  </si>
  <si>
    <t>WA:88</t>
  </si>
  <si>
    <t>SZKHD-037</t>
  </si>
  <si>
    <t>Stettener Hader Riesling Erste Lage</t>
  </si>
  <si>
    <t>SZKHD-038</t>
  </si>
  <si>
    <t>Stettener Hader Lemberger Erste Lage</t>
  </si>
  <si>
    <t>SZKHD-039</t>
  </si>
  <si>
    <t>Riesling "Ritzling" trocken</t>
  </si>
  <si>
    <t>SZKHD-040</t>
  </si>
  <si>
    <t>Lemberger "Kalk &amp; Ton"</t>
  </si>
  <si>
    <t>SZKHD-042</t>
  </si>
  <si>
    <t>Pulvermacher Riesling Grosses Gewachs</t>
  </si>
  <si>
    <t>Weingut Steintal</t>
  </si>
  <si>
    <t>SZKBG-017</t>
  </si>
  <si>
    <t>Spatburgunder "Buntsandstein"</t>
  </si>
  <si>
    <t>Franken</t>
  </si>
  <si>
    <t>Churfranken</t>
  </si>
  <si>
    <t>FAL:90 JS:90</t>
  </si>
  <si>
    <t>SZKBG-018</t>
  </si>
  <si>
    <t>Grossheubach Spatburgunder "Alte Reben"</t>
  </si>
  <si>
    <t>SZKBG-019</t>
  </si>
  <si>
    <t>Klingenberg Spatburgunder "Alte Reben"</t>
  </si>
  <si>
    <t>FAL:92 JS:92</t>
  </si>
  <si>
    <t>SZKBG-020</t>
  </si>
  <si>
    <t>Bischofsberg Spatburgunder Grosses Gewachs</t>
  </si>
  <si>
    <t>JR:17+</t>
  </si>
  <si>
    <t>Bertram-Baltes</t>
  </si>
  <si>
    <t>SZJBT-028</t>
  </si>
  <si>
    <t>Spatburgunder "Handwerk"</t>
  </si>
  <si>
    <t>Ahr</t>
  </si>
  <si>
    <t>SZJBT-029</t>
  </si>
  <si>
    <t>Ahrweiler Spatburgunder</t>
  </si>
  <si>
    <t>SZJBT-030</t>
  </si>
  <si>
    <t>Dernauer Spatburgunder</t>
  </si>
  <si>
    <t>DC:92 FAL:92</t>
  </si>
  <si>
    <t>SZJBT-031</t>
  </si>
  <si>
    <t>Forstberg Spatburgunder</t>
  </si>
  <si>
    <t>SZJBT-032</t>
  </si>
  <si>
    <t>Hardtberg Spatburgunder</t>
  </si>
  <si>
    <t>SZJBT-033</t>
  </si>
  <si>
    <t>Spatburgunder "Treibgut"</t>
  </si>
  <si>
    <t>SZJBT-035</t>
  </si>
  <si>
    <t>Rosenthal Spatburgunder</t>
  </si>
  <si>
    <t>DC:94 FAL:94</t>
  </si>
  <si>
    <t>SZJBT-036</t>
  </si>
  <si>
    <t>SZJBT-037</t>
  </si>
  <si>
    <t>SZJBT-038</t>
  </si>
  <si>
    <t>SZJBT-039</t>
  </si>
  <si>
    <t>SZJBT-040</t>
  </si>
  <si>
    <t>La Boussole</t>
  </si>
  <si>
    <t>SZBOU-001</t>
  </si>
  <si>
    <t>Chardonnay "Nord"</t>
  </si>
  <si>
    <t>SZBOU-002</t>
  </si>
  <si>
    <t>Pinot Noir "Sud"</t>
  </si>
  <si>
    <t>Haus Rothenberg</t>
  </si>
  <si>
    <t>FR</t>
  </si>
  <si>
    <t>France</t>
  </si>
  <si>
    <t>R. Pouillon</t>
  </si>
  <si>
    <t>SZRPL-121</t>
  </si>
  <si>
    <t>Grande Vallée Extra-Brut (2021 Base)</t>
  </si>
  <si>
    <t>Champagne</t>
  </si>
  <si>
    <t>Vallee de la Marne</t>
  </si>
  <si>
    <t>SZRPL-121M</t>
  </si>
  <si>
    <t>1.5L BTL</t>
  </si>
  <si>
    <t>SZRPL-218</t>
  </si>
  <si>
    <t>"Les Valnons" Extra-Brut</t>
  </si>
  <si>
    <t>SZRPL-317M</t>
  </si>
  <si>
    <t>"Les Blanchiens" Brut-Nature</t>
  </si>
  <si>
    <t>GM:91 JD:94</t>
  </si>
  <si>
    <t>SZRPL-318</t>
  </si>
  <si>
    <t>SZRPL-420</t>
  </si>
  <si>
    <t>"Le Montgruguet" Extra-Brut</t>
  </si>
  <si>
    <t>SZRPL-420M</t>
  </si>
  <si>
    <t>SZRPL-421</t>
  </si>
  <si>
    <t>WA:89</t>
  </si>
  <si>
    <t>SZRPL-516M</t>
  </si>
  <si>
    <t>Méthode Fabrice Pouillon "Chemin du Bois" Extra-Brut</t>
  </si>
  <si>
    <t>SZRPL-518</t>
  </si>
  <si>
    <t>WA:91</t>
  </si>
  <si>
    <t>SZRPL-619</t>
  </si>
  <si>
    <t>"Les Chataigniers" Extra-Brut</t>
  </si>
  <si>
    <t>SZRPL-620</t>
  </si>
  <si>
    <t>SZRPL-720</t>
  </si>
  <si>
    <t>"Les Terres Froides" Blanc de Blancs Extra-Brut</t>
  </si>
  <si>
    <t>SZRPL-720M</t>
  </si>
  <si>
    <t>SZRPL-821</t>
  </si>
  <si>
    <t>Rosé de Maceration Brut (2021 Base)</t>
  </si>
  <si>
    <t>GM:93</t>
  </si>
  <si>
    <t>SZRPL-822</t>
  </si>
  <si>
    <t>Rosé de Maceration Brut (2022 Base)</t>
  </si>
  <si>
    <t>SZRPL-910</t>
  </si>
  <si>
    <t>"Solera" Extra-Brut (1997-2018)</t>
  </si>
  <si>
    <t>M.V.</t>
  </si>
  <si>
    <t>GM:90 JD:93</t>
  </si>
  <si>
    <t>SZRPL-920</t>
  </si>
  <si>
    <t>"Solera" Premier Cru Extra-Brut (1997-2020)</t>
  </si>
  <si>
    <t>Hubert Soreau</t>
  </si>
  <si>
    <t>SZHSR-114</t>
  </si>
  <si>
    <t>Le Clos l`Abbe Brut-Nature</t>
  </si>
  <si>
    <t>Epernay</t>
  </si>
  <si>
    <t>J. Vignier</t>
  </si>
  <si>
    <t>SZNVG-113</t>
  </si>
  <si>
    <t>"Ora Alba" Blanc de Blancs Grand Cru Brut (2013 Base)</t>
  </si>
  <si>
    <t>Cote des Blancs</t>
  </si>
  <si>
    <t>SZNVG-216</t>
  </si>
  <si>
    <t>"Silexus Sezannensis" Brut (2016 Base)</t>
  </si>
  <si>
    <t>Cote de Sezanne</t>
  </si>
  <si>
    <t>SZNVG-311</t>
  </si>
  <si>
    <t>"Deux Terres" Blanc de Blancs Brut</t>
  </si>
  <si>
    <t>SZNVG-617</t>
  </si>
  <si>
    <t>"Aux Origines" Blanc de Blancs Brut (2017 Base)</t>
  </si>
  <si>
    <t>SZNVG-715</t>
  </si>
  <si>
    <t>"Les Abbesses" Blanc de Blancs Brut</t>
  </si>
  <si>
    <t>SZNVG-816</t>
  </si>
  <si>
    <t>"Pur Cramant" Grand Cru Lieu-Dit "Les Fourches" Extra-Brut</t>
  </si>
  <si>
    <t>Domaine Ruet</t>
  </si>
  <si>
    <t>SZRUT-068</t>
  </si>
  <si>
    <t>Regnie "Les Bois"</t>
  </si>
  <si>
    <t>Beaujolais</t>
  </si>
  <si>
    <t>SZRUT-070</t>
  </si>
  <si>
    <t>Morgon "Les Grands Cras"</t>
  </si>
  <si>
    <t>SZRUT-071</t>
  </si>
  <si>
    <t>Cote de Brouilly</t>
  </si>
  <si>
    <t>SZRUT-073</t>
  </si>
  <si>
    <t>Chiroubles "La Fontenelle"</t>
  </si>
  <si>
    <t>Domaine des Crets</t>
  </si>
  <si>
    <t>SZDCR-022</t>
  </si>
  <si>
    <t>Macon-Chardonnay Climat "L`Echenault de Serre"</t>
  </si>
  <si>
    <t>Burgundy</t>
  </si>
  <si>
    <t>Maconnais</t>
  </si>
  <si>
    <t>SZDCR-023</t>
  </si>
  <si>
    <t>Macon-Villages</t>
  </si>
  <si>
    <t>Domaine Rene Lequin-Colin</t>
  </si>
  <si>
    <t>SZRLC-119</t>
  </si>
  <si>
    <t>Bourgogne Aligote "Sans Soufre"</t>
  </si>
  <si>
    <t>Cote de Beaune</t>
  </si>
  <si>
    <t>SZRLC-130</t>
  </si>
  <si>
    <t>Santenay 1er Cru "La Comme"</t>
  </si>
  <si>
    <t>SZRLC-133</t>
  </si>
  <si>
    <t>Chardonnay "Les Grands Terroir"</t>
  </si>
  <si>
    <t>Vin de France</t>
  </si>
  <si>
    <t>SZRLC-134</t>
  </si>
  <si>
    <t>Bourgogne Aligote</t>
  </si>
  <si>
    <t>SZRLC-135</t>
  </si>
  <si>
    <t>SZRLC-136</t>
  </si>
  <si>
    <t>Bourgogne Chardonnay</t>
  </si>
  <si>
    <t>SZRLC-137</t>
  </si>
  <si>
    <t>Bourgogne Chardonnay "Retour Aux Racines"</t>
  </si>
  <si>
    <t>SZRLC-138</t>
  </si>
  <si>
    <t>Santenay "Les Hates"</t>
  </si>
  <si>
    <t>SZRLC-139</t>
  </si>
  <si>
    <t>Santenay "Sous la Roche"</t>
  </si>
  <si>
    <t>SZRLC-144</t>
  </si>
  <si>
    <t>Corton-Charlemagne Grand Cru</t>
  </si>
  <si>
    <t>SZRLC-147</t>
  </si>
  <si>
    <t>Santenay "Vieilles Vignes"</t>
  </si>
  <si>
    <t>SZRLC-148</t>
  </si>
  <si>
    <t>SZRLC-149</t>
  </si>
  <si>
    <t>Pommard "Les Noizons"</t>
  </si>
  <si>
    <t>SZRLC-161</t>
  </si>
  <si>
    <t>Bourgogne Pinot Noir</t>
  </si>
  <si>
    <t>SZRLC-166</t>
  </si>
  <si>
    <t>Pascal Doquet</t>
  </si>
  <si>
    <t>SZPDQ-119</t>
  </si>
  <si>
    <t>"Arpège" Blanc de Blancs Brut-Nature (2019 Base)</t>
  </si>
  <si>
    <t>SZPDQ-119M</t>
  </si>
  <si>
    <t>"Arpège" Blanc de Blancs Extra-Brut (2019 Base)</t>
  </si>
  <si>
    <t>SZPDQ-120</t>
  </si>
  <si>
    <t>"Arpège" Blanc de Blancs Brut-Nature (2020 Base)</t>
  </si>
  <si>
    <t>SZPDQ-218</t>
  </si>
  <si>
    <t>"Champs Libres" Blanc de Blancs Extra-Brut (2018)</t>
  </si>
  <si>
    <t>JS:92</t>
  </si>
  <si>
    <t>SZPDQ-318</t>
  </si>
  <si>
    <t>"Anthocyanes" Rosé 1er Cru Brut (2018 Base)</t>
  </si>
  <si>
    <t>JS:90</t>
  </si>
  <si>
    <t>SZPDQ-418</t>
  </si>
  <si>
    <t>"Champs Libres" 1er Cru Extra-Brut (2018 Base)</t>
  </si>
  <si>
    <t>SZPDQ-498</t>
  </si>
  <si>
    <t>Grand Cru Extra-Brut (1998 Base)</t>
  </si>
  <si>
    <t>SZPDQ-515</t>
  </si>
  <si>
    <t>"Diapason" Le Mesnil-sur-Oger Brut (2015 Base)</t>
  </si>
  <si>
    <t>DC:93</t>
  </si>
  <si>
    <t>SZPDQ-517</t>
  </si>
  <si>
    <t>"Diapason" Le Mesnil-sur-Oger Brut (2017 Base)</t>
  </si>
  <si>
    <t>DC:91 WA:92</t>
  </si>
  <si>
    <t>SZPDQ-609</t>
  </si>
  <si>
    <t>Mont Aimé "Coeur de Terroir" Brut</t>
  </si>
  <si>
    <t>SZPDQ-612</t>
  </si>
  <si>
    <t>SZPDQ-709</t>
  </si>
  <si>
    <t>Vertus "Coeur de Terroir" Brut</t>
  </si>
  <si>
    <t>SZPDQ-712</t>
  </si>
  <si>
    <t>SZPDQ-812</t>
  </si>
  <si>
    <t>Le Mesnil "Coeur de Terroir" Grand Cru Brut</t>
  </si>
  <si>
    <t>SZPDQ-905</t>
  </si>
  <si>
    <t>Le Mesnil-sur-Oger Brut "Champ d`Alouettes" Extra-Brut</t>
  </si>
  <si>
    <t>Fabien Duveau</t>
  </si>
  <si>
    <t>SZFDV-028</t>
  </si>
  <si>
    <t>Saumur-Champigny Chace "Les Bas Poyeux"</t>
  </si>
  <si>
    <t>Loire</t>
  </si>
  <si>
    <t>Saumur-Champigny</t>
  </si>
  <si>
    <t>SZFDV-031</t>
  </si>
  <si>
    <t>Saumur-Champigny Varrains "Les Menais"</t>
  </si>
  <si>
    <t>SZFDV-032</t>
  </si>
  <si>
    <t>Saumur Blanc Chace "Les Poyeux"</t>
  </si>
  <si>
    <t>Saumur Blanc</t>
  </si>
  <si>
    <t>SZFDV-033</t>
  </si>
  <si>
    <t>Saumur-Champigny Chace "Les Hauts Poyeux"</t>
  </si>
  <si>
    <t>SZFDV-034</t>
  </si>
  <si>
    <t>SZFDV-035</t>
  </si>
  <si>
    <t>Saumur Blanc St.-Cyr "La Hunaudiere"</t>
  </si>
  <si>
    <t>SZFDV-036</t>
  </si>
  <si>
    <t>SZFDV-037</t>
  </si>
  <si>
    <t>Denis Meunier</t>
  </si>
  <si>
    <t>SZDMN-014</t>
  </si>
  <si>
    <t>Vouvray "Insolite" Extra-Brut</t>
  </si>
  <si>
    <t>Vouvray</t>
  </si>
  <si>
    <t>SZDMN-015</t>
  </si>
  <si>
    <t>Vouvray Demi-Sec "Le Clos Baglin"</t>
  </si>
  <si>
    <t>SZDMN-017</t>
  </si>
  <si>
    <t>Vouvray Sec "Expresion de Silex"</t>
  </si>
  <si>
    <t>Domaine de la Haute Olive</t>
  </si>
  <si>
    <t>SZDHO-018</t>
  </si>
  <si>
    <t>Chinon "Le Chene Vert"</t>
  </si>
  <si>
    <t>Chinon</t>
  </si>
  <si>
    <t>SZDHO-019</t>
  </si>
  <si>
    <t>SZDHO-021</t>
  </si>
  <si>
    <t>Chinon "Les Cornuelles"</t>
  </si>
  <si>
    <t>SZDHO-022</t>
  </si>
  <si>
    <t>SZDHO-023</t>
  </si>
  <si>
    <t>Chinon "Les Clos"</t>
  </si>
  <si>
    <t>DC:91 WE:93</t>
  </si>
  <si>
    <t>SZDHO-024</t>
  </si>
  <si>
    <t>Chinon "Les Quatre Ferrurres"</t>
  </si>
  <si>
    <t>SZDHO-025</t>
  </si>
  <si>
    <t>SZDHO-026</t>
  </si>
  <si>
    <t>Chateau de Bois-Brincon</t>
  </si>
  <si>
    <t>SZBBC-023</t>
  </si>
  <si>
    <t>"BB" Anjou Blanc</t>
  </si>
  <si>
    <t>IGP Val de Loire</t>
  </si>
  <si>
    <t>SZBBC-027</t>
  </si>
  <si>
    <t>"Garance" Pineau d`Aunis</t>
  </si>
  <si>
    <t>Anjou</t>
  </si>
  <si>
    <t>SZBBC-028</t>
  </si>
  <si>
    <t>"Opaline" Pétillant Naturel</t>
  </si>
  <si>
    <t>SZBBC-029</t>
  </si>
  <si>
    <t>"BB" Anjou Rouge</t>
  </si>
  <si>
    <t>SZBBC-036</t>
  </si>
  <si>
    <t>Cremant de Loire Brut-Nature</t>
  </si>
  <si>
    <t>SZBBC-037</t>
  </si>
  <si>
    <t>Anjou Blanc Blaison "Terre de Gres"</t>
  </si>
  <si>
    <t>SZBBC-038</t>
  </si>
  <si>
    <t>Anjou Blanc "Les Saules de Montbenault"</t>
  </si>
  <si>
    <t>SZBBC-039</t>
  </si>
  <si>
    <t>SZBBC-042</t>
  </si>
  <si>
    <t>Cremant de Loire "60 Mois" Brut-Nature</t>
  </si>
  <si>
    <t>SZBBC-043</t>
  </si>
  <si>
    <t>Anjou Villages Gohier "Le Clos des Cosses" Monopole</t>
  </si>
  <si>
    <t>SZBBC-044</t>
  </si>
  <si>
    <t>Anjou Blanc "Le Clos des Cosses" Monopole</t>
  </si>
  <si>
    <t>Domaine de L`Epinay</t>
  </si>
  <si>
    <t>SZEPY-020</t>
  </si>
  <si>
    <t>"Folie de L`Espinose" Blanc Brut</t>
  </si>
  <si>
    <t>Muscadet Sevre et Maine</t>
  </si>
  <si>
    <t>SZEPY-022</t>
  </si>
  <si>
    <t>Muscadet Serve et Maine Cru Clisson</t>
  </si>
  <si>
    <t>SZEPY-023</t>
  </si>
  <si>
    <t>Muscadet Serve et Maine "Selection" sur lie</t>
  </si>
  <si>
    <t>SZEPY-024</t>
  </si>
  <si>
    <t>Sauvignon Blanc "Primula"</t>
  </si>
  <si>
    <t>SZEPY-025</t>
  </si>
  <si>
    <t>Yann Alexandre</t>
  </si>
  <si>
    <t>SZYAX-120</t>
  </si>
  <si>
    <t>Brut Noir (2020 Base)</t>
  </si>
  <si>
    <t>NV</t>
  </si>
  <si>
    <t>Montagne de Reims</t>
  </si>
  <si>
    <t>SZYAX-215</t>
  </si>
  <si>
    <t>Grande Reserve 1er Cru Brut (2015 Base)</t>
  </si>
  <si>
    <t>GM:92</t>
  </si>
  <si>
    <t>SZYAX-218</t>
  </si>
  <si>
    <t>Grande Reserve 1er Cru Brut (2018 Base)</t>
  </si>
  <si>
    <t>SZYAX-318</t>
  </si>
  <si>
    <t>Blanches Terres Rosé 1er Cru Brut (2018 Base)</t>
  </si>
  <si>
    <t>GM:92 VM:90</t>
  </si>
  <si>
    <t>SZYAX-320</t>
  </si>
  <si>
    <t>Blanches Terres Rosé 1er Cru Brut (2020 Base)</t>
  </si>
  <si>
    <t>SZYAX-321</t>
  </si>
  <si>
    <t>Blanches Terres Rosé 1er Cru Brut (2021 Base)</t>
  </si>
  <si>
    <t>SZYAX-418</t>
  </si>
  <si>
    <t>Roche Mère Brut Nature (2018 Base)</t>
  </si>
  <si>
    <t>GM:90</t>
  </si>
  <si>
    <t>SZYAX-517</t>
  </si>
  <si>
    <t>Sous-les-Roses Blanc de Noirs</t>
  </si>
  <si>
    <t>GM:90 VM:92</t>
  </si>
  <si>
    <t>SZYAX-518</t>
  </si>
  <si>
    <t>Domaine Philippe Viet</t>
  </si>
  <si>
    <t>SZPVT-004</t>
  </si>
  <si>
    <t>Regnie Haute-Ronze "Mosaique"</t>
  </si>
  <si>
    <t>GM:94 JS:91 VM:94 WA:92</t>
  </si>
  <si>
    <t>SZPVT-014</t>
  </si>
  <si>
    <t>VM:94 WA:92</t>
  </si>
  <si>
    <t>SZPVT-016</t>
  </si>
  <si>
    <t>Morgon Corcelette</t>
  </si>
  <si>
    <t>SZPVT-017</t>
  </si>
  <si>
    <t>Julienas Les Chanoriers</t>
  </si>
  <si>
    <t>SZVPT-010</t>
  </si>
  <si>
    <t>Xaviere Hardy</t>
  </si>
  <si>
    <t>SZXVH-003</t>
  </si>
  <si>
    <t>"Ma Garance Voyageuse" (Grolleau Noir)</t>
  </si>
  <si>
    <t>SZXVH-004</t>
  </si>
  <si>
    <t>Domaine Regnier David</t>
  </si>
  <si>
    <t>SZDRD-001</t>
  </si>
  <si>
    <t>Grolleau</t>
  </si>
  <si>
    <t>IGP Loire</t>
  </si>
  <si>
    <t>SZDRD-003</t>
  </si>
  <si>
    <t>Saumur Blanc "Magniacus"</t>
  </si>
  <si>
    <t>SZDRD-005</t>
  </si>
  <si>
    <t>Saumur Puy-Notre-Dame “Magniacus"</t>
  </si>
  <si>
    <t>Saumur Puy Notre Dame</t>
  </si>
  <si>
    <t>SZDRD-006</t>
  </si>
  <si>
    <t>Famille Baudry</t>
  </si>
  <si>
    <t>SZFBY-002</t>
  </si>
  <si>
    <t>Gamay Noir "Croc de la Terre"</t>
  </si>
  <si>
    <t>SZFBY-003</t>
  </si>
  <si>
    <t>Sancerre AOP</t>
  </si>
  <si>
    <t>Sancerre</t>
  </si>
  <si>
    <t>Domaine Montrose</t>
  </si>
  <si>
    <t>IT</t>
  </si>
  <si>
    <t>Italy</t>
  </si>
  <si>
    <t>Cascina Melognis</t>
  </si>
  <si>
    <t>SZMLG-014</t>
  </si>
  <si>
    <t>Colline Saluzzesi Rosso "Ardy"</t>
  </si>
  <si>
    <t>Piedmont</t>
  </si>
  <si>
    <t>Colline Saluzzesi</t>
  </si>
  <si>
    <t>SZMLG-017</t>
  </si>
  <si>
    <t>Colline Saluzzesi Pelaverga Grosso "Divicaroli"</t>
  </si>
  <si>
    <t>Marcel Zanolari</t>
  </si>
  <si>
    <t>Untermoserhof</t>
  </si>
  <si>
    <t>SZUNT-015</t>
  </si>
  <si>
    <t>Santa Magdalena Classico DOC (Schiava)</t>
  </si>
  <si>
    <t>Alto Adige/Sudtirol</t>
  </si>
  <si>
    <t>St. Magdalena</t>
  </si>
  <si>
    <t>FAL:87 VM:87</t>
  </si>
  <si>
    <t>SZUNT-019</t>
  </si>
  <si>
    <t>Santa Magdalena Classico "Hub" DOC (Schiava)</t>
  </si>
  <si>
    <t>FAL:93 VM:89</t>
  </si>
  <si>
    <t>SZUNT-020</t>
  </si>
  <si>
    <t>Lagrein DOC</t>
  </si>
  <si>
    <t>SZUNT-021</t>
  </si>
  <si>
    <t>Lagrein "Riserva" DOC</t>
  </si>
  <si>
    <t>FAL:94 VM:89</t>
  </si>
  <si>
    <t>SZUNT-022</t>
  </si>
  <si>
    <t>Eudes</t>
  </si>
  <si>
    <t>SZEUD-007</t>
  </si>
  <si>
    <t>"Bianco di Monte" Etna Bianco DOC</t>
  </si>
  <si>
    <t>Sicily</t>
  </si>
  <si>
    <t>Etna Bianco DOC</t>
  </si>
  <si>
    <t>JS:92 WA:90</t>
  </si>
  <si>
    <t>SZEUD-008</t>
  </si>
  <si>
    <t>WANDS:89</t>
  </si>
  <si>
    <t>SZEUD-010</t>
  </si>
  <si>
    <t>SZEUD-013</t>
  </si>
  <si>
    <t>Etna Rosso DOC</t>
  </si>
  <si>
    <t>JS:91 VM:91</t>
  </si>
  <si>
    <t>Vini Scirto</t>
  </si>
  <si>
    <t>SZSCR-003</t>
  </si>
  <si>
    <t>"A`Culonna" Etna Rosso DOC</t>
  </si>
  <si>
    <t>VM:90 WANDS:90</t>
  </si>
  <si>
    <t>SZSCR-005</t>
  </si>
  <si>
    <t>"Don Pippinu" Carricante IGT</t>
  </si>
  <si>
    <t>SZSCR-006</t>
  </si>
  <si>
    <t>"Don Pippinu" Nerello Mascalese IGT</t>
  </si>
  <si>
    <t>SZSCR-007</t>
  </si>
  <si>
    <t>SZSCR-008</t>
  </si>
  <si>
    <t>VM:91</t>
  </si>
  <si>
    <t>SZSCR-009</t>
  </si>
  <si>
    <t>VM:93</t>
  </si>
  <si>
    <t>SZSCR-010</t>
  </si>
  <si>
    <t>SZSCR-011</t>
  </si>
  <si>
    <t>"All`Antica" Nerello Mascalese IGT</t>
  </si>
  <si>
    <t>Antico Broilo</t>
  </si>
  <si>
    <t>SZANB-011</t>
  </si>
  <si>
    <t>Friulano DOC</t>
  </si>
  <si>
    <t>Friuli Venezia Giulia</t>
  </si>
  <si>
    <t>Friuli Colli Orientali DOC</t>
  </si>
  <si>
    <t>SZANB-012</t>
  </si>
  <si>
    <t>Ribolla Gialla DOC</t>
  </si>
  <si>
    <t>SZANB-013</t>
  </si>
  <si>
    <t>Refosco dal Peduncolo Rosso DOC</t>
  </si>
  <si>
    <t>SZANB-014</t>
  </si>
  <si>
    <t>Schioppettino di Prepotto DOC</t>
  </si>
  <si>
    <t>Mitja Sirk</t>
  </si>
  <si>
    <t>SZSRK-009</t>
  </si>
  <si>
    <t>Bianco (Friulano) IGT</t>
  </si>
  <si>
    <t>SZSRK-011</t>
  </si>
  <si>
    <t>La Vecchia Posta</t>
  </si>
  <si>
    <t>SZLVP-012</t>
  </si>
  <si>
    <t>Dolcetto "Teraforta" Colli Tortonesi (senza solfiti aggiunti)</t>
  </si>
  <si>
    <t>Provincia di Alessandria</t>
  </si>
  <si>
    <t>SZLVP-016</t>
  </si>
  <si>
    <t>"Rosso Ciliegio" (Ciliegiolo) Colli Tortonesi</t>
  </si>
  <si>
    <t>SZLVP-017</t>
  </si>
  <si>
    <t>Barbera "Ligera" Colli Tortonesi (senza solfiti aggiunti)</t>
  </si>
  <si>
    <t>SZLVP-018</t>
  </si>
  <si>
    <t>"Il Selvaggio" Timorasso Colli Tortonesi DOC</t>
  </si>
  <si>
    <t>WE:91</t>
  </si>
  <si>
    <t>Il Verro</t>
  </si>
  <si>
    <t>SZVRR-011</t>
  </si>
  <si>
    <t>"Lautonis" Casavecchia</t>
  </si>
  <si>
    <t>Campania</t>
  </si>
  <si>
    <t>Terre del Volturno</t>
  </si>
  <si>
    <t>SZVRR-013</t>
  </si>
  <si>
    <t>"Verginiano" Pallagrello Bianco</t>
  </si>
  <si>
    <t>SZVRR-014</t>
  </si>
  <si>
    <t>"Sheep" Coda di Pecora</t>
  </si>
  <si>
    <t>SZVRR-015</t>
  </si>
  <si>
    <t>SZVRR-016</t>
  </si>
  <si>
    <t>Pallagrello Nero</t>
  </si>
  <si>
    <t>Martissima</t>
  </si>
  <si>
    <t>SZMRT-003</t>
  </si>
  <si>
    <t>Collio Bianco</t>
  </si>
  <si>
    <t>SZMRT-005</t>
  </si>
  <si>
    <t>SZMRT-006</t>
  </si>
  <si>
    <t>Collio Bianco "Giardino del Monte"</t>
  </si>
  <si>
    <t>SZMRT-007</t>
  </si>
  <si>
    <t>Ribolla Gialla</t>
  </si>
  <si>
    <t>SZMRT-008</t>
  </si>
  <si>
    <t>SZMRT-009</t>
  </si>
  <si>
    <t>Collio Rosso</t>
  </si>
  <si>
    <t>RO</t>
  </si>
  <si>
    <t>Romania</t>
  </si>
  <si>
    <t>Liliac &amp; Kracher</t>
  </si>
  <si>
    <t>SZLLK-006</t>
  </si>
  <si>
    <t>Transylvanian Ice Wine</t>
  </si>
  <si>
    <t>375ml BTL</t>
  </si>
  <si>
    <t>Transylvania</t>
  </si>
  <si>
    <t>SI</t>
  </si>
  <si>
    <t>Slovenia</t>
  </si>
  <si>
    <t>Vino Gross</t>
  </si>
  <si>
    <t>SZVGR-011</t>
  </si>
  <si>
    <t>Gorca Furmint</t>
  </si>
  <si>
    <t>Podravje</t>
  </si>
  <si>
    <t>Stajerska-Slovenija</t>
  </si>
  <si>
    <t>SZVGR-013</t>
  </si>
  <si>
    <t>Maribor Blanc</t>
  </si>
  <si>
    <t>FAL:93 WA:89</t>
  </si>
  <si>
    <t>SZVGR-020</t>
  </si>
  <si>
    <t>Hisno Vino Blanc</t>
  </si>
  <si>
    <t>SZVGR-021</t>
  </si>
  <si>
    <t>SZVGR-022</t>
  </si>
  <si>
    <t>Hisno Vino Noir</t>
  </si>
  <si>
    <t>SZVGR-024</t>
  </si>
  <si>
    <t>Haloze Noir</t>
  </si>
  <si>
    <t>US</t>
  </si>
  <si>
    <t>United States</t>
  </si>
  <si>
    <t>Element Winery</t>
  </si>
  <si>
    <t>SZELT-015</t>
  </si>
  <si>
    <t>Can`t Stop / Won`t Stop</t>
  </si>
  <si>
    <t>New York</t>
  </si>
  <si>
    <t>Finger Lakes</t>
  </si>
  <si>
    <t>Sundstrom Cider</t>
  </si>
  <si>
    <t>Branchwater</t>
  </si>
  <si>
    <t>SZBCB-024</t>
  </si>
  <si>
    <t>Cherry Brandy</t>
  </si>
  <si>
    <t>Hudson Valley</t>
  </si>
  <si>
    <t>SZBDV-001</t>
  </si>
  <si>
    <t>Dry Vermouth</t>
  </si>
  <si>
    <t>SZBRW-001</t>
  </si>
  <si>
    <t>Rye Whiskey</t>
  </si>
  <si>
    <t>SZBWA-022</t>
  </si>
  <si>
    <t>Apple Brandy</t>
  </si>
  <si>
    <t>SZBWC-022</t>
  </si>
  <si>
    <t>Black Currant Brandy</t>
  </si>
  <si>
    <t>SZBWG-024</t>
  </si>
  <si>
    <t>Gin</t>
  </si>
  <si>
    <t>SZBWP-023</t>
  </si>
  <si>
    <t>Bartlett Pear Brandy</t>
  </si>
  <si>
    <t>FOB NJ</t>
  </si>
  <si>
    <t>Bottle</t>
  </si>
  <si>
    <t>Cost</t>
  </si>
  <si>
    <t>POSTINO</t>
  </si>
  <si>
    <t>Schatzi National Inventory - January 20, 2026</t>
  </si>
  <si>
    <r>
      <t>SZDRH-080</t>
    </r>
    <r>
      <rPr>
        <sz val="12"/>
        <color rgb="FF000000"/>
        <rFont val="Times New Roman"/>
        <family val="1"/>
      </rPr>
      <t> </t>
    </r>
  </si>
  <si>
    <t>Pinot Noir "Tuniberg" 2020</t>
  </si>
  <si>
    <t>late-Feb</t>
  </si>
  <si>
    <t>SZHRB-001</t>
  </si>
  <si>
    <t>SZHRB-002</t>
  </si>
  <si>
    <t>SZHRB-003</t>
  </si>
  <si>
    <t>SZHRB-004</t>
  </si>
  <si>
    <t>Riesling feinherb</t>
  </si>
  <si>
    <t>Langenlonsheimer Rothenberg Riesling trocken</t>
  </si>
  <si>
    <t>Langenlonsheimer Chardonnay</t>
  </si>
  <si>
    <t>Nahe</t>
  </si>
  <si>
    <t>Schatzi Wines, LLC Run Date:01/20/2026 08:59:00 AM ET   Download CSV</t>
  </si>
  <si>
    <t>Warehouse:GIL, Global Interactive Logistics Units in:Cases</t>
  </si>
  <si>
    <t>Producer(s) : 1000 1700 1720</t>
  </si>
  <si>
    <t>SZJJL-102</t>
  </si>
  <si>
    <t>Eins Zwei Zero Rose Sparkling (non-alcoholic)</t>
  </si>
  <si>
    <t>SZJJL-150</t>
  </si>
  <si>
    <t>Zero Point Five Pinot Noir (non-alcoholic)</t>
  </si>
  <si>
    <t>SZJJL-198</t>
  </si>
  <si>
    <t>Zero Point Five Pinot Noir (non-alcoholic) Cans</t>
  </si>
  <si>
    <t>SZJJL-202NA</t>
  </si>
  <si>
    <t>Zero Point Five Sauvignon Blanc (non-alcoholic)</t>
  </si>
  <si>
    <t>Ollivier Cottenceau</t>
  </si>
  <si>
    <t>SZCOT-001</t>
  </si>
  <si>
    <t>Ollivier Cottenceau "Phenomene" (non-alcoholic Muscadet)</t>
  </si>
  <si>
    <t>SZMON-001</t>
  </si>
  <si>
    <t>Rose Mont Rose Zero (non-alcoholic)</t>
  </si>
  <si>
    <t>SZMON-002</t>
  </si>
  <si>
    <t>Rose Mont Rose Zero Sparkling (non-alcoholic)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</si>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</sst>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8" fontId="2" fillId="0" borderId="0" xfId="0" applyNumberFormat="1" applyFont="1"/>
    <xf numFmtId="0" fontId="1" fillId="0" borderId="0" xfId="0" applyFont="1"/>
    <xf numFmtId="8" fontId="5" fillId="0" borderId="0" xfId="0" applyNumberFormat="1" applyFont="1"/>
    <xf numFmtId="14" fontId="2" fillId="0" borderId="0" xfId="0" applyNumberFormat="1" applyFont="1"/>
    <xf numFmtId="0" fontId="7" fillId="0" borderId="0" xfId="0" applyFont="1"/>
    <xf numFmtId="17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shrinkToFi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82B3-FD21-ED43-B368-B79004A0DC91}">
  <dimension ref="A1:N370"/>
  <sheetViews>
    <sheetView tabSelected="1" workbookViewId="0">
      <pane ySplit="11" topLeftCell="A138" activePane="bottomLeft" state="frozen"/>
      <selection pane="bottomLeft" activeCell="N141" sqref="N141"/>
    </sheetView>
  </sheetViews>
  <sheetFormatPr baseColWidth="10" defaultRowHeight="16" x14ac:dyDescent="0.2"/>
  <cols>
    <col min="2" max="2" width="26" bestFit="1" customWidth="1"/>
    <col min="3" max="3" width="51.83203125" bestFit="1" customWidth="1"/>
    <col min="4" max="4" width="7.83203125" bestFit="1" customWidth="1"/>
    <col min="5" max="5" width="10" bestFit="1" customWidth="1"/>
    <col min="6" max="6" width="16.83203125" bestFit="1" customWidth="1"/>
    <col min="7" max="7" width="10.1640625" style="6" bestFit="1" customWidth="1"/>
    <col min="8" max="8" width="9" bestFit="1" customWidth="1"/>
    <col min="9" max="9" width="9.83203125" bestFit="1" customWidth="1"/>
    <col min="10" max="10" width="8.33203125" style="6" bestFit="1" customWidth="1"/>
    <col min="11" max="11" width="8.33203125" style="6" customWidth="1"/>
    <col min="12" max="12" width="17.83203125" bestFit="1" customWidth="1"/>
    <col min="13" max="13" width="22.33203125" bestFit="1" customWidth="1"/>
    <col min="14" max="14" width="25.5" bestFit="1" customWidth="1"/>
  </cols>
  <sheetData>
    <row r="1" spans="1:14" x14ac:dyDescent="0.2">
      <c r="A1" t="s">
        <v>0</v>
      </c>
    </row>
    <row r="3" spans="1:14" ht="25" x14ac:dyDescent="0.25">
      <c r="A3" s="2" t="s">
        <v>785</v>
      </c>
    </row>
    <row r="5" spans="1:14" ht="18" x14ac:dyDescent="0.2">
      <c r="A5" s="3" t="s">
        <v>1</v>
      </c>
    </row>
    <row r="7" spans="1:14" x14ac:dyDescent="0.2">
      <c r="A7" s="1" t="s">
        <v>2</v>
      </c>
    </row>
    <row r="8" spans="1:14" x14ac:dyDescent="0.2">
      <c r="A8" s="4"/>
      <c r="B8" s="4"/>
      <c r="C8" s="4" t="s">
        <v>3</v>
      </c>
    </row>
    <row r="9" spans="1:14" x14ac:dyDescent="0.2">
      <c r="A9" s="12" t="s">
        <v>4</v>
      </c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2" t="s">
        <v>12</v>
      </c>
      <c r="H9" s="4" t="s">
        <v>13</v>
      </c>
      <c r="I9" s="12" t="s">
        <v>14</v>
      </c>
      <c r="J9" s="12" t="s">
        <v>781</v>
      </c>
      <c r="K9" s="4"/>
      <c r="L9" s="12" t="s">
        <v>16</v>
      </c>
      <c r="M9" s="12" t="s">
        <v>17</v>
      </c>
      <c r="N9" s="12" t="s">
        <v>18</v>
      </c>
    </row>
    <row r="10" spans="1:14" x14ac:dyDescent="0.2">
      <c r="A10" s="12"/>
      <c r="B10" s="12"/>
      <c r="C10" s="12"/>
      <c r="D10" s="12"/>
      <c r="E10" s="12"/>
      <c r="F10" s="12"/>
      <c r="G10" s="12"/>
      <c r="H10" s="4" t="s">
        <v>11</v>
      </c>
      <c r="I10" s="12"/>
      <c r="J10" s="12"/>
      <c r="K10" s="4" t="s">
        <v>782</v>
      </c>
      <c r="L10" s="12"/>
      <c r="M10" s="12"/>
      <c r="N10" s="12"/>
    </row>
    <row r="11" spans="1:14" x14ac:dyDescent="0.2">
      <c r="A11" s="12"/>
      <c r="B11" s="12"/>
      <c r="C11" s="12"/>
      <c r="D11" s="12"/>
      <c r="E11" s="12"/>
      <c r="F11" s="12"/>
      <c r="G11" s="12"/>
      <c r="H11" s="4" t="s">
        <v>10</v>
      </c>
      <c r="I11" s="12"/>
      <c r="J11" s="12"/>
      <c r="K11" s="4" t="s">
        <v>783</v>
      </c>
      <c r="L11" s="12"/>
      <c r="M11" s="12"/>
      <c r="N11" s="12"/>
    </row>
    <row r="12" spans="1:14" x14ac:dyDescent="0.2">
      <c r="A12" s="4" t="s">
        <v>19</v>
      </c>
      <c r="B12" s="4" t="s">
        <v>20</v>
      </c>
    </row>
    <row r="13" spans="1:14" x14ac:dyDescent="0.2">
      <c r="A13" s="4">
        <v>1060</v>
      </c>
      <c r="B13" s="4" t="s">
        <v>21</v>
      </c>
    </row>
    <row r="14" spans="1:14" x14ac:dyDescent="0.2">
      <c r="A14" t="s">
        <v>31</v>
      </c>
      <c r="B14" s="1" t="s">
        <v>21</v>
      </c>
      <c r="C14" s="1" t="s">
        <v>32</v>
      </c>
      <c r="D14" s="1">
        <v>2020</v>
      </c>
      <c r="E14" s="1">
        <v>6</v>
      </c>
      <c r="F14" s="1" t="s">
        <v>24</v>
      </c>
      <c r="G14" s="4">
        <v>22</v>
      </c>
      <c r="H14" s="1">
        <v>0</v>
      </c>
      <c r="I14" s="1"/>
      <c r="J14" s="7">
        <v>140</v>
      </c>
      <c r="K14" s="7">
        <f>J14/E14</f>
        <v>23.333333333333332</v>
      </c>
      <c r="L14" s="1" t="s">
        <v>25</v>
      </c>
      <c r="M14" s="1" t="s">
        <v>26</v>
      </c>
      <c r="N14" s="1" t="s">
        <v>33</v>
      </c>
    </row>
    <row r="15" spans="1:14" x14ac:dyDescent="0.2">
      <c r="A15" t="s">
        <v>28</v>
      </c>
      <c r="B15" s="1" t="s">
        <v>21</v>
      </c>
      <c r="C15" s="1" t="s">
        <v>29</v>
      </c>
      <c r="D15" s="1">
        <v>2020</v>
      </c>
      <c r="E15" s="1">
        <v>6</v>
      </c>
      <c r="F15" s="1" t="s">
        <v>24</v>
      </c>
      <c r="G15" s="4">
        <v>12</v>
      </c>
      <c r="H15" s="1">
        <v>0</v>
      </c>
      <c r="I15" s="1"/>
      <c r="J15" s="7">
        <v>140</v>
      </c>
      <c r="K15" s="7">
        <f>J15/E15</f>
        <v>23.333333333333332</v>
      </c>
      <c r="L15" s="1" t="s">
        <v>25</v>
      </c>
      <c r="M15" s="1" t="s">
        <v>26</v>
      </c>
      <c r="N15" s="1" t="s">
        <v>30</v>
      </c>
    </row>
    <row r="16" spans="1:14" x14ac:dyDescent="0.2">
      <c r="A16" t="s">
        <v>36</v>
      </c>
      <c r="B16" s="1" t="s">
        <v>21</v>
      </c>
      <c r="C16" s="1" t="s">
        <v>37</v>
      </c>
      <c r="D16" s="1">
        <v>2020</v>
      </c>
      <c r="E16" s="1">
        <v>6</v>
      </c>
      <c r="F16" s="1" t="s">
        <v>24</v>
      </c>
      <c r="G16" s="4">
        <v>16</v>
      </c>
      <c r="H16" s="1">
        <v>0</v>
      </c>
      <c r="I16" s="1"/>
      <c r="J16" s="7">
        <v>140</v>
      </c>
      <c r="K16" s="7">
        <f>J16/E16</f>
        <v>23.333333333333332</v>
      </c>
      <c r="L16" s="1" t="s">
        <v>25</v>
      </c>
      <c r="M16" s="1" t="s">
        <v>26</v>
      </c>
      <c r="N16" s="1" t="s">
        <v>38</v>
      </c>
    </row>
    <row r="17" spans="1:14" x14ac:dyDescent="0.2">
      <c r="A17" t="s">
        <v>22</v>
      </c>
      <c r="B17" s="1" t="s">
        <v>21</v>
      </c>
      <c r="C17" s="1" t="s">
        <v>23</v>
      </c>
      <c r="D17" s="1">
        <v>2019</v>
      </c>
      <c r="E17" s="1">
        <v>6</v>
      </c>
      <c r="F17" s="1" t="s">
        <v>24</v>
      </c>
      <c r="G17" s="4">
        <v>3</v>
      </c>
      <c r="H17" s="1">
        <v>0</v>
      </c>
      <c r="I17" s="1"/>
      <c r="J17" s="7">
        <v>210</v>
      </c>
      <c r="K17" s="7">
        <f>J17/E17</f>
        <v>35</v>
      </c>
      <c r="L17" s="1" t="s">
        <v>25</v>
      </c>
      <c r="M17" s="1" t="s">
        <v>26</v>
      </c>
      <c r="N17" s="1" t="s">
        <v>27</v>
      </c>
    </row>
    <row r="18" spans="1:14" x14ac:dyDescent="0.2">
      <c r="A18" t="s">
        <v>34</v>
      </c>
      <c r="B18" s="1" t="s">
        <v>21</v>
      </c>
      <c r="C18" s="1" t="s">
        <v>23</v>
      </c>
      <c r="D18" s="1">
        <v>2020</v>
      </c>
      <c r="E18" s="1">
        <v>6</v>
      </c>
      <c r="F18" s="1" t="s">
        <v>24</v>
      </c>
      <c r="G18" s="4">
        <v>2</v>
      </c>
      <c r="H18" s="1">
        <v>0</v>
      </c>
      <c r="I18" s="1"/>
      <c r="J18" s="7">
        <v>210</v>
      </c>
      <c r="K18" s="7">
        <f>J18/E18</f>
        <v>35</v>
      </c>
      <c r="L18" s="1" t="s">
        <v>25</v>
      </c>
      <c r="M18" s="1" t="s">
        <v>26</v>
      </c>
      <c r="N18" s="1" t="s">
        <v>35</v>
      </c>
    </row>
    <row r="19" spans="1:14" x14ac:dyDescent="0.2">
      <c r="A19" s="4">
        <v>1130</v>
      </c>
      <c r="B19" s="4" t="s">
        <v>39</v>
      </c>
      <c r="K19" s="7"/>
    </row>
    <row r="20" spans="1:14" x14ac:dyDescent="0.2">
      <c r="A20" t="s">
        <v>52</v>
      </c>
      <c r="B20" s="1" t="s">
        <v>39</v>
      </c>
      <c r="C20" s="1" t="s">
        <v>53</v>
      </c>
      <c r="D20" s="1">
        <v>2024</v>
      </c>
      <c r="E20" s="1">
        <v>12</v>
      </c>
      <c r="F20" s="1" t="s">
        <v>54</v>
      </c>
      <c r="G20" s="4">
        <v>0</v>
      </c>
      <c r="H20" s="1">
        <v>400</v>
      </c>
      <c r="I20" s="8">
        <v>46073</v>
      </c>
      <c r="J20" s="7">
        <v>84</v>
      </c>
      <c r="K20" s="7">
        <f t="shared" ref="K20:K25" si="0">J20/E20</f>
        <v>7</v>
      </c>
      <c r="L20" s="1" t="s">
        <v>25</v>
      </c>
      <c r="M20" s="1" t="s">
        <v>42</v>
      </c>
      <c r="N20" s="1"/>
    </row>
    <row r="21" spans="1:14" x14ac:dyDescent="0.2">
      <c r="A21" t="s">
        <v>55</v>
      </c>
      <c r="B21" s="1" t="s">
        <v>39</v>
      </c>
      <c r="C21" s="1" t="s">
        <v>56</v>
      </c>
      <c r="D21" s="1">
        <v>2025</v>
      </c>
      <c r="E21" s="1">
        <v>12</v>
      </c>
      <c r="F21" s="1" t="s">
        <v>24</v>
      </c>
      <c r="G21" s="4">
        <v>0</v>
      </c>
      <c r="H21" s="1">
        <v>150</v>
      </c>
      <c r="I21" s="8">
        <v>46073</v>
      </c>
      <c r="J21" s="7">
        <v>128</v>
      </c>
      <c r="K21" s="7">
        <f t="shared" si="0"/>
        <v>10.666666666666666</v>
      </c>
      <c r="L21" s="1" t="s">
        <v>25</v>
      </c>
      <c r="M21" s="1" t="s">
        <v>42</v>
      </c>
      <c r="N21" s="1"/>
    </row>
    <row r="22" spans="1:14" x14ac:dyDescent="0.2">
      <c r="A22" t="s">
        <v>44</v>
      </c>
      <c r="B22" s="1" t="s">
        <v>39</v>
      </c>
      <c r="C22" s="1" t="s">
        <v>45</v>
      </c>
      <c r="D22" s="1">
        <v>2023</v>
      </c>
      <c r="E22" s="1">
        <v>12</v>
      </c>
      <c r="F22" s="1" t="s">
        <v>24</v>
      </c>
      <c r="G22" s="4">
        <v>0</v>
      </c>
      <c r="H22" s="1">
        <v>40</v>
      </c>
      <c r="I22" s="8">
        <v>46073</v>
      </c>
      <c r="J22" s="7">
        <v>164</v>
      </c>
      <c r="K22" s="7">
        <f t="shared" si="0"/>
        <v>13.666666666666666</v>
      </c>
      <c r="L22" s="1" t="s">
        <v>25</v>
      </c>
      <c r="M22" s="1" t="s">
        <v>42</v>
      </c>
      <c r="N22" s="1" t="s">
        <v>46</v>
      </c>
    </row>
    <row r="23" spans="1:14" x14ac:dyDescent="0.2">
      <c r="A23" t="s">
        <v>47</v>
      </c>
      <c r="B23" s="1" t="s">
        <v>39</v>
      </c>
      <c r="C23" s="1" t="s">
        <v>48</v>
      </c>
      <c r="D23" s="1">
        <v>2019</v>
      </c>
      <c r="E23" s="1">
        <v>6</v>
      </c>
      <c r="F23" s="1" t="s">
        <v>24</v>
      </c>
      <c r="G23" s="4">
        <v>33</v>
      </c>
      <c r="H23" s="1">
        <v>0</v>
      </c>
      <c r="I23" s="1"/>
      <c r="J23" s="7">
        <v>116</v>
      </c>
      <c r="K23" s="7">
        <f t="shared" si="0"/>
        <v>19.333333333333332</v>
      </c>
      <c r="L23" s="1" t="s">
        <v>49</v>
      </c>
      <c r="M23" s="1" t="s">
        <v>50</v>
      </c>
      <c r="N23" s="1" t="s">
        <v>51</v>
      </c>
    </row>
    <row r="24" spans="1:14" x14ac:dyDescent="0.2">
      <c r="A24" t="s">
        <v>40</v>
      </c>
      <c r="B24" s="1" t="s">
        <v>39</v>
      </c>
      <c r="C24" s="1" t="s">
        <v>41</v>
      </c>
      <c r="D24" s="1">
        <v>2018</v>
      </c>
      <c r="E24" s="1">
        <v>6</v>
      </c>
      <c r="F24" s="1" t="s">
        <v>24</v>
      </c>
      <c r="G24" s="4">
        <v>51</v>
      </c>
      <c r="H24" s="1">
        <v>0</v>
      </c>
      <c r="I24" s="1"/>
      <c r="J24" s="7">
        <v>176</v>
      </c>
      <c r="K24" s="7">
        <f t="shared" si="0"/>
        <v>29.333333333333332</v>
      </c>
      <c r="L24" s="1" t="s">
        <v>25</v>
      </c>
      <c r="M24" s="1" t="s">
        <v>42</v>
      </c>
      <c r="N24" s="1" t="s">
        <v>43</v>
      </c>
    </row>
    <row r="25" spans="1:14" x14ac:dyDescent="0.2">
      <c r="A25" t="s">
        <v>57</v>
      </c>
      <c r="B25" s="1" t="s">
        <v>39</v>
      </c>
      <c r="C25" s="1" t="s">
        <v>58</v>
      </c>
      <c r="D25" s="1">
        <v>2022</v>
      </c>
      <c r="E25" s="1">
        <v>6</v>
      </c>
      <c r="F25" s="1" t="s">
        <v>24</v>
      </c>
      <c r="G25" s="4">
        <v>0</v>
      </c>
      <c r="H25" s="1">
        <v>20</v>
      </c>
      <c r="I25" s="8">
        <v>46073</v>
      </c>
      <c r="J25" s="7">
        <v>184</v>
      </c>
      <c r="K25" s="7">
        <f t="shared" si="0"/>
        <v>30.666666666666668</v>
      </c>
      <c r="L25" s="1" t="s">
        <v>49</v>
      </c>
      <c r="M25" s="1" t="s">
        <v>50</v>
      </c>
      <c r="N25" s="1"/>
    </row>
    <row r="26" spans="1:14" x14ac:dyDescent="0.2">
      <c r="A26" s="4">
        <v>1260</v>
      </c>
      <c r="B26" s="4" t="s">
        <v>59</v>
      </c>
    </row>
    <row r="27" spans="1:14" x14ac:dyDescent="0.2">
      <c r="A27" t="s">
        <v>60</v>
      </c>
      <c r="B27" s="1" t="s">
        <v>59</v>
      </c>
      <c r="C27" s="1" t="s">
        <v>61</v>
      </c>
      <c r="D27" s="1">
        <v>2021</v>
      </c>
      <c r="E27" s="1">
        <v>12</v>
      </c>
      <c r="F27" s="1" t="s">
        <v>24</v>
      </c>
      <c r="G27" s="4">
        <v>6</v>
      </c>
      <c r="H27" s="1">
        <v>0</v>
      </c>
      <c r="I27" s="1"/>
      <c r="J27" s="7">
        <v>152</v>
      </c>
      <c r="K27" s="7">
        <f t="shared" ref="K27:K32" si="1">J27/E27</f>
        <v>12.666666666666666</v>
      </c>
      <c r="L27" s="1" t="s">
        <v>25</v>
      </c>
      <c r="M27" s="1" t="s">
        <v>62</v>
      </c>
      <c r="N27" s="1" t="s">
        <v>63</v>
      </c>
    </row>
    <row r="28" spans="1:14" x14ac:dyDescent="0.2">
      <c r="A28" t="s">
        <v>76</v>
      </c>
      <c r="B28" s="1" t="s">
        <v>59</v>
      </c>
      <c r="C28" s="1" t="s">
        <v>61</v>
      </c>
      <c r="D28" s="1">
        <v>2023</v>
      </c>
      <c r="E28" s="1">
        <v>12</v>
      </c>
      <c r="F28" s="1" t="s">
        <v>24</v>
      </c>
      <c r="G28" s="4">
        <v>19</v>
      </c>
      <c r="H28" s="1">
        <v>0</v>
      </c>
      <c r="I28" s="1"/>
      <c r="J28" s="7">
        <v>152</v>
      </c>
      <c r="K28" s="7">
        <f t="shared" si="1"/>
        <v>12.666666666666666</v>
      </c>
      <c r="L28" s="1" t="s">
        <v>25</v>
      </c>
      <c r="M28" s="1" t="s">
        <v>62</v>
      </c>
      <c r="N28" s="1" t="s">
        <v>77</v>
      </c>
    </row>
    <row r="29" spans="1:14" x14ac:dyDescent="0.2">
      <c r="A29" t="s">
        <v>73</v>
      </c>
      <c r="B29" s="1" t="s">
        <v>59</v>
      </c>
      <c r="C29" s="1" t="s">
        <v>74</v>
      </c>
      <c r="D29" s="1">
        <v>2023</v>
      </c>
      <c r="E29" s="1">
        <v>12</v>
      </c>
      <c r="F29" s="1" t="s">
        <v>24</v>
      </c>
      <c r="G29" s="4">
        <v>47</v>
      </c>
      <c r="H29" s="1">
        <v>0</v>
      </c>
      <c r="I29" s="1"/>
      <c r="J29" s="7">
        <v>156</v>
      </c>
      <c r="K29" s="7">
        <f t="shared" si="1"/>
        <v>13</v>
      </c>
      <c r="L29" s="1" t="s">
        <v>25</v>
      </c>
      <c r="M29" s="1" t="s">
        <v>62</v>
      </c>
      <c r="N29" s="1" t="s">
        <v>75</v>
      </c>
    </row>
    <row r="30" spans="1:14" x14ac:dyDescent="0.2">
      <c r="A30" t="s">
        <v>67</v>
      </c>
      <c r="B30" s="1" t="s">
        <v>59</v>
      </c>
      <c r="C30" s="1" t="s">
        <v>68</v>
      </c>
      <c r="D30" s="1">
        <v>2021</v>
      </c>
      <c r="E30" s="1">
        <v>6</v>
      </c>
      <c r="F30" s="1" t="s">
        <v>24</v>
      </c>
      <c r="G30" s="4">
        <v>10</v>
      </c>
      <c r="H30" s="1">
        <v>0</v>
      </c>
      <c r="I30" s="1"/>
      <c r="J30" s="7">
        <v>144</v>
      </c>
      <c r="K30" s="7">
        <f t="shared" si="1"/>
        <v>24</v>
      </c>
      <c r="L30" s="1" t="s">
        <v>25</v>
      </c>
      <c r="M30" s="1" t="s">
        <v>62</v>
      </c>
      <c r="N30" s="1" t="s">
        <v>69</v>
      </c>
    </row>
    <row r="31" spans="1:14" x14ac:dyDescent="0.2">
      <c r="A31" t="s">
        <v>70</v>
      </c>
      <c r="B31" s="1" t="s">
        <v>59</v>
      </c>
      <c r="C31" s="1" t="s">
        <v>71</v>
      </c>
      <c r="D31" s="1">
        <v>2021</v>
      </c>
      <c r="E31" s="1">
        <v>6</v>
      </c>
      <c r="F31" s="1" t="s">
        <v>24</v>
      </c>
      <c r="G31" s="4">
        <v>22</v>
      </c>
      <c r="H31" s="1">
        <v>0</v>
      </c>
      <c r="I31" s="1"/>
      <c r="J31" s="7">
        <v>158</v>
      </c>
      <c r="K31" s="7">
        <f t="shared" si="1"/>
        <v>26.333333333333332</v>
      </c>
      <c r="L31" s="1" t="s">
        <v>25</v>
      </c>
      <c r="M31" s="1" t="s">
        <v>62</v>
      </c>
      <c r="N31" s="1" t="s">
        <v>72</v>
      </c>
    </row>
    <row r="32" spans="1:14" x14ac:dyDescent="0.2">
      <c r="A32" t="s">
        <v>64</v>
      </c>
      <c r="B32" s="1" t="s">
        <v>59</v>
      </c>
      <c r="C32" s="1" t="s">
        <v>65</v>
      </c>
      <c r="D32" s="1">
        <v>2021</v>
      </c>
      <c r="E32" s="1">
        <v>6</v>
      </c>
      <c r="F32" s="1" t="s">
        <v>24</v>
      </c>
      <c r="G32" s="4">
        <v>3</v>
      </c>
      <c r="H32" s="1">
        <v>0</v>
      </c>
      <c r="I32" s="1"/>
      <c r="J32" s="7">
        <v>208</v>
      </c>
      <c r="K32" s="7">
        <f t="shared" si="1"/>
        <v>34.666666666666664</v>
      </c>
      <c r="L32" s="1" t="s">
        <v>25</v>
      </c>
      <c r="M32" s="1" t="s">
        <v>62</v>
      </c>
      <c r="N32" s="1" t="s">
        <v>66</v>
      </c>
    </row>
    <row r="33" spans="1:14" x14ac:dyDescent="0.2">
      <c r="A33" s="4">
        <v>1390</v>
      </c>
      <c r="B33" s="4" t="s">
        <v>78</v>
      </c>
    </row>
    <row r="34" spans="1:14" x14ac:dyDescent="0.2">
      <c r="A34" t="s">
        <v>79</v>
      </c>
      <c r="B34" s="1" t="s">
        <v>78</v>
      </c>
      <c r="C34" s="1" t="s">
        <v>80</v>
      </c>
      <c r="D34" s="1">
        <v>2024</v>
      </c>
      <c r="E34" s="1">
        <v>12</v>
      </c>
      <c r="F34" s="1" t="s">
        <v>24</v>
      </c>
      <c r="G34" s="4">
        <v>25</v>
      </c>
      <c r="H34" s="1">
        <v>100</v>
      </c>
      <c r="I34" s="8">
        <v>46073</v>
      </c>
      <c r="J34" s="7">
        <v>148</v>
      </c>
      <c r="K34" s="7">
        <f t="shared" ref="K34" si="2">J34/E34</f>
        <v>12.333333333333334</v>
      </c>
      <c r="L34" s="1" t="s">
        <v>81</v>
      </c>
      <c r="M34" s="1" t="s">
        <v>82</v>
      </c>
      <c r="N34" s="1"/>
    </row>
    <row r="35" spans="1:14" x14ac:dyDescent="0.2">
      <c r="A35" s="4">
        <v>1400</v>
      </c>
      <c r="B35" s="4" t="s">
        <v>83</v>
      </c>
    </row>
    <row r="36" spans="1:14" x14ac:dyDescent="0.2">
      <c r="A36" t="s">
        <v>93</v>
      </c>
      <c r="B36" s="1" t="s">
        <v>83</v>
      </c>
      <c r="C36" s="1" t="s">
        <v>94</v>
      </c>
      <c r="D36" s="1">
        <v>2022</v>
      </c>
      <c r="E36" s="1">
        <v>12</v>
      </c>
      <c r="F36" s="1" t="s">
        <v>24</v>
      </c>
      <c r="G36" s="4">
        <v>20</v>
      </c>
      <c r="H36" s="1">
        <v>0</v>
      </c>
      <c r="I36" s="1"/>
      <c r="J36" s="7">
        <v>140</v>
      </c>
      <c r="K36" s="7">
        <f>J36/E36</f>
        <v>11.666666666666666</v>
      </c>
      <c r="L36" s="1" t="s">
        <v>81</v>
      </c>
      <c r="M36" s="1" t="s">
        <v>82</v>
      </c>
      <c r="N36" s="1" t="s">
        <v>95</v>
      </c>
    </row>
    <row r="37" spans="1:14" x14ac:dyDescent="0.2">
      <c r="A37" t="s">
        <v>96</v>
      </c>
      <c r="B37" s="1" t="s">
        <v>83</v>
      </c>
      <c r="C37" s="1" t="s">
        <v>94</v>
      </c>
      <c r="D37" s="1">
        <v>2023</v>
      </c>
      <c r="E37" s="1">
        <v>12</v>
      </c>
      <c r="F37" s="1" t="s">
        <v>24</v>
      </c>
      <c r="G37" s="4">
        <v>0</v>
      </c>
      <c r="H37" s="1">
        <v>100</v>
      </c>
      <c r="I37" s="8">
        <v>46073</v>
      </c>
      <c r="J37" s="7">
        <v>148</v>
      </c>
      <c r="K37" s="7">
        <f>J37/E37</f>
        <v>12.333333333333334</v>
      </c>
      <c r="L37" s="1" t="s">
        <v>81</v>
      </c>
      <c r="M37" s="1" t="s">
        <v>82</v>
      </c>
      <c r="N37" s="1" t="s">
        <v>97</v>
      </c>
    </row>
    <row r="38" spans="1:14" x14ac:dyDescent="0.2">
      <c r="A38" t="s">
        <v>84</v>
      </c>
      <c r="B38" s="1" t="s">
        <v>83</v>
      </c>
      <c r="C38" s="1" t="s">
        <v>85</v>
      </c>
      <c r="D38" s="1">
        <v>2022</v>
      </c>
      <c r="E38" s="1">
        <v>12</v>
      </c>
      <c r="F38" s="1" t="s">
        <v>24</v>
      </c>
      <c r="G38" s="4">
        <v>24</v>
      </c>
      <c r="H38" s="1">
        <v>0</v>
      </c>
      <c r="I38" s="1"/>
      <c r="J38" s="7">
        <v>184</v>
      </c>
      <c r="K38" s="7">
        <f>J38/E38</f>
        <v>15.333333333333334</v>
      </c>
      <c r="L38" s="1" t="s">
        <v>81</v>
      </c>
      <c r="M38" s="1" t="s">
        <v>82</v>
      </c>
      <c r="N38" s="1" t="s">
        <v>86</v>
      </c>
    </row>
    <row r="39" spans="1:14" x14ac:dyDescent="0.2">
      <c r="A39" t="s">
        <v>87</v>
      </c>
      <c r="B39" s="1" t="s">
        <v>83</v>
      </c>
      <c r="C39" s="1" t="s">
        <v>88</v>
      </c>
      <c r="D39" s="1">
        <v>2019</v>
      </c>
      <c r="E39" s="1">
        <v>6</v>
      </c>
      <c r="F39" s="1" t="s">
        <v>24</v>
      </c>
      <c r="G39" s="4">
        <v>7</v>
      </c>
      <c r="H39" s="1">
        <v>0</v>
      </c>
      <c r="I39" s="1"/>
      <c r="J39" s="7">
        <v>128</v>
      </c>
      <c r="K39" s="7">
        <f>J39/E39</f>
        <v>21.333333333333332</v>
      </c>
      <c r="L39" s="1" t="s">
        <v>81</v>
      </c>
      <c r="M39" s="1" t="s">
        <v>82</v>
      </c>
      <c r="N39" s="1" t="s">
        <v>89</v>
      </c>
    </row>
    <row r="40" spans="1:14" x14ac:dyDescent="0.2">
      <c r="A40" t="s">
        <v>90</v>
      </c>
      <c r="B40" s="1" t="s">
        <v>83</v>
      </c>
      <c r="C40" s="1" t="s">
        <v>91</v>
      </c>
      <c r="D40" s="1">
        <v>2019</v>
      </c>
      <c r="E40" s="1">
        <v>6</v>
      </c>
      <c r="F40" s="1" t="s">
        <v>24</v>
      </c>
      <c r="G40" s="4">
        <v>7</v>
      </c>
      <c r="H40" s="1">
        <v>0</v>
      </c>
      <c r="I40" s="1"/>
      <c r="J40" s="7">
        <v>198</v>
      </c>
      <c r="K40" s="7">
        <f>J40/E40</f>
        <v>33</v>
      </c>
      <c r="L40" s="1" t="s">
        <v>81</v>
      </c>
      <c r="M40" s="1" t="s">
        <v>82</v>
      </c>
      <c r="N40" s="1" t="s">
        <v>92</v>
      </c>
    </row>
    <row r="41" spans="1:14" x14ac:dyDescent="0.2">
      <c r="A41" s="4">
        <v>1660</v>
      </c>
      <c r="B41" s="4" t="s">
        <v>98</v>
      </c>
    </row>
    <row r="42" spans="1:14" x14ac:dyDescent="0.2">
      <c r="A42" t="s">
        <v>111</v>
      </c>
      <c r="B42" s="1" t="s">
        <v>98</v>
      </c>
      <c r="C42" s="1" t="s">
        <v>112</v>
      </c>
      <c r="D42" s="1">
        <v>2024</v>
      </c>
      <c r="E42" s="1">
        <v>12</v>
      </c>
      <c r="F42" s="1" t="s">
        <v>24</v>
      </c>
      <c r="G42" s="4">
        <v>0</v>
      </c>
      <c r="H42" s="1">
        <v>75</v>
      </c>
      <c r="I42" s="8">
        <v>46073</v>
      </c>
      <c r="J42" s="7">
        <v>104</v>
      </c>
      <c r="K42" s="7">
        <f t="shared" ref="K42:K48" si="3">J42/E42</f>
        <v>8.6666666666666661</v>
      </c>
      <c r="L42" s="1" t="s">
        <v>25</v>
      </c>
      <c r="M42" s="1" t="s">
        <v>101</v>
      </c>
      <c r="N42" s="1"/>
    </row>
    <row r="43" spans="1:14" x14ac:dyDescent="0.2">
      <c r="A43" t="s">
        <v>109</v>
      </c>
      <c r="B43" s="1" t="s">
        <v>98</v>
      </c>
      <c r="C43" s="1" t="s">
        <v>110</v>
      </c>
      <c r="D43" s="1">
        <v>2023</v>
      </c>
      <c r="E43" s="1">
        <v>12</v>
      </c>
      <c r="F43" s="1" t="s">
        <v>24</v>
      </c>
      <c r="G43" s="4">
        <v>9</v>
      </c>
      <c r="H43" s="1">
        <v>0</v>
      </c>
      <c r="I43" s="1"/>
      <c r="J43" s="7">
        <v>120</v>
      </c>
      <c r="K43" s="7">
        <f t="shared" si="3"/>
        <v>10</v>
      </c>
      <c r="L43" s="1" t="s">
        <v>25</v>
      </c>
      <c r="M43" s="1" t="s">
        <v>101</v>
      </c>
      <c r="N43" s="1"/>
    </row>
    <row r="44" spans="1:14" x14ac:dyDescent="0.2">
      <c r="A44" t="s">
        <v>114</v>
      </c>
      <c r="B44" s="1" t="s">
        <v>98</v>
      </c>
      <c r="C44" s="1" t="s">
        <v>115</v>
      </c>
      <c r="D44" s="1">
        <v>2023</v>
      </c>
      <c r="E44" s="1">
        <v>12</v>
      </c>
      <c r="F44" s="1" t="s">
        <v>24</v>
      </c>
      <c r="G44" s="4">
        <v>27</v>
      </c>
      <c r="H44" s="1">
        <v>50</v>
      </c>
      <c r="I44" s="8">
        <v>46073</v>
      </c>
      <c r="J44" s="7">
        <v>124</v>
      </c>
      <c r="K44" s="7">
        <f t="shared" si="3"/>
        <v>10.333333333333334</v>
      </c>
      <c r="L44" s="1" t="s">
        <v>25</v>
      </c>
      <c r="M44" s="1" t="s">
        <v>101</v>
      </c>
      <c r="N44" s="1"/>
    </row>
    <row r="45" spans="1:14" x14ac:dyDescent="0.2">
      <c r="A45" t="s">
        <v>113</v>
      </c>
      <c r="B45" s="1" t="s">
        <v>98</v>
      </c>
      <c r="C45" s="1" t="s">
        <v>110</v>
      </c>
      <c r="D45" s="1">
        <v>2024</v>
      </c>
      <c r="E45" s="1">
        <v>12</v>
      </c>
      <c r="F45" s="1" t="s">
        <v>24</v>
      </c>
      <c r="G45" s="4">
        <v>50</v>
      </c>
      <c r="H45" s="1">
        <v>0</v>
      </c>
      <c r="I45" s="1"/>
      <c r="J45" s="7">
        <v>136</v>
      </c>
      <c r="K45" s="7">
        <f t="shared" si="3"/>
        <v>11.333333333333334</v>
      </c>
      <c r="L45" s="1" t="s">
        <v>25</v>
      </c>
      <c r="M45" s="1" t="s">
        <v>101</v>
      </c>
      <c r="N45" s="1"/>
    </row>
    <row r="46" spans="1:14" x14ac:dyDescent="0.2">
      <c r="A46" t="s">
        <v>99</v>
      </c>
      <c r="B46" s="1" t="s">
        <v>98</v>
      </c>
      <c r="C46" s="1" t="s">
        <v>100</v>
      </c>
      <c r="D46" s="1">
        <v>2022</v>
      </c>
      <c r="E46" s="1">
        <v>12</v>
      </c>
      <c r="F46" s="1" t="s">
        <v>24</v>
      </c>
      <c r="G46" s="4">
        <v>4</v>
      </c>
      <c r="H46" s="1">
        <v>0</v>
      </c>
      <c r="I46" s="1"/>
      <c r="J46" s="7">
        <v>136</v>
      </c>
      <c r="K46" s="7">
        <f t="shared" si="3"/>
        <v>11.333333333333334</v>
      </c>
      <c r="L46" s="1" t="s">
        <v>25</v>
      </c>
      <c r="M46" s="1" t="s">
        <v>101</v>
      </c>
      <c r="N46" s="1" t="s">
        <v>102</v>
      </c>
    </row>
    <row r="47" spans="1:14" x14ac:dyDescent="0.2">
      <c r="A47" t="s">
        <v>106</v>
      </c>
      <c r="B47" s="1" t="s">
        <v>98</v>
      </c>
      <c r="C47" s="1" t="s">
        <v>107</v>
      </c>
      <c r="D47" s="1">
        <v>2021</v>
      </c>
      <c r="E47" s="1">
        <v>6</v>
      </c>
      <c r="F47" s="1" t="s">
        <v>24</v>
      </c>
      <c r="G47" s="4">
        <v>9</v>
      </c>
      <c r="H47" s="1">
        <v>0</v>
      </c>
      <c r="I47" s="1"/>
      <c r="J47" s="7">
        <v>144</v>
      </c>
      <c r="K47" s="7">
        <f t="shared" si="3"/>
        <v>24</v>
      </c>
      <c r="L47" s="1" t="s">
        <v>25</v>
      </c>
      <c r="M47" s="1" t="s">
        <v>101</v>
      </c>
      <c r="N47" s="1" t="s">
        <v>108</v>
      </c>
    </row>
    <row r="48" spans="1:14" x14ac:dyDescent="0.2">
      <c r="A48" t="s">
        <v>103</v>
      </c>
      <c r="B48" s="1" t="s">
        <v>98</v>
      </c>
      <c r="C48" s="1" t="s">
        <v>104</v>
      </c>
      <c r="D48" s="1">
        <v>2021</v>
      </c>
      <c r="E48" s="1">
        <v>6</v>
      </c>
      <c r="F48" s="1" t="s">
        <v>24</v>
      </c>
      <c r="G48" s="4">
        <v>6</v>
      </c>
      <c r="H48" s="1">
        <v>0</v>
      </c>
      <c r="I48" s="1"/>
      <c r="J48" s="7">
        <v>150</v>
      </c>
      <c r="K48" s="7">
        <f t="shared" si="3"/>
        <v>25</v>
      </c>
      <c r="L48" s="1" t="s">
        <v>25</v>
      </c>
      <c r="M48" s="1" t="s">
        <v>101</v>
      </c>
      <c r="N48" s="1" t="s">
        <v>105</v>
      </c>
    </row>
    <row r="49" spans="1:14" x14ac:dyDescent="0.2">
      <c r="A49" s="4">
        <v>1670</v>
      </c>
      <c r="B49" s="4" t="s">
        <v>116</v>
      </c>
    </row>
    <row r="50" spans="1:14" x14ac:dyDescent="0.2">
      <c r="A50" t="s">
        <v>126</v>
      </c>
      <c r="B50" s="1" t="s">
        <v>116</v>
      </c>
      <c r="C50" s="1" t="s">
        <v>127</v>
      </c>
      <c r="D50" s="1">
        <v>2022</v>
      </c>
      <c r="E50" s="1">
        <v>12</v>
      </c>
      <c r="F50" s="1" t="s">
        <v>24</v>
      </c>
      <c r="G50" s="4">
        <v>30</v>
      </c>
      <c r="H50" s="1">
        <v>0</v>
      </c>
      <c r="I50" s="1"/>
      <c r="J50" s="7">
        <v>196</v>
      </c>
      <c r="K50" s="7">
        <f>J50/E50</f>
        <v>16.333333333333332</v>
      </c>
      <c r="L50" s="1" t="s">
        <v>49</v>
      </c>
      <c r="M50" s="1" t="s">
        <v>50</v>
      </c>
      <c r="N50" s="1"/>
    </row>
    <row r="51" spans="1:14" x14ac:dyDescent="0.2">
      <c r="A51" t="s">
        <v>117</v>
      </c>
      <c r="B51" s="1" t="s">
        <v>116</v>
      </c>
      <c r="C51" s="1" t="s">
        <v>118</v>
      </c>
      <c r="D51" s="1">
        <v>2022</v>
      </c>
      <c r="E51" s="1">
        <v>12</v>
      </c>
      <c r="F51" s="1" t="s">
        <v>24</v>
      </c>
      <c r="G51" s="4">
        <v>15</v>
      </c>
      <c r="H51" s="1">
        <v>0</v>
      </c>
      <c r="I51" s="1"/>
      <c r="J51" s="7">
        <v>196</v>
      </c>
      <c r="K51" s="7">
        <f>J51/E51</f>
        <v>16.333333333333332</v>
      </c>
      <c r="L51" s="1" t="s">
        <v>49</v>
      </c>
      <c r="M51" s="1" t="s">
        <v>50</v>
      </c>
      <c r="N51" s="1" t="s">
        <v>119</v>
      </c>
    </row>
    <row r="52" spans="1:14" x14ac:dyDescent="0.2">
      <c r="A52" t="s">
        <v>120</v>
      </c>
      <c r="B52" s="1" t="s">
        <v>116</v>
      </c>
      <c r="C52" s="1" t="s">
        <v>121</v>
      </c>
      <c r="D52" s="1">
        <v>2018</v>
      </c>
      <c r="E52" s="1">
        <v>6</v>
      </c>
      <c r="F52" s="1" t="s">
        <v>24</v>
      </c>
      <c r="G52" s="4">
        <v>1</v>
      </c>
      <c r="H52" s="1">
        <v>0</v>
      </c>
      <c r="I52" s="1"/>
      <c r="J52" s="7">
        <v>206</v>
      </c>
      <c r="K52" s="7">
        <f>J52/E52</f>
        <v>34.333333333333336</v>
      </c>
      <c r="L52" s="1" t="s">
        <v>49</v>
      </c>
      <c r="M52" s="1" t="s">
        <v>50</v>
      </c>
      <c r="N52" s="1" t="s">
        <v>122</v>
      </c>
    </row>
    <row r="53" spans="1:14" x14ac:dyDescent="0.2">
      <c r="A53" t="s">
        <v>128</v>
      </c>
      <c r="B53" s="1" t="s">
        <v>116</v>
      </c>
      <c r="C53" s="1" t="s">
        <v>121</v>
      </c>
      <c r="D53" s="1">
        <v>2020</v>
      </c>
      <c r="E53" s="1">
        <v>6</v>
      </c>
      <c r="F53" s="1" t="s">
        <v>24</v>
      </c>
      <c r="G53" s="4">
        <v>15</v>
      </c>
      <c r="H53" s="1">
        <v>0</v>
      </c>
      <c r="I53" s="1"/>
      <c r="J53" s="7">
        <v>206</v>
      </c>
      <c r="K53" s="7">
        <f>J53/E53</f>
        <v>34.333333333333336</v>
      </c>
      <c r="L53" s="1" t="s">
        <v>49</v>
      </c>
      <c r="M53" s="1" t="s">
        <v>50</v>
      </c>
      <c r="N53" s="1" t="s">
        <v>129</v>
      </c>
    </row>
    <row r="54" spans="1:14" x14ac:dyDescent="0.2">
      <c r="A54" t="s">
        <v>123</v>
      </c>
      <c r="B54" s="1" t="s">
        <v>116</v>
      </c>
      <c r="C54" s="1" t="s">
        <v>124</v>
      </c>
      <c r="D54" s="1">
        <v>2022</v>
      </c>
      <c r="E54" s="1">
        <v>6</v>
      </c>
      <c r="F54" s="1" t="s">
        <v>24</v>
      </c>
      <c r="G54" s="4">
        <v>19</v>
      </c>
      <c r="H54" s="1">
        <v>0</v>
      </c>
      <c r="I54" s="1"/>
      <c r="J54" s="7">
        <v>262</v>
      </c>
      <c r="K54" s="7">
        <f>J54/E54</f>
        <v>43.666666666666664</v>
      </c>
      <c r="L54" s="1" t="s">
        <v>49</v>
      </c>
      <c r="M54" s="1" t="s">
        <v>50</v>
      </c>
      <c r="N54" s="1" t="s">
        <v>125</v>
      </c>
    </row>
    <row r="55" spans="1:14" x14ac:dyDescent="0.2">
      <c r="A55" s="4">
        <v>1680</v>
      </c>
      <c r="B55" s="4" t="s">
        <v>130</v>
      </c>
    </row>
    <row r="56" spans="1:14" x14ac:dyDescent="0.2">
      <c r="A56" t="s">
        <v>138</v>
      </c>
      <c r="B56" s="1" t="s">
        <v>130</v>
      </c>
      <c r="C56" s="1" t="s">
        <v>112</v>
      </c>
      <c r="D56" s="1">
        <v>2024</v>
      </c>
      <c r="E56" s="1">
        <v>12</v>
      </c>
      <c r="F56" s="1" t="s">
        <v>24</v>
      </c>
      <c r="G56" s="4">
        <v>44</v>
      </c>
      <c r="H56" s="1">
        <v>0</v>
      </c>
      <c r="I56" s="1"/>
      <c r="J56" s="7">
        <v>128</v>
      </c>
      <c r="K56" s="7">
        <f>J56/E56</f>
        <v>10.666666666666666</v>
      </c>
      <c r="L56" s="1" t="s">
        <v>25</v>
      </c>
      <c r="M56" s="1" t="s">
        <v>101</v>
      </c>
      <c r="N56" s="1"/>
    </row>
    <row r="57" spans="1:14" x14ac:dyDescent="0.2">
      <c r="A57" t="s">
        <v>136</v>
      </c>
      <c r="B57" s="1" t="s">
        <v>130</v>
      </c>
      <c r="C57" s="1" t="s">
        <v>137</v>
      </c>
      <c r="D57" s="1">
        <v>2023</v>
      </c>
      <c r="E57" s="1">
        <v>12</v>
      </c>
      <c r="F57" s="1" t="s">
        <v>24</v>
      </c>
      <c r="G57" s="4">
        <v>31</v>
      </c>
      <c r="H57" s="1">
        <v>50</v>
      </c>
      <c r="I57" s="8">
        <v>46073</v>
      </c>
      <c r="J57" s="7">
        <v>136</v>
      </c>
      <c r="K57" s="7">
        <f>J57/E57</f>
        <v>11.333333333333334</v>
      </c>
      <c r="L57" s="1" t="s">
        <v>25</v>
      </c>
      <c r="M57" s="1" t="s">
        <v>101</v>
      </c>
      <c r="N57" s="1"/>
    </row>
    <row r="58" spans="1:14" x14ac:dyDescent="0.2">
      <c r="A58" t="s">
        <v>131</v>
      </c>
      <c r="B58" s="1" t="s">
        <v>130</v>
      </c>
      <c r="C58" s="1" t="s">
        <v>132</v>
      </c>
      <c r="D58" s="1">
        <v>2021</v>
      </c>
      <c r="E58" s="1">
        <v>12</v>
      </c>
      <c r="F58" s="1" t="s">
        <v>24</v>
      </c>
      <c r="G58" s="4">
        <v>14</v>
      </c>
      <c r="H58" s="1">
        <v>0</v>
      </c>
      <c r="I58" s="1"/>
      <c r="J58" s="7">
        <v>168</v>
      </c>
      <c r="K58" s="7">
        <f>J58/E58</f>
        <v>14</v>
      </c>
      <c r="L58" s="1" t="s">
        <v>25</v>
      </c>
      <c r="M58" s="1" t="s">
        <v>101</v>
      </c>
      <c r="N58" s="1" t="s">
        <v>133</v>
      </c>
    </row>
    <row r="59" spans="1:14" x14ac:dyDescent="0.2">
      <c r="A59" t="s">
        <v>134</v>
      </c>
      <c r="B59" s="1" t="s">
        <v>130</v>
      </c>
      <c r="C59" s="1" t="s">
        <v>135</v>
      </c>
      <c r="D59" s="1">
        <v>2017</v>
      </c>
      <c r="E59" s="1">
        <v>6</v>
      </c>
      <c r="F59" s="1" t="s">
        <v>24</v>
      </c>
      <c r="G59" s="4">
        <v>9</v>
      </c>
      <c r="H59" s="1">
        <v>0</v>
      </c>
      <c r="I59" s="1"/>
      <c r="J59" s="7">
        <v>186</v>
      </c>
      <c r="K59" s="7">
        <f>J59/E59</f>
        <v>31</v>
      </c>
      <c r="L59" s="1" t="s">
        <v>25</v>
      </c>
      <c r="M59" s="1" t="s">
        <v>101</v>
      </c>
      <c r="N59" s="1" t="s">
        <v>129</v>
      </c>
    </row>
    <row r="60" spans="1:14" x14ac:dyDescent="0.2">
      <c r="A60" s="4">
        <v>1690</v>
      </c>
      <c r="B60" s="4" t="s">
        <v>139</v>
      </c>
    </row>
    <row r="61" spans="1:14" x14ac:dyDescent="0.2">
      <c r="A61" t="s">
        <v>140</v>
      </c>
      <c r="B61" s="1" t="s">
        <v>139</v>
      </c>
      <c r="C61" s="1" t="s">
        <v>141</v>
      </c>
      <c r="D61" s="1">
        <v>2022</v>
      </c>
      <c r="E61" s="1">
        <v>12</v>
      </c>
      <c r="F61" s="1" t="s">
        <v>24</v>
      </c>
      <c r="G61" s="4">
        <v>44</v>
      </c>
      <c r="H61" s="1">
        <v>0</v>
      </c>
      <c r="I61" s="1"/>
      <c r="J61" s="7">
        <v>148</v>
      </c>
      <c r="K61" s="7">
        <f>J61/E61</f>
        <v>12.333333333333334</v>
      </c>
      <c r="L61" s="1" t="s">
        <v>49</v>
      </c>
      <c r="M61" s="1" t="s">
        <v>142</v>
      </c>
      <c r="N61" s="1" t="s">
        <v>143</v>
      </c>
    </row>
    <row r="62" spans="1:14" x14ac:dyDescent="0.2">
      <c r="A62" t="s">
        <v>144</v>
      </c>
      <c r="B62" s="1" t="s">
        <v>139</v>
      </c>
      <c r="C62" s="1" t="s">
        <v>145</v>
      </c>
      <c r="D62" s="1">
        <v>2020</v>
      </c>
      <c r="E62" s="1">
        <v>12</v>
      </c>
      <c r="F62" s="1" t="s">
        <v>24</v>
      </c>
      <c r="G62" s="4">
        <v>69</v>
      </c>
      <c r="H62" s="1">
        <v>0</v>
      </c>
      <c r="I62" s="1"/>
      <c r="J62" s="7">
        <v>164</v>
      </c>
      <c r="K62" s="7">
        <f>J62/E62</f>
        <v>13.666666666666666</v>
      </c>
      <c r="L62" s="1" t="s">
        <v>49</v>
      </c>
      <c r="M62" s="1" t="s">
        <v>142</v>
      </c>
      <c r="N62" s="1" t="s">
        <v>63</v>
      </c>
    </row>
    <row r="63" spans="1:14" x14ac:dyDescent="0.2">
      <c r="A63" t="s">
        <v>146</v>
      </c>
      <c r="B63" s="1" t="s">
        <v>139</v>
      </c>
      <c r="C63" s="1" t="s">
        <v>147</v>
      </c>
      <c r="D63" s="1">
        <v>2019</v>
      </c>
      <c r="E63" s="1">
        <v>12</v>
      </c>
      <c r="F63" s="1" t="s">
        <v>24</v>
      </c>
      <c r="G63" s="4">
        <v>25</v>
      </c>
      <c r="H63" s="1">
        <v>0</v>
      </c>
      <c r="I63" s="1"/>
      <c r="J63" s="7">
        <v>244</v>
      </c>
      <c r="K63" s="7">
        <f>J63/E63</f>
        <v>20.333333333333332</v>
      </c>
      <c r="L63" s="1" t="s">
        <v>49</v>
      </c>
      <c r="M63" s="1" t="s">
        <v>142</v>
      </c>
      <c r="N63" s="1" t="s">
        <v>148</v>
      </c>
    </row>
    <row r="64" spans="1:14" x14ac:dyDescent="0.2">
      <c r="A64" t="s">
        <v>149</v>
      </c>
      <c r="B64" s="1" t="s">
        <v>139</v>
      </c>
      <c r="C64" s="1" t="s">
        <v>150</v>
      </c>
      <c r="D64" s="1">
        <v>2019</v>
      </c>
      <c r="E64" s="1">
        <v>6</v>
      </c>
      <c r="F64" s="1" t="s">
        <v>24</v>
      </c>
      <c r="G64" s="4">
        <v>10</v>
      </c>
      <c r="H64" s="1">
        <v>0</v>
      </c>
      <c r="I64" s="1"/>
      <c r="J64" s="7">
        <v>260</v>
      </c>
      <c r="K64" s="7">
        <f>J64/E64</f>
        <v>43.333333333333336</v>
      </c>
      <c r="L64" s="1" t="s">
        <v>49</v>
      </c>
      <c r="M64" s="1" t="s">
        <v>142</v>
      </c>
      <c r="N64" s="1" t="s">
        <v>108</v>
      </c>
    </row>
    <row r="65" spans="1:14" x14ac:dyDescent="0.2">
      <c r="A65" s="4">
        <v>1730</v>
      </c>
      <c r="B65" s="4" t="s">
        <v>151</v>
      </c>
      <c r="K65" s="7"/>
    </row>
    <row r="66" spans="1:14" x14ac:dyDescent="0.2">
      <c r="A66" t="s">
        <v>152</v>
      </c>
      <c r="B66" s="1" t="s">
        <v>151</v>
      </c>
      <c r="C66" s="1" t="s">
        <v>153</v>
      </c>
      <c r="D66" s="1">
        <v>2023</v>
      </c>
      <c r="E66" s="1">
        <v>12</v>
      </c>
      <c r="F66" s="1" t="s">
        <v>24</v>
      </c>
      <c r="G66" s="4">
        <v>76</v>
      </c>
      <c r="H66" s="1">
        <v>0</v>
      </c>
      <c r="I66" s="1"/>
      <c r="J66" s="7">
        <v>136</v>
      </c>
      <c r="K66" s="7">
        <f>J66/E66</f>
        <v>11.333333333333334</v>
      </c>
      <c r="L66" s="1" t="s">
        <v>25</v>
      </c>
      <c r="M66" s="1" t="s">
        <v>154</v>
      </c>
      <c r="N66" s="1"/>
    </row>
    <row r="67" spans="1:14" x14ac:dyDescent="0.2">
      <c r="A67" t="s">
        <v>157</v>
      </c>
      <c r="B67" s="1" t="s">
        <v>151</v>
      </c>
      <c r="C67" s="1" t="s">
        <v>158</v>
      </c>
      <c r="D67" s="1">
        <v>2023</v>
      </c>
      <c r="E67" s="1">
        <v>12</v>
      </c>
      <c r="F67" s="1" t="s">
        <v>24</v>
      </c>
      <c r="G67" s="4">
        <v>5</v>
      </c>
      <c r="H67" s="1">
        <v>0</v>
      </c>
      <c r="I67" s="1"/>
      <c r="J67" s="7">
        <v>172</v>
      </c>
      <c r="K67" s="7">
        <f>J67/E67</f>
        <v>14.333333333333334</v>
      </c>
      <c r="L67" s="1" t="s">
        <v>25</v>
      </c>
      <c r="M67" s="1" t="s">
        <v>154</v>
      </c>
      <c r="N67" s="1" t="s">
        <v>63</v>
      </c>
    </row>
    <row r="68" spans="1:14" x14ac:dyDescent="0.2">
      <c r="A68" t="s">
        <v>155</v>
      </c>
      <c r="B68" s="1" t="s">
        <v>151</v>
      </c>
      <c r="C68" s="1" t="s">
        <v>156</v>
      </c>
      <c r="D68" s="1">
        <v>2022</v>
      </c>
      <c r="E68" s="1">
        <v>6</v>
      </c>
      <c r="F68" s="1" t="s">
        <v>24</v>
      </c>
      <c r="G68" s="4">
        <v>4</v>
      </c>
      <c r="H68" s="1">
        <v>0</v>
      </c>
      <c r="I68" s="1"/>
      <c r="J68" s="7">
        <v>150</v>
      </c>
      <c r="K68" s="7">
        <f>J68/E68</f>
        <v>25</v>
      </c>
      <c r="L68" s="1" t="s">
        <v>25</v>
      </c>
      <c r="M68" s="1" t="s">
        <v>154</v>
      </c>
      <c r="N68" s="1" t="s">
        <v>129</v>
      </c>
    </row>
    <row r="69" spans="1:14" x14ac:dyDescent="0.2">
      <c r="A69" s="4" t="s">
        <v>159</v>
      </c>
      <c r="B69" s="4" t="s">
        <v>160</v>
      </c>
      <c r="K69" s="7"/>
    </row>
    <row r="70" spans="1:14" x14ac:dyDescent="0.2">
      <c r="A70" s="4">
        <v>1280</v>
      </c>
      <c r="B70" s="4" t="s">
        <v>161</v>
      </c>
      <c r="K70" s="7"/>
    </row>
    <row r="71" spans="1:14" x14ac:dyDescent="0.2">
      <c r="A71" t="s">
        <v>166</v>
      </c>
      <c r="B71" s="1" t="s">
        <v>161</v>
      </c>
      <c r="C71" s="1" t="s">
        <v>167</v>
      </c>
      <c r="D71" s="1">
        <v>2022</v>
      </c>
      <c r="E71" s="1">
        <v>12</v>
      </c>
      <c r="F71" s="1" t="s">
        <v>24</v>
      </c>
      <c r="G71" s="4">
        <v>13</v>
      </c>
      <c r="H71" s="1">
        <v>0</v>
      </c>
      <c r="I71" s="1"/>
      <c r="J71" s="7">
        <v>168</v>
      </c>
      <c r="K71" s="7">
        <f>J71/E71</f>
        <v>14</v>
      </c>
      <c r="L71" s="1" t="s">
        <v>164</v>
      </c>
      <c r="M71" s="1"/>
      <c r="N71" s="1" t="s">
        <v>168</v>
      </c>
    </row>
    <row r="72" spans="1:14" x14ac:dyDescent="0.2">
      <c r="A72" t="s">
        <v>175</v>
      </c>
      <c r="B72" s="1" t="s">
        <v>161</v>
      </c>
      <c r="C72" s="1" t="s">
        <v>167</v>
      </c>
      <c r="D72" s="1">
        <v>2023</v>
      </c>
      <c r="E72" s="1">
        <v>12</v>
      </c>
      <c r="F72" s="1" t="s">
        <v>24</v>
      </c>
      <c r="G72" s="4">
        <v>19</v>
      </c>
      <c r="H72" s="1">
        <v>0</v>
      </c>
      <c r="I72" s="1"/>
      <c r="J72" s="7">
        <v>168</v>
      </c>
      <c r="K72" s="7">
        <f>J72/E72</f>
        <v>14</v>
      </c>
      <c r="L72" s="1" t="s">
        <v>164</v>
      </c>
      <c r="M72" s="1"/>
      <c r="N72" s="1" t="s">
        <v>176</v>
      </c>
    </row>
    <row r="73" spans="1:14" x14ac:dyDescent="0.2">
      <c r="A73" t="s">
        <v>169</v>
      </c>
      <c r="B73" s="1" t="s">
        <v>161</v>
      </c>
      <c r="C73" s="1" t="s">
        <v>170</v>
      </c>
      <c r="D73" s="1">
        <v>2022</v>
      </c>
      <c r="E73" s="1">
        <v>12</v>
      </c>
      <c r="F73" s="1" t="s">
        <v>24</v>
      </c>
      <c r="G73" s="4">
        <v>5</v>
      </c>
      <c r="H73" s="1">
        <v>0</v>
      </c>
      <c r="I73" s="1"/>
      <c r="J73" s="7">
        <v>296</v>
      </c>
      <c r="K73" s="7">
        <f>J73/E73</f>
        <v>24.666666666666668</v>
      </c>
      <c r="L73" s="1" t="s">
        <v>164</v>
      </c>
      <c r="M73" s="1"/>
      <c r="N73" s="1" t="s">
        <v>171</v>
      </c>
    </row>
    <row r="74" spans="1:14" x14ac:dyDescent="0.2">
      <c r="A74" t="s">
        <v>172</v>
      </c>
      <c r="B74" s="1" t="s">
        <v>161</v>
      </c>
      <c r="C74" s="1" t="s">
        <v>173</v>
      </c>
      <c r="D74" s="1">
        <v>2022</v>
      </c>
      <c r="E74" s="1">
        <v>12</v>
      </c>
      <c r="F74" s="1" t="s">
        <v>24</v>
      </c>
      <c r="G74" s="4">
        <v>6</v>
      </c>
      <c r="H74" s="1">
        <v>0</v>
      </c>
      <c r="I74" s="1"/>
      <c r="J74" s="7">
        <v>344</v>
      </c>
      <c r="K74" s="7">
        <f>J74/E74</f>
        <v>28.666666666666668</v>
      </c>
      <c r="L74" s="1" t="s">
        <v>164</v>
      </c>
      <c r="M74" s="1"/>
      <c r="N74" s="1" t="s">
        <v>174</v>
      </c>
    </row>
    <row r="75" spans="1:14" x14ac:dyDescent="0.2">
      <c r="A75" t="s">
        <v>162</v>
      </c>
      <c r="B75" s="1" t="s">
        <v>161</v>
      </c>
      <c r="C75" s="1" t="s">
        <v>163</v>
      </c>
      <c r="D75" s="1">
        <v>2020</v>
      </c>
      <c r="E75" s="1">
        <v>6</v>
      </c>
      <c r="F75" s="1" t="s">
        <v>24</v>
      </c>
      <c r="G75" s="4">
        <v>2</v>
      </c>
      <c r="H75" s="1">
        <v>0</v>
      </c>
      <c r="I75" s="1"/>
      <c r="J75" s="7">
        <v>218</v>
      </c>
      <c r="K75" s="7">
        <f>J75/E75</f>
        <v>36.333333333333336</v>
      </c>
      <c r="L75" s="1" t="s">
        <v>164</v>
      </c>
      <c r="M75" s="1"/>
      <c r="N75" s="1" t="s">
        <v>165</v>
      </c>
    </row>
    <row r="76" spans="1:14" x14ac:dyDescent="0.2">
      <c r="A76" s="4">
        <v>1290</v>
      </c>
      <c r="B76" s="4" t="s">
        <v>177</v>
      </c>
      <c r="K76" s="7"/>
    </row>
    <row r="77" spans="1:14" x14ac:dyDescent="0.2">
      <c r="A77" t="s">
        <v>178</v>
      </c>
      <c r="B77" s="1" t="s">
        <v>177</v>
      </c>
      <c r="C77" s="1" t="s">
        <v>179</v>
      </c>
      <c r="D77" s="1">
        <v>2022</v>
      </c>
      <c r="E77" s="1">
        <v>12</v>
      </c>
      <c r="F77" s="1" t="s">
        <v>24</v>
      </c>
      <c r="G77" s="4">
        <v>23</v>
      </c>
      <c r="H77" s="1">
        <v>0</v>
      </c>
      <c r="I77" s="1"/>
      <c r="J77" s="7">
        <v>180</v>
      </c>
      <c r="K77" s="7">
        <f>J77/E77</f>
        <v>15</v>
      </c>
      <c r="L77" s="1" t="s">
        <v>180</v>
      </c>
      <c r="M77" s="1" t="s">
        <v>181</v>
      </c>
      <c r="N77" s="1"/>
    </row>
    <row r="78" spans="1:14" x14ac:dyDescent="0.2">
      <c r="A78" t="s">
        <v>184</v>
      </c>
      <c r="B78" s="1" t="s">
        <v>177</v>
      </c>
      <c r="C78" s="1" t="s">
        <v>185</v>
      </c>
      <c r="D78" s="1">
        <v>2023</v>
      </c>
      <c r="E78" s="1">
        <v>12</v>
      </c>
      <c r="F78" s="1" t="s">
        <v>24</v>
      </c>
      <c r="G78" s="4">
        <v>0</v>
      </c>
      <c r="H78" s="1">
        <v>0</v>
      </c>
      <c r="I78" s="1"/>
      <c r="J78" s="7">
        <v>220</v>
      </c>
      <c r="K78" s="7">
        <f>J78/E78</f>
        <v>18.333333333333332</v>
      </c>
      <c r="L78" s="1" t="s">
        <v>180</v>
      </c>
      <c r="M78" s="1" t="s">
        <v>181</v>
      </c>
      <c r="N78" s="1"/>
    </row>
    <row r="79" spans="1:14" x14ac:dyDescent="0.2">
      <c r="A79" t="s">
        <v>182</v>
      </c>
      <c r="B79" s="1" t="s">
        <v>177</v>
      </c>
      <c r="C79" s="1" t="s">
        <v>183</v>
      </c>
      <c r="D79" s="1">
        <v>2023</v>
      </c>
      <c r="E79" s="1">
        <v>12</v>
      </c>
      <c r="F79" s="1" t="s">
        <v>24</v>
      </c>
      <c r="G79" s="4">
        <v>0</v>
      </c>
      <c r="H79" s="1">
        <v>0</v>
      </c>
      <c r="I79" s="1"/>
      <c r="J79" s="7">
        <v>220</v>
      </c>
      <c r="K79" s="7">
        <f>J79/E79</f>
        <v>18.333333333333332</v>
      </c>
      <c r="L79" s="1" t="s">
        <v>180</v>
      </c>
      <c r="M79" s="1" t="s">
        <v>181</v>
      </c>
      <c r="N79" s="1"/>
    </row>
    <row r="80" spans="1:14" x14ac:dyDescent="0.2">
      <c r="A80" t="s">
        <v>186</v>
      </c>
      <c r="B80" s="1" t="s">
        <v>177</v>
      </c>
      <c r="C80" s="1" t="s">
        <v>187</v>
      </c>
      <c r="D80" s="1">
        <v>2023</v>
      </c>
      <c r="E80" s="1">
        <v>12</v>
      </c>
      <c r="F80" s="1" t="s">
        <v>24</v>
      </c>
      <c r="G80" s="4">
        <v>0</v>
      </c>
      <c r="H80" s="1">
        <v>0</v>
      </c>
      <c r="I80" s="1"/>
      <c r="J80" s="7">
        <v>244</v>
      </c>
      <c r="K80" s="7">
        <f>J80/E80</f>
        <v>20.333333333333332</v>
      </c>
      <c r="L80" s="1" t="s">
        <v>180</v>
      </c>
      <c r="M80" s="1" t="s">
        <v>181</v>
      </c>
      <c r="N80" s="1"/>
    </row>
    <row r="81" spans="1:14" x14ac:dyDescent="0.2">
      <c r="A81" t="s">
        <v>188</v>
      </c>
      <c r="B81" s="1" t="s">
        <v>177</v>
      </c>
      <c r="C81" s="1" t="s">
        <v>189</v>
      </c>
      <c r="D81" s="1">
        <v>2023</v>
      </c>
      <c r="E81" s="1">
        <v>12</v>
      </c>
      <c r="F81" s="1" t="s">
        <v>24</v>
      </c>
      <c r="G81" s="4">
        <v>0</v>
      </c>
      <c r="H81" s="1">
        <v>0</v>
      </c>
      <c r="I81" s="1"/>
      <c r="J81" s="7">
        <v>248</v>
      </c>
      <c r="K81" s="7">
        <f>J81/E81</f>
        <v>20.666666666666668</v>
      </c>
      <c r="L81" s="1" t="s">
        <v>180</v>
      </c>
      <c r="M81" s="1" t="s">
        <v>181</v>
      </c>
      <c r="N81" s="1"/>
    </row>
    <row r="82" spans="1:14" x14ac:dyDescent="0.2">
      <c r="A82" s="4">
        <v>1510</v>
      </c>
      <c r="B82" s="4" t="s">
        <v>190</v>
      </c>
      <c r="K82" s="7"/>
    </row>
    <row r="83" spans="1:14" x14ac:dyDescent="0.2">
      <c r="A83" t="s">
        <v>191</v>
      </c>
      <c r="B83" s="1" t="s">
        <v>190</v>
      </c>
      <c r="C83" s="1" t="s">
        <v>192</v>
      </c>
      <c r="D83" s="1">
        <v>2022</v>
      </c>
      <c r="E83" s="1">
        <v>12</v>
      </c>
      <c r="F83" s="1" t="s">
        <v>24</v>
      </c>
      <c r="G83" s="4">
        <v>36</v>
      </c>
      <c r="H83" s="1">
        <v>0</v>
      </c>
      <c r="I83" s="1"/>
      <c r="J83" s="7">
        <v>340</v>
      </c>
      <c r="K83" s="7">
        <f t="shared" ref="K83:K84" si="4">J83/E83</f>
        <v>28.333333333333332</v>
      </c>
      <c r="L83" s="1" t="s">
        <v>193</v>
      </c>
      <c r="M83" s="1"/>
      <c r="N83" s="1" t="s">
        <v>194</v>
      </c>
    </row>
    <row r="84" spans="1:14" x14ac:dyDescent="0.2">
      <c r="A84" t="s">
        <v>195</v>
      </c>
      <c r="B84" s="1" t="s">
        <v>190</v>
      </c>
      <c r="C84" s="1" t="s">
        <v>196</v>
      </c>
      <c r="D84" s="1">
        <v>2022</v>
      </c>
      <c r="E84" s="1">
        <v>6</v>
      </c>
      <c r="F84" s="1" t="s">
        <v>24</v>
      </c>
      <c r="G84" s="4">
        <v>17</v>
      </c>
      <c r="H84" s="1">
        <v>0</v>
      </c>
      <c r="I84" s="1"/>
      <c r="J84" s="7">
        <v>300</v>
      </c>
      <c r="K84" s="7">
        <f t="shared" si="4"/>
        <v>50</v>
      </c>
      <c r="L84" s="1" t="s">
        <v>193</v>
      </c>
      <c r="M84" s="1"/>
      <c r="N84" s="1" t="s">
        <v>194</v>
      </c>
    </row>
    <row r="85" spans="1:14" x14ac:dyDescent="0.2">
      <c r="A85" s="4" t="s">
        <v>197</v>
      </c>
      <c r="B85" s="4" t="s">
        <v>198</v>
      </c>
      <c r="K85" s="7"/>
    </row>
    <row r="86" spans="1:14" x14ac:dyDescent="0.2">
      <c r="A86" s="4">
        <v>1000</v>
      </c>
      <c r="B86" s="4" t="s">
        <v>199</v>
      </c>
      <c r="K86" s="7"/>
    </row>
    <row r="87" spans="1:14" x14ac:dyDescent="0.2">
      <c r="A87" t="s">
        <v>231</v>
      </c>
      <c r="B87" s="1" t="s">
        <v>199</v>
      </c>
      <c r="C87" s="1" t="s">
        <v>232</v>
      </c>
      <c r="D87" s="1">
        <v>2024</v>
      </c>
      <c r="E87" s="1">
        <v>12</v>
      </c>
      <c r="F87" s="1" t="s">
        <v>24</v>
      </c>
      <c r="G87" s="11" t="s">
        <v>815</v>
      </c>
      <c r="H87" s="1">
        <v>0</v>
      </c>
      <c r="I87" s="1"/>
      <c r="J87" s="7">
        <v>104</v>
      </c>
      <c r="K87" s="7">
        <f t="shared" ref="K87:K97" si="5">J87/E87</f>
        <v>8.6666666666666661</v>
      </c>
      <c r="L87" s="1" t="s">
        <v>205</v>
      </c>
      <c r="M87" s="1" t="s">
        <v>206</v>
      </c>
      <c r="N87" s="1"/>
    </row>
    <row r="88" spans="1:14" x14ac:dyDescent="0.2">
      <c r="A88" t="s">
        <v>229</v>
      </c>
      <c r="B88" s="1" t="s">
        <v>199</v>
      </c>
      <c r="C88" s="1" t="s">
        <v>230</v>
      </c>
      <c r="D88" s="1">
        <v>2024</v>
      </c>
      <c r="E88" s="1">
        <v>12</v>
      </c>
      <c r="F88" s="1" t="s">
        <v>24</v>
      </c>
      <c r="G88" s="4">
        <v>66</v>
      </c>
      <c r="H88" s="1">
        <v>0</v>
      </c>
      <c r="I88" s="1"/>
      <c r="J88" s="7">
        <v>120</v>
      </c>
      <c r="K88" s="7">
        <f t="shared" si="5"/>
        <v>10</v>
      </c>
      <c r="L88" s="1" t="s">
        <v>205</v>
      </c>
      <c r="M88" s="1" t="s">
        <v>206</v>
      </c>
      <c r="N88" s="1" t="s">
        <v>143</v>
      </c>
    </row>
    <row r="89" spans="1:14" x14ac:dyDescent="0.2">
      <c r="A89" t="s">
        <v>226</v>
      </c>
      <c r="B89" s="1" t="s">
        <v>199</v>
      </c>
      <c r="C89" s="1" t="s">
        <v>227</v>
      </c>
      <c r="D89" s="1">
        <v>2023</v>
      </c>
      <c r="E89" s="1">
        <v>6</v>
      </c>
      <c r="F89" s="1" t="s">
        <v>228</v>
      </c>
      <c r="G89" s="4">
        <v>476</v>
      </c>
      <c r="H89" s="1">
        <v>0</v>
      </c>
      <c r="I89" s="1"/>
      <c r="J89" s="7">
        <v>64</v>
      </c>
      <c r="K89" s="7">
        <f t="shared" si="5"/>
        <v>10.666666666666666</v>
      </c>
      <c r="L89" s="1" t="s">
        <v>205</v>
      </c>
      <c r="M89" s="1" t="s">
        <v>206</v>
      </c>
      <c r="N89" s="1"/>
    </row>
    <row r="90" spans="1:14" x14ac:dyDescent="0.2">
      <c r="A90" t="s">
        <v>203</v>
      </c>
      <c r="B90" s="1" t="s">
        <v>199</v>
      </c>
      <c r="C90" s="1" t="s">
        <v>204</v>
      </c>
      <c r="D90" s="1">
        <v>2022</v>
      </c>
      <c r="E90" s="1">
        <v>12</v>
      </c>
      <c r="F90" s="1" t="s">
        <v>24</v>
      </c>
      <c r="G90" s="4">
        <v>16</v>
      </c>
      <c r="H90" s="1">
        <v>0</v>
      </c>
      <c r="I90" s="1"/>
      <c r="J90" s="7">
        <v>128</v>
      </c>
      <c r="K90" s="7">
        <f t="shared" si="5"/>
        <v>10.666666666666666</v>
      </c>
      <c r="L90" s="1" t="s">
        <v>205</v>
      </c>
      <c r="M90" s="1" t="s">
        <v>206</v>
      </c>
      <c r="N90" s="1"/>
    </row>
    <row r="91" spans="1:14" x14ac:dyDescent="0.2">
      <c r="A91" t="s">
        <v>207</v>
      </c>
      <c r="B91" s="1" t="s">
        <v>199</v>
      </c>
      <c r="C91" s="1" t="s">
        <v>208</v>
      </c>
      <c r="D91" s="1">
        <v>2022</v>
      </c>
      <c r="E91" s="1">
        <v>12</v>
      </c>
      <c r="F91" s="1" t="s">
        <v>24</v>
      </c>
      <c r="G91" s="4">
        <v>6</v>
      </c>
      <c r="H91" s="1">
        <v>0</v>
      </c>
      <c r="I91" s="1"/>
      <c r="J91" s="7">
        <v>136</v>
      </c>
      <c r="K91" s="7">
        <f t="shared" si="5"/>
        <v>11.333333333333334</v>
      </c>
      <c r="L91" s="1" t="s">
        <v>205</v>
      </c>
      <c r="M91" s="1" t="s">
        <v>206</v>
      </c>
      <c r="N91" s="1" t="s">
        <v>209</v>
      </c>
    </row>
    <row r="92" spans="1:14" x14ac:dyDescent="0.2">
      <c r="A92" t="s">
        <v>213</v>
      </c>
      <c r="B92" s="1" t="s">
        <v>199</v>
      </c>
      <c r="C92" s="1" t="s">
        <v>214</v>
      </c>
      <c r="D92" s="1">
        <v>2020</v>
      </c>
      <c r="E92" s="1">
        <v>6</v>
      </c>
      <c r="F92" s="1" t="s">
        <v>24</v>
      </c>
      <c r="G92" s="4">
        <v>6</v>
      </c>
      <c r="H92" s="1">
        <v>0</v>
      </c>
      <c r="I92" s="1"/>
      <c r="J92" s="7">
        <v>210</v>
      </c>
      <c r="K92" s="7">
        <f t="shared" si="5"/>
        <v>35</v>
      </c>
      <c r="L92" s="1" t="s">
        <v>205</v>
      </c>
      <c r="M92" s="1" t="s">
        <v>206</v>
      </c>
      <c r="N92" s="1" t="s">
        <v>215</v>
      </c>
    </row>
    <row r="93" spans="1:14" x14ac:dyDescent="0.2">
      <c r="A93" t="s">
        <v>224</v>
      </c>
      <c r="B93" s="1" t="s">
        <v>199</v>
      </c>
      <c r="C93" s="1" t="s">
        <v>214</v>
      </c>
      <c r="D93" s="1">
        <v>2021</v>
      </c>
      <c r="E93" s="1">
        <v>6</v>
      </c>
      <c r="F93" s="1" t="s">
        <v>24</v>
      </c>
      <c r="G93" s="4">
        <v>17</v>
      </c>
      <c r="H93" s="1">
        <v>0</v>
      </c>
      <c r="I93" s="1"/>
      <c r="J93" s="7">
        <v>210</v>
      </c>
      <c r="K93" s="7">
        <f t="shared" si="5"/>
        <v>35</v>
      </c>
      <c r="L93" s="1" t="s">
        <v>205</v>
      </c>
      <c r="M93" s="1" t="s">
        <v>206</v>
      </c>
      <c r="N93" s="1" t="s">
        <v>225</v>
      </c>
    </row>
    <row r="94" spans="1:14" x14ac:dyDescent="0.2">
      <c r="A94" t="s">
        <v>221</v>
      </c>
      <c r="B94" s="1" t="s">
        <v>199</v>
      </c>
      <c r="C94" s="1" t="s">
        <v>222</v>
      </c>
      <c r="D94" s="1">
        <v>2021</v>
      </c>
      <c r="E94" s="1">
        <v>6</v>
      </c>
      <c r="F94" s="1" t="s">
        <v>24</v>
      </c>
      <c r="G94" s="4">
        <v>9</v>
      </c>
      <c r="H94" s="1">
        <v>0</v>
      </c>
      <c r="I94" s="1"/>
      <c r="J94" s="7">
        <v>210</v>
      </c>
      <c r="K94" s="7">
        <f t="shared" si="5"/>
        <v>35</v>
      </c>
      <c r="L94" s="1" t="s">
        <v>205</v>
      </c>
      <c r="M94" s="1" t="s">
        <v>206</v>
      </c>
      <c r="N94" s="1" t="s">
        <v>223</v>
      </c>
    </row>
    <row r="95" spans="1:14" x14ac:dyDescent="0.2">
      <c r="A95" t="s">
        <v>210</v>
      </c>
      <c r="B95" s="1" t="s">
        <v>199</v>
      </c>
      <c r="C95" s="1" t="s">
        <v>211</v>
      </c>
      <c r="D95" s="1">
        <v>2020</v>
      </c>
      <c r="E95" s="1">
        <v>6</v>
      </c>
      <c r="F95" s="1" t="s">
        <v>24</v>
      </c>
      <c r="G95" s="4">
        <v>3</v>
      </c>
      <c r="H95" s="1">
        <v>0</v>
      </c>
      <c r="I95" s="1"/>
      <c r="J95" s="7">
        <v>210</v>
      </c>
      <c r="K95" s="7">
        <f t="shared" si="5"/>
        <v>35</v>
      </c>
      <c r="L95" s="1" t="s">
        <v>205</v>
      </c>
      <c r="M95" s="1" t="s">
        <v>206</v>
      </c>
      <c r="N95" s="1" t="s">
        <v>212</v>
      </c>
    </row>
    <row r="96" spans="1:14" x14ac:dyDescent="0.2">
      <c r="A96" t="s">
        <v>219</v>
      </c>
      <c r="B96" s="1" t="s">
        <v>199</v>
      </c>
      <c r="C96" s="1" t="s">
        <v>211</v>
      </c>
      <c r="D96" s="1">
        <v>2021</v>
      </c>
      <c r="E96" s="1">
        <v>6</v>
      </c>
      <c r="F96" s="1" t="s">
        <v>24</v>
      </c>
      <c r="G96" s="4">
        <v>7</v>
      </c>
      <c r="H96" s="1">
        <v>0</v>
      </c>
      <c r="I96" s="1"/>
      <c r="J96" s="7">
        <v>210</v>
      </c>
      <c r="K96" s="7">
        <f t="shared" si="5"/>
        <v>35</v>
      </c>
      <c r="L96" s="1" t="s">
        <v>205</v>
      </c>
      <c r="M96" s="1" t="s">
        <v>206</v>
      </c>
      <c r="N96" s="1" t="s">
        <v>220</v>
      </c>
    </row>
    <row r="97" spans="1:14" x14ac:dyDescent="0.2">
      <c r="A97" t="s">
        <v>216</v>
      </c>
      <c r="B97" s="1" t="s">
        <v>199</v>
      </c>
      <c r="C97" s="1" t="s">
        <v>217</v>
      </c>
      <c r="D97" s="1">
        <v>2021</v>
      </c>
      <c r="E97" s="1">
        <v>6</v>
      </c>
      <c r="F97" s="1" t="s">
        <v>24</v>
      </c>
      <c r="G97" s="4">
        <v>14</v>
      </c>
      <c r="H97" s="1">
        <v>0</v>
      </c>
      <c r="I97" s="1"/>
      <c r="J97" s="7">
        <v>240</v>
      </c>
      <c r="K97" s="7">
        <f t="shared" si="5"/>
        <v>40</v>
      </c>
      <c r="L97" s="1" t="s">
        <v>205</v>
      </c>
      <c r="M97" s="1" t="s">
        <v>206</v>
      </c>
      <c r="N97" s="1" t="s">
        <v>218</v>
      </c>
    </row>
    <row r="98" spans="1:14" x14ac:dyDescent="0.2">
      <c r="A98" s="4">
        <v>1020</v>
      </c>
      <c r="B98" s="4" t="s">
        <v>233</v>
      </c>
      <c r="K98" s="7"/>
    </row>
    <row r="99" spans="1:14" x14ac:dyDescent="0.2">
      <c r="A99" t="s">
        <v>786</v>
      </c>
      <c r="B99" s="1" t="s">
        <v>233</v>
      </c>
      <c r="C99" s="1" t="s">
        <v>787</v>
      </c>
      <c r="D99" s="1">
        <v>2020</v>
      </c>
      <c r="E99" s="1">
        <v>12</v>
      </c>
      <c r="F99" s="1" t="s">
        <v>24</v>
      </c>
      <c r="G99" s="1">
        <v>0</v>
      </c>
      <c r="H99" s="1">
        <v>150</v>
      </c>
      <c r="I99" s="10" t="s">
        <v>788</v>
      </c>
      <c r="J99" s="7">
        <v>140</v>
      </c>
      <c r="K99" s="7">
        <f>J99/E99</f>
        <v>11.666666666666666</v>
      </c>
      <c r="L99" s="1" t="s">
        <v>237</v>
      </c>
    </row>
    <row r="100" spans="1:14" x14ac:dyDescent="0.2">
      <c r="A100" s="4">
        <v>1030</v>
      </c>
      <c r="B100" s="4" t="s">
        <v>234</v>
      </c>
      <c r="K100" s="7"/>
    </row>
    <row r="101" spans="1:14" x14ac:dyDescent="0.2">
      <c r="A101" t="s">
        <v>235</v>
      </c>
      <c r="B101" s="1" t="s">
        <v>234</v>
      </c>
      <c r="C101" s="1" t="s">
        <v>236</v>
      </c>
      <c r="D101" s="1">
        <v>2020</v>
      </c>
      <c r="E101" s="1">
        <v>12</v>
      </c>
      <c r="F101" s="1" t="s">
        <v>24</v>
      </c>
      <c r="G101" s="4">
        <v>19</v>
      </c>
      <c r="H101" s="1">
        <v>0</v>
      </c>
      <c r="I101" s="1"/>
      <c r="J101" s="7">
        <v>168</v>
      </c>
      <c r="K101" s="7">
        <f>J101/E101</f>
        <v>14</v>
      </c>
      <c r="L101" s="1" t="s">
        <v>237</v>
      </c>
      <c r="M101" s="1" t="s">
        <v>238</v>
      </c>
      <c r="N101" s="1" t="s">
        <v>239</v>
      </c>
    </row>
    <row r="102" spans="1:14" x14ac:dyDescent="0.2">
      <c r="A102" t="s">
        <v>240</v>
      </c>
      <c r="B102" s="1" t="s">
        <v>234</v>
      </c>
      <c r="C102" s="1" t="s">
        <v>241</v>
      </c>
      <c r="D102" s="1">
        <v>2020</v>
      </c>
      <c r="E102" s="1">
        <v>6</v>
      </c>
      <c r="F102" s="1" t="s">
        <v>24</v>
      </c>
      <c r="G102" s="4">
        <v>3</v>
      </c>
      <c r="H102" s="1">
        <v>0</v>
      </c>
      <c r="I102" s="1"/>
      <c r="J102" s="7">
        <v>156</v>
      </c>
      <c r="K102" s="7">
        <f>J102/E102</f>
        <v>26</v>
      </c>
      <c r="L102" s="1" t="s">
        <v>237</v>
      </c>
      <c r="M102" s="1" t="s">
        <v>238</v>
      </c>
      <c r="N102" s="1"/>
    </row>
    <row r="103" spans="1:14" x14ac:dyDescent="0.2">
      <c r="A103" t="s">
        <v>242</v>
      </c>
      <c r="B103" s="1" t="s">
        <v>234</v>
      </c>
      <c r="C103" s="1" t="s">
        <v>243</v>
      </c>
      <c r="D103" s="1">
        <v>2020</v>
      </c>
      <c r="E103" s="1">
        <v>6</v>
      </c>
      <c r="F103" s="1" t="s">
        <v>24</v>
      </c>
      <c r="G103" s="4">
        <v>7</v>
      </c>
      <c r="H103" s="1">
        <v>0</v>
      </c>
      <c r="I103" s="1"/>
      <c r="J103" s="7">
        <v>280</v>
      </c>
      <c r="K103" s="7">
        <f>J103/E103</f>
        <v>46.666666666666664</v>
      </c>
      <c r="L103" s="1" t="s">
        <v>237</v>
      </c>
      <c r="M103" s="1" t="s">
        <v>238</v>
      </c>
      <c r="N103" s="1" t="s">
        <v>244</v>
      </c>
    </row>
    <row r="104" spans="1:14" x14ac:dyDescent="0.2">
      <c r="A104" s="4">
        <v>1050</v>
      </c>
      <c r="B104" s="4" t="s">
        <v>245</v>
      </c>
      <c r="K104" s="7"/>
    </row>
    <row r="105" spans="1:14" x14ac:dyDescent="0.2">
      <c r="A105" t="s">
        <v>253</v>
      </c>
      <c r="B105" s="1" t="s">
        <v>245</v>
      </c>
      <c r="C105" s="1" t="s">
        <v>254</v>
      </c>
      <c r="D105" s="1">
        <v>2023</v>
      </c>
      <c r="E105" s="1">
        <v>12</v>
      </c>
      <c r="F105" s="1" t="s">
        <v>24</v>
      </c>
      <c r="G105" s="4">
        <v>23</v>
      </c>
      <c r="H105" s="1">
        <v>50</v>
      </c>
      <c r="I105" s="10" t="s">
        <v>788</v>
      </c>
      <c r="J105" s="7">
        <v>136</v>
      </c>
      <c r="K105" s="7">
        <f t="shared" ref="K105:K111" si="6">J105/E105</f>
        <v>11.333333333333334</v>
      </c>
      <c r="L105" s="1" t="s">
        <v>248</v>
      </c>
      <c r="M105" s="1" t="s">
        <v>249</v>
      </c>
      <c r="N105" s="1"/>
    </row>
    <row r="106" spans="1:14" x14ac:dyDescent="0.2">
      <c r="A106" t="s">
        <v>251</v>
      </c>
      <c r="B106" s="1" t="s">
        <v>245</v>
      </c>
      <c r="C106" s="1" t="s">
        <v>252</v>
      </c>
      <c r="D106" s="1">
        <v>2022</v>
      </c>
      <c r="E106" s="1">
        <v>12</v>
      </c>
      <c r="F106" s="1" t="s">
        <v>24</v>
      </c>
      <c r="G106" s="4">
        <v>51</v>
      </c>
      <c r="H106" s="1">
        <v>0</v>
      </c>
      <c r="I106" s="1"/>
      <c r="J106" s="7">
        <v>140</v>
      </c>
      <c r="K106" s="7">
        <f t="shared" si="6"/>
        <v>11.666666666666666</v>
      </c>
      <c r="L106" s="1" t="s">
        <v>248</v>
      </c>
      <c r="M106" s="1" t="s">
        <v>249</v>
      </c>
      <c r="N106" s="1"/>
    </row>
    <row r="107" spans="1:14" x14ac:dyDescent="0.2">
      <c r="A107" t="s">
        <v>246</v>
      </c>
      <c r="B107" s="1" t="s">
        <v>245</v>
      </c>
      <c r="C107" s="1" t="s">
        <v>247</v>
      </c>
      <c r="D107" s="1">
        <v>2022</v>
      </c>
      <c r="E107" s="1">
        <v>12</v>
      </c>
      <c r="F107" s="1" t="s">
        <v>24</v>
      </c>
      <c r="G107" s="4">
        <v>24</v>
      </c>
      <c r="H107" s="1">
        <v>0</v>
      </c>
      <c r="I107" s="1"/>
      <c r="J107" s="7">
        <v>152</v>
      </c>
      <c r="K107" s="7">
        <f t="shared" si="6"/>
        <v>12.666666666666666</v>
      </c>
      <c r="L107" s="1" t="s">
        <v>248</v>
      </c>
      <c r="M107" s="1" t="s">
        <v>249</v>
      </c>
      <c r="N107" s="1" t="s">
        <v>250</v>
      </c>
    </row>
    <row r="108" spans="1:14" x14ac:dyDescent="0.2">
      <c r="A108" t="s">
        <v>255</v>
      </c>
      <c r="B108" s="1" t="s">
        <v>245</v>
      </c>
      <c r="C108" s="1" t="s">
        <v>256</v>
      </c>
      <c r="D108" s="1">
        <v>2023</v>
      </c>
      <c r="E108" s="1">
        <v>6</v>
      </c>
      <c r="F108" s="1" t="s">
        <v>24</v>
      </c>
      <c r="G108" s="4">
        <v>13</v>
      </c>
      <c r="H108" s="1">
        <v>0</v>
      </c>
      <c r="I108" s="1"/>
      <c r="J108" s="7">
        <v>164</v>
      </c>
      <c r="K108" s="7">
        <f t="shared" si="6"/>
        <v>27.333333333333332</v>
      </c>
      <c r="L108" s="1" t="s">
        <v>248</v>
      </c>
      <c r="M108" s="1" t="s">
        <v>249</v>
      </c>
      <c r="N108" s="1" t="s">
        <v>257</v>
      </c>
    </row>
    <row r="109" spans="1:14" x14ac:dyDescent="0.2">
      <c r="A109" t="s">
        <v>258</v>
      </c>
      <c r="B109" s="1" t="s">
        <v>245</v>
      </c>
      <c r="C109" s="1" t="s">
        <v>259</v>
      </c>
      <c r="D109" s="1">
        <v>2023</v>
      </c>
      <c r="E109" s="1">
        <v>6</v>
      </c>
      <c r="F109" s="1" t="s">
        <v>24</v>
      </c>
      <c r="G109" s="4">
        <v>14</v>
      </c>
      <c r="H109" s="1">
        <v>0</v>
      </c>
      <c r="I109" s="1"/>
      <c r="J109" s="7">
        <v>196</v>
      </c>
      <c r="K109" s="7">
        <f t="shared" si="6"/>
        <v>32.666666666666664</v>
      </c>
      <c r="L109" s="1" t="s">
        <v>248</v>
      </c>
      <c r="M109" s="1" t="s">
        <v>249</v>
      </c>
      <c r="N109" s="1" t="s">
        <v>260</v>
      </c>
    </row>
    <row r="110" spans="1:14" x14ac:dyDescent="0.2">
      <c r="A110" t="s">
        <v>261</v>
      </c>
      <c r="B110" s="1" t="s">
        <v>245</v>
      </c>
      <c r="C110" s="1" t="s">
        <v>262</v>
      </c>
      <c r="D110" s="1">
        <v>2023</v>
      </c>
      <c r="E110" s="1">
        <v>6</v>
      </c>
      <c r="F110" s="1" t="s">
        <v>24</v>
      </c>
      <c r="G110" s="4">
        <v>4</v>
      </c>
      <c r="H110" s="1">
        <v>0</v>
      </c>
      <c r="I110" s="1"/>
      <c r="J110" s="7">
        <v>240</v>
      </c>
      <c r="K110" s="7">
        <f t="shared" si="6"/>
        <v>40</v>
      </c>
      <c r="L110" s="1" t="s">
        <v>248</v>
      </c>
      <c r="M110" s="1" t="s">
        <v>249</v>
      </c>
      <c r="N110" s="1" t="s">
        <v>263</v>
      </c>
    </row>
    <row r="111" spans="1:14" x14ac:dyDescent="0.2">
      <c r="A111" t="s">
        <v>264</v>
      </c>
      <c r="B111" s="1" t="s">
        <v>245</v>
      </c>
      <c r="C111" s="1" t="s">
        <v>265</v>
      </c>
      <c r="D111" s="1">
        <v>2023</v>
      </c>
      <c r="E111" s="1">
        <v>6</v>
      </c>
      <c r="F111" s="1" t="s">
        <v>24</v>
      </c>
      <c r="G111" s="4">
        <v>3</v>
      </c>
      <c r="H111" s="1">
        <v>0</v>
      </c>
      <c r="I111" s="1"/>
      <c r="J111" s="7">
        <v>296</v>
      </c>
      <c r="K111" s="7">
        <f t="shared" si="6"/>
        <v>49.333333333333336</v>
      </c>
      <c r="L111" s="1" t="s">
        <v>248</v>
      </c>
      <c r="M111" s="1" t="s">
        <v>249</v>
      </c>
      <c r="N111" s="1" t="s">
        <v>266</v>
      </c>
    </row>
    <row r="112" spans="1:14" x14ac:dyDescent="0.2">
      <c r="A112" s="4">
        <v>1080</v>
      </c>
      <c r="B112" s="4" t="s">
        <v>267</v>
      </c>
      <c r="K112" s="7"/>
    </row>
    <row r="113" spans="1:14" x14ac:dyDescent="0.2">
      <c r="A113" t="s">
        <v>272</v>
      </c>
      <c r="B113" s="1" t="s">
        <v>267</v>
      </c>
      <c r="C113" s="1" t="s">
        <v>273</v>
      </c>
      <c r="D113" s="1">
        <v>2023</v>
      </c>
      <c r="E113" s="1">
        <v>12</v>
      </c>
      <c r="F113" s="1" t="s">
        <v>24</v>
      </c>
      <c r="G113" s="4">
        <v>29</v>
      </c>
      <c r="H113" s="1">
        <v>100</v>
      </c>
      <c r="I113" s="10" t="s">
        <v>788</v>
      </c>
      <c r="J113" s="7">
        <v>156</v>
      </c>
      <c r="K113" s="7">
        <f>J113/E113</f>
        <v>13</v>
      </c>
      <c r="L113" s="1" t="s">
        <v>268</v>
      </c>
      <c r="M113" s="1" t="s">
        <v>269</v>
      </c>
      <c r="N113" s="1" t="s">
        <v>274</v>
      </c>
    </row>
    <row r="114" spans="1:14" x14ac:dyDescent="0.2">
      <c r="A114" t="s">
        <v>270</v>
      </c>
      <c r="B114" s="1" t="s">
        <v>267</v>
      </c>
      <c r="C114" s="1" t="s">
        <v>271</v>
      </c>
      <c r="D114" s="1">
        <v>2021</v>
      </c>
      <c r="E114" s="1">
        <v>12</v>
      </c>
      <c r="F114" s="1" t="s">
        <v>24</v>
      </c>
      <c r="G114" s="4">
        <v>9</v>
      </c>
      <c r="H114" s="1">
        <v>0</v>
      </c>
      <c r="I114" s="1"/>
      <c r="J114" s="7">
        <v>220</v>
      </c>
      <c r="K114" s="7">
        <f>J114/E114</f>
        <v>18.333333333333332</v>
      </c>
      <c r="L114" s="1" t="s">
        <v>268</v>
      </c>
      <c r="M114" s="1" t="s">
        <v>269</v>
      </c>
      <c r="N114" s="1" t="s">
        <v>63</v>
      </c>
    </row>
    <row r="115" spans="1:14" x14ac:dyDescent="0.2">
      <c r="A115" s="4">
        <v>1160</v>
      </c>
      <c r="B115" s="4" t="s">
        <v>275</v>
      </c>
      <c r="K115" s="7"/>
    </row>
    <row r="116" spans="1:14" x14ac:dyDescent="0.2">
      <c r="A116" t="s">
        <v>279</v>
      </c>
      <c r="B116" s="1" t="s">
        <v>275</v>
      </c>
      <c r="C116" s="1" t="s">
        <v>280</v>
      </c>
      <c r="D116" s="1">
        <v>2021</v>
      </c>
      <c r="E116" s="1">
        <v>12</v>
      </c>
      <c r="F116" s="1" t="s">
        <v>24</v>
      </c>
      <c r="G116" s="4">
        <v>19</v>
      </c>
      <c r="H116" s="1">
        <v>0</v>
      </c>
      <c r="I116" s="1"/>
      <c r="J116" s="7">
        <v>120</v>
      </c>
      <c r="K116" s="7">
        <f t="shared" ref="K116:K121" si="7">J116/E116</f>
        <v>10</v>
      </c>
      <c r="L116" s="1" t="s">
        <v>268</v>
      </c>
      <c r="M116" s="1" t="s">
        <v>278</v>
      </c>
      <c r="N116" s="1"/>
    </row>
    <row r="117" spans="1:14" x14ac:dyDescent="0.2">
      <c r="A117" t="s">
        <v>282</v>
      </c>
      <c r="B117" s="1" t="s">
        <v>275</v>
      </c>
      <c r="C117" s="1" t="s">
        <v>283</v>
      </c>
      <c r="D117" s="1">
        <v>2023</v>
      </c>
      <c r="E117" s="1">
        <v>12</v>
      </c>
      <c r="F117" s="1" t="s">
        <v>24</v>
      </c>
      <c r="G117" s="4">
        <v>35</v>
      </c>
      <c r="H117" s="1">
        <v>50</v>
      </c>
      <c r="I117" s="10" t="s">
        <v>788</v>
      </c>
      <c r="J117" s="7">
        <v>132</v>
      </c>
      <c r="K117" s="7">
        <f t="shared" si="7"/>
        <v>11</v>
      </c>
      <c r="L117" s="1" t="s">
        <v>268</v>
      </c>
      <c r="M117" s="1" t="s">
        <v>278</v>
      </c>
      <c r="N117" s="1"/>
    </row>
    <row r="118" spans="1:14" x14ac:dyDescent="0.2">
      <c r="A118" t="s">
        <v>276</v>
      </c>
      <c r="B118" s="1" t="s">
        <v>275</v>
      </c>
      <c r="C118" s="1" t="s">
        <v>277</v>
      </c>
      <c r="D118" s="1">
        <v>2020</v>
      </c>
      <c r="E118" s="1">
        <v>12</v>
      </c>
      <c r="F118" s="1" t="s">
        <v>24</v>
      </c>
      <c r="G118" s="4">
        <v>13</v>
      </c>
      <c r="H118" s="1">
        <v>0</v>
      </c>
      <c r="I118" s="1"/>
      <c r="J118" s="7">
        <v>192</v>
      </c>
      <c r="K118" s="7">
        <f t="shared" si="7"/>
        <v>16</v>
      </c>
      <c r="L118" s="1" t="s">
        <v>268</v>
      </c>
      <c r="M118" s="1" t="s">
        <v>278</v>
      </c>
      <c r="N118" s="1"/>
    </row>
    <row r="119" spans="1:14" x14ac:dyDescent="0.2">
      <c r="A119" t="s">
        <v>281</v>
      </c>
      <c r="B119" s="1" t="s">
        <v>275</v>
      </c>
      <c r="C119" s="1" t="s">
        <v>277</v>
      </c>
      <c r="D119" s="1">
        <v>2021</v>
      </c>
      <c r="E119" s="1">
        <v>12</v>
      </c>
      <c r="F119" s="1" t="s">
        <v>24</v>
      </c>
      <c r="G119" s="4">
        <v>5</v>
      </c>
      <c r="H119" s="1">
        <v>0</v>
      </c>
      <c r="I119" s="1"/>
      <c r="J119" s="7">
        <v>196</v>
      </c>
      <c r="K119" s="7">
        <f t="shared" si="7"/>
        <v>16.333333333333332</v>
      </c>
      <c r="L119" s="1" t="s">
        <v>268</v>
      </c>
      <c r="M119" s="1" t="s">
        <v>278</v>
      </c>
      <c r="N119" s="1"/>
    </row>
    <row r="120" spans="1:14" x14ac:dyDescent="0.2">
      <c r="A120" t="s">
        <v>284</v>
      </c>
      <c r="B120" s="1" t="s">
        <v>275</v>
      </c>
      <c r="C120" s="1" t="s">
        <v>277</v>
      </c>
      <c r="D120" s="1">
        <v>2023</v>
      </c>
      <c r="E120" s="1">
        <v>12</v>
      </c>
      <c r="F120" s="1" t="s">
        <v>24</v>
      </c>
      <c r="G120" s="4">
        <v>26</v>
      </c>
      <c r="H120" s="1">
        <v>0</v>
      </c>
      <c r="I120" s="1"/>
      <c r="J120" s="7">
        <v>196</v>
      </c>
      <c r="K120" s="7">
        <f t="shared" si="7"/>
        <v>16.333333333333332</v>
      </c>
      <c r="L120" s="1" t="s">
        <v>268</v>
      </c>
      <c r="M120" s="1" t="s">
        <v>278</v>
      </c>
      <c r="N120" s="1"/>
    </row>
    <row r="121" spans="1:14" x14ac:dyDescent="0.2">
      <c r="A121" t="s">
        <v>285</v>
      </c>
      <c r="B121" s="1" t="s">
        <v>275</v>
      </c>
      <c r="C121" s="1" t="s">
        <v>286</v>
      </c>
      <c r="D121" s="1">
        <v>2022</v>
      </c>
      <c r="E121" s="1">
        <v>6</v>
      </c>
      <c r="F121" s="1" t="s">
        <v>24</v>
      </c>
      <c r="G121" s="4">
        <v>5</v>
      </c>
      <c r="H121" s="1">
        <v>0</v>
      </c>
      <c r="I121" s="1"/>
      <c r="J121" s="7">
        <v>180</v>
      </c>
      <c r="K121" s="7">
        <f t="shared" si="7"/>
        <v>30</v>
      </c>
      <c r="L121" s="1" t="s">
        <v>268</v>
      </c>
      <c r="M121" s="1" t="s">
        <v>278</v>
      </c>
      <c r="N121" s="1" t="s">
        <v>287</v>
      </c>
    </row>
    <row r="122" spans="1:14" x14ac:dyDescent="0.2">
      <c r="A122" s="4">
        <v>1170</v>
      </c>
      <c r="B122" s="4" t="s">
        <v>288</v>
      </c>
      <c r="K122" s="7"/>
    </row>
    <row r="123" spans="1:14" x14ac:dyDescent="0.2">
      <c r="A123" t="s">
        <v>295</v>
      </c>
      <c r="B123" s="1" t="s">
        <v>288</v>
      </c>
      <c r="C123" s="1" t="s">
        <v>296</v>
      </c>
      <c r="D123" s="1">
        <v>2023</v>
      </c>
      <c r="E123" s="1">
        <v>12</v>
      </c>
      <c r="F123" s="1" t="s">
        <v>24</v>
      </c>
      <c r="G123" s="4">
        <v>65</v>
      </c>
      <c r="H123" s="1">
        <v>0</v>
      </c>
      <c r="I123" s="1"/>
      <c r="J123" s="7">
        <v>156</v>
      </c>
      <c r="K123" s="7">
        <f>J123/E123</f>
        <v>13</v>
      </c>
      <c r="L123" s="1" t="s">
        <v>268</v>
      </c>
      <c r="M123" s="1" t="s">
        <v>278</v>
      </c>
      <c r="N123" s="1" t="s">
        <v>297</v>
      </c>
    </row>
    <row r="124" spans="1:14" x14ac:dyDescent="0.2">
      <c r="A124" t="s">
        <v>292</v>
      </c>
      <c r="B124" s="1" t="s">
        <v>288</v>
      </c>
      <c r="C124" s="1" t="s">
        <v>293</v>
      </c>
      <c r="D124" s="1">
        <v>2022</v>
      </c>
      <c r="E124" s="1">
        <v>12</v>
      </c>
      <c r="F124" s="1" t="s">
        <v>24</v>
      </c>
      <c r="G124" s="4">
        <v>19</v>
      </c>
      <c r="H124" s="1">
        <v>0</v>
      </c>
      <c r="I124" s="1"/>
      <c r="J124" s="7">
        <v>212</v>
      </c>
      <c r="K124" s="7">
        <f>J124/E124</f>
        <v>17.666666666666668</v>
      </c>
      <c r="L124" s="1" t="s">
        <v>268</v>
      </c>
      <c r="M124" s="1" t="s">
        <v>278</v>
      </c>
      <c r="N124" s="1" t="s">
        <v>294</v>
      </c>
    </row>
    <row r="125" spans="1:14" x14ac:dyDescent="0.2">
      <c r="A125" t="s">
        <v>289</v>
      </c>
      <c r="B125" s="1" t="s">
        <v>288</v>
      </c>
      <c r="C125" s="1" t="s">
        <v>290</v>
      </c>
      <c r="D125" s="1">
        <v>2022</v>
      </c>
      <c r="E125" s="1">
        <v>12</v>
      </c>
      <c r="F125" s="1" t="s">
        <v>24</v>
      </c>
      <c r="G125" s="4">
        <v>21</v>
      </c>
      <c r="H125" s="1">
        <v>0</v>
      </c>
      <c r="I125" s="1"/>
      <c r="J125" s="7">
        <v>232</v>
      </c>
      <c r="K125" s="7">
        <f>J125/E125</f>
        <v>19.333333333333332</v>
      </c>
      <c r="L125" s="1" t="s">
        <v>268</v>
      </c>
      <c r="M125" s="1" t="s">
        <v>278</v>
      </c>
      <c r="N125" s="1" t="s">
        <v>291</v>
      </c>
    </row>
    <row r="126" spans="1:14" x14ac:dyDescent="0.2">
      <c r="A126" t="s">
        <v>298</v>
      </c>
      <c r="B126" s="1" t="s">
        <v>288</v>
      </c>
      <c r="C126" s="1" t="s">
        <v>299</v>
      </c>
      <c r="D126" s="1">
        <v>2022</v>
      </c>
      <c r="E126" s="1">
        <v>6</v>
      </c>
      <c r="F126" s="1" t="s">
        <v>24</v>
      </c>
      <c r="G126" s="4">
        <v>8</v>
      </c>
      <c r="H126" s="1">
        <v>0</v>
      </c>
      <c r="I126" s="1"/>
      <c r="J126" s="7">
        <v>250</v>
      </c>
      <c r="K126" s="7">
        <f>J126/E126</f>
        <v>41.666666666666664</v>
      </c>
      <c r="L126" s="1" t="s">
        <v>268</v>
      </c>
      <c r="M126" s="1" t="s">
        <v>278</v>
      </c>
      <c r="N126" s="1" t="s">
        <v>300</v>
      </c>
    </row>
    <row r="127" spans="1:14" x14ac:dyDescent="0.2">
      <c r="A127" s="4">
        <v>1220</v>
      </c>
      <c r="B127" s="4" t="s">
        <v>301</v>
      </c>
      <c r="K127" s="7"/>
    </row>
    <row r="128" spans="1:14" x14ac:dyDescent="0.2">
      <c r="A128" t="s">
        <v>311</v>
      </c>
      <c r="B128" s="1" t="s">
        <v>301</v>
      </c>
      <c r="C128" s="1" t="s">
        <v>312</v>
      </c>
      <c r="D128" s="1">
        <v>2023</v>
      </c>
      <c r="E128" s="1">
        <v>12</v>
      </c>
      <c r="F128" s="1" t="s">
        <v>24</v>
      </c>
      <c r="G128" s="4">
        <v>53</v>
      </c>
      <c r="H128" s="1">
        <v>0</v>
      </c>
      <c r="I128" s="1"/>
      <c r="J128" s="7">
        <v>136</v>
      </c>
      <c r="K128" s="7">
        <f t="shared" ref="K128:K133" si="8">J128/E128</f>
        <v>11.333333333333334</v>
      </c>
      <c r="L128" s="1" t="s">
        <v>304</v>
      </c>
      <c r="M128" s="1" t="s">
        <v>305</v>
      </c>
      <c r="N128" s="1"/>
    </row>
    <row r="129" spans="1:14" x14ac:dyDescent="0.2">
      <c r="A129" t="s">
        <v>302</v>
      </c>
      <c r="B129" s="1" t="s">
        <v>301</v>
      </c>
      <c r="C129" s="1" t="s">
        <v>303</v>
      </c>
      <c r="D129" s="1">
        <v>2021</v>
      </c>
      <c r="E129" s="1">
        <v>12</v>
      </c>
      <c r="F129" s="1" t="s">
        <v>24</v>
      </c>
      <c r="G129" s="4">
        <v>21</v>
      </c>
      <c r="H129" s="1">
        <v>0</v>
      </c>
      <c r="I129" s="1"/>
      <c r="J129" s="7">
        <v>148</v>
      </c>
      <c r="K129" s="7">
        <f t="shared" si="8"/>
        <v>12.333333333333334</v>
      </c>
      <c r="L129" s="1" t="s">
        <v>304</v>
      </c>
      <c r="M129" s="1" t="s">
        <v>305</v>
      </c>
      <c r="N129" s="1" t="s">
        <v>306</v>
      </c>
    </row>
    <row r="130" spans="1:14" x14ac:dyDescent="0.2">
      <c r="A130" t="s">
        <v>313</v>
      </c>
      <c r="B130" s="1" t="s">
        <v>301</v>
      </c>
      <c r="C130" s="1" t="s">
        <v>314</v>
      </c>
      <c r="D130" s="1">
        <v>2023</v>
      </c>
      <c r="E130" s="1">
        <v>12</v>
      </c>
      <c r="F130" s="1" t="s">
        <v>24</v>
      </c>
      <c r="G130" s="4">
        <v>89</v>
      </c>
      <c r="H130" s="1">
        <v>0</v>
      </c>
      <c r="I130" s="1"/>
      <c r="J130" s="7">
        <v>152</v>
      </c>
      <c r="K130" s="7">
        <f t="shared" si="8"/>
        <v>12.666666666666666</v>
      </c>
      <c r="L130" s="1" t="s">
        <v>304</v>
      </c>
      <c r="M130" s="1" t="s">
        <v>305</v>
      </c>
      <c r="N130" s="1" t="s">
        <v>63</v>
      </c>
    </row>
    <row r="131" spans="1:14" x14ac:dyDescent="0.2">
      <c r="A131" t="s">
        <v>309</v>
      </c>
      <c r="B131" s="1" t="s">
        <v>301</v>
      </c>
      <c r="C131" s="1" t="s">
        <v>310</v>
      </c>
      <c r="D131" s="1">
        <v>2022</v>
      </c>
      <c r="E131" s="1">
        <v>12</v>
      </c>
      <c r="F131" s="1" t="s">
        <v>24</v>
      </c>
      <c r="G131" s="4">
        <v>15</v>
      </c>
      <c r="H131" s="1">
        <v>0</v>
      </c>
      <c r="I131" s="1"/>
      <c r="J131" s="7">
        <v>296</v>
      </c>
      <c r="K131" s="7">
        <f t="shared" si="8"/>
        <v>24.666666666666668</v>
      </c>
      <c r="L131" s="1" t="s">
        <v>304</v>
      </c>
      <c r="M131" s="1" t="s">
        <v>305</v>
      </c>
      <c r="N131" s="1" t="s">
        <v>148</v>
      </c>
    </row>
    <row r="132" spans="1:14" x14ac:dyDescent="0.2">
      <c r="A132" t="s">
        <v>307</v>
      </c>
      <c r="B132" s="1" t="s">
        <v>301</v>
      </c>
      <c r="C132" s="1" t="s">
        <v>308</v>
      </c>
      <c r="D132" s="1">
        <v>2022</v>
      </c>
      <c r="E132" s="1">
        <v>12</v>
      </c>
      <c r="F132" s="1" t="s">
        <v>24</v>
      </c>
      <c r="G132" s="4">
        <v>15</v>
      </c>
      <c r="H132" s="1">
        <v>0</v>
      </c>
      <c r="I132" s="1"/>
      <c r="J132" s="7">
        <v>296</v>
      </c>
      <c r="K132" s="7">
        <f t="shared" si="8"/>
        <v>24.666666666666668</v>
      </c>
      <c r="L132" s="1" t="s">
        <v>304</v>
      </c>
      <c r="M132" s="1" t="s">
        <v>305</v>
      </c>
      <c r="N132" s="1" t="s">
        <v>148</v>
      </c>
    </row>
    <row r="133" spans="1:14" x14ac:dyDescent="0.2">
      <c r="A133" t="s">
        <v>315</v>
      </c>
      <c r="B133" s="1" t="s">
        <v>301</v>
      </c>
      <c r="C133" s="1" t="s">
        <v>316</v>
      </c>
      <c r="D133" s="1">
        <v>2023</v>
      </c>
      <c r="E133" s="1">
        <v>6</v>
      </c>
      <c r="F133" s="1" t="s">
        <v>24</v>
      </c>
      <c r="G133" s="4">
        <v>10</v>
      </c>
      <c r="H133" s="1">
        <v>0</v>
      </c>
      <c r="I133" s="1"/>
      <c r="J133" s="7">
        <v>260</v>
      </c>
      <c r="K133" s="7">
        <f t="shared" si="8"/>
        <v>43.333333333333336</v>
      </c>
      <c r="L133" s="1" t="s">
        <v>304</v>
      </c>
      <c r="M133" s="1" t="s">
        <v>305</v>
      </c>
      <c r="N133" s="1"/>
    </row>
    <row r="134" spans="1:14" x14ac:dyDescent="0.2">
      <c r="A134" s="4">
        <v>1520</v>
      </c>
      <c r="B134" s="4" t="s">
        <v>317</v>
      </c>
      <c r="K134" s="7"/>
    </row>
    <row r="135" spans="1:14" x14ac:dyDescent="0.2">
      <c r="A135" t="s">
        <v>318</v>
      </c>
      <c r="B135" s="1" t="s">
        <v>317</v>
      </c>
      <c r="C135" s="1" t="s">
        <v>319</v>
      </c>
      <c r="D135" s="1">
        <v>2020</v>
      </c>
      <c r="E135" s="1">
        <v>12</v>
      </c>
      <c r="F135" s="1" t="s">
        <v>24</v>
      </c>
      <c r="G135" s="4">
        <v>14</v>
      </c>
      <c r="H135" s="1">
        <v>0</v>
      </c>
      <c r="I135" s="1"/>
      <c r="J135" s="7">
        <v>192</v>
      </c>
      <c r="K135" s="7">
        <f>J135/E135</f>
        <v>16</v>
      </c>
      <c r="L135" s="1" t="s">
        <v>320</v>
      </c>
      <c r="M135" s="1" t="s">
        <v>321</v>
      </c>
      <c r="N135" s="1" t="s">
        <v>322</v>
      </c>
    </row>
    <row r="136" spans="1:14" x14ac:dyDescent="0.2">
      <c r="A136" t="s">
        <v>323</v>
      </c>
      <c r="B136" s="1" t="s">
        <v>317</v>
      </c>
      <c r="C136" s="1" t="s">
        <v>324</v>
      </c>
      <c r="D136" s="1">
        <v>2020</v>
      </c>
      <c r="E136" s="1">
        <v>12</v>
      </c>
      <c r="F136" s="1" t="s">
        <v>24</v>
      </c>
      <c r="G136" s="4">
        <v>21</v>
      </c>
      <c r="H136" s="1">
        <v>0</v>
      </c>
      <c r="I136" s="1"/>
      <c r="J136" s="7">
        <v>224</v>
      </c>
      <c r="K136" s="7">
        <f>J136/E136</f>
        <v>18.666666666666668</v>
      </c>
      <c r="L136" s="1" t="s">
        <v>320</v>
      </c>
      <c r="M136" s="1" t="s">
        <v>321</v>
      </c>
      <c r="N136" s="1" t="s">
        <v>63</v>
      </c>
    </row>
    <row r="137" spans="1:14" x14ac:dyDescent="0.2">
      <c r="A137" t="s">
        <v>325</v>
      </c>
      <c r="B137" s="1" t="s">
        <v>317</v>
      </c>
      <c r="C137" s="1" t="s">
        <v>326</v>
      </c>
      <c r="D137" s="1">
        <v>2020</v>
      </c>
      <c r="E137" s="1">
        <v>12</v>
      </c>
      <c r="F137" s="1" t="s">
        <v>24</v>
      </c>
      <c r="G137" s="4">
        <v>10</v>
      </c>
      <c r="H137" s="1">
        <v>0</v>
      </c>
      <c r="I137" s="1"/>
      <c r="J137" s="7">
        <v>320</v>
      </c>
      <c r="K137" s="7">
        <f>J137/E137</f>
        <v>26.666666666666668</v>
      </c>
      <c r="L137" s="1" t="s">
        <v>320</v>
      </c>
      <c r="M137" s="1" t="s">
        <v>321</v>
      </c>
      <c r="N137" s="1" t="s">
        <v>327</v>
      </c>
    </row>
    <row r="138" spans="1:14" x14ac:dyDescent="0.2">
      <c r="A138" t="s">
        <v>328</v>
      </c>
      <c r="B138" s="1" t="s">
        <v>317</v>
      </c>
      <c r="C138" s="1" t="s">
        <v>329</v>
      </c>
      <c r="D138" s="1">
        <v>2020</v>
      </c>
      <c r="E138" s="1">
        <v>6</v>
      </c>
      <c r="F138" s="1" t="s">
        <v>24</v>
      </c>
      <c r="G138" s="4">
        <v>5</v>
      </c>
      <c r="H138" s="1">
        <v>0</v>
      </c>
      <c r="I138" s="1"/>
      <c r="J138" s="7">
        <v>300</v>
      </c>
      <c r="K138" s="7">
        <f>J138/E138</f>
        <v>50</v>
      </c>
      <c r="L138" s="1" t="s">
        <v>320</v>
      </c>
      <c r="M138" s="1" t="s">
        <v>321</v>
      </c>
      <c r="N138" s="1" t="s">
        <v>330</v>
      </c>
    </row>
    <row r="139" spans="1:14" x14ac:dyDescent="0.2">
      <c r="A139" s="4">
        <v>1540</v>
      </c>
      <c r="B139" s="4" t="s">
        <v>331</v>
      </c>
      <c r="K139" s="7"/>
    </row>
    <row r="140" spans="1:14" x14ac:dyDescent="0.2">
      <c r="A140" t="s">
        <v>332</v>
      </c>
      <c r="B140" s="1" t="s">
        <v>331</v>
      </c>
      <c r="C140" s="1" t="s">
        <v>333</v>
      </c>
      <c r="D140" s="1">
        <v>2021</v>
      </c>
      <c r="E140" s="1">
        <v>12</v>
      </c>
      <c r="F140" s="1" t="s">
        <v>24</v>
      </c>
      <c r="G140" s="4">
        <v>4</v>
      </c>
      <c r="H140" s="1">
        <v>0</v>
      </c>
      <c r="I140" s="1"/>
      <c r="J140" s="7">
        <v>184</v>
      </c>
      <c r="K140" s="7">
        <f t="shared" ref="K140:K151" si="9">J140/E140</f>
        <v>15.333333333333334</v>
      </c>
      <c r="L140" s="1" t="s">
        <v>334</v>
      </c>
      <c r="M140" s="1"/>
      <c r="N140" s="1"/>
    </row>
    <row r="141" spans="1:14" x14ac:dyDescent="0.2">
      <c r="A141" t="s">
        <v>349</v>
      </c>
      <c r="B141" s="1" t="s">
        <v>331</v>
      </c>
      <c r="C141" s="1" t="s">
        <v>333</v>
      </c>
      <c r="D141" s="1">
        <v>2022</v>
      </c>
      <c r="E141" s="1">
        <v>12</v>
      </c>
      <c r="F141" s="1" t="s">
        <v>24</v>
      </c>
      <c r="G141" s="4">
        <v>49</v>
      </c>
      <c r="H141" s="1">
        <v>0</v>
      </c>
      <c r="I141" s="1"/>
      <c r="J141" s="7">
        <v>188</v>
      </c>
      <c r="K141" s="7">
        <f t="shared" si="9"/>
        <v>15.666666666666666</v>
      </c>
      <c r="L141" s="1" t="s">
        <v>334</v>
      </c>
      <c r="M141" s="1"/>
      <c r="N141" s="1" t="s">
        <v>102</v>
      </c>
    </row>
    <row r="142" spans="1:14" x14ac:dyDescent="0.2">
      <c r="A142" t="s">
        <v>335</v>
      </c>
      <c r="B142" s="1" t="s">
        <v>331</v>
      </c>
      <c r="C142" s="1" t="s">
        <v>336</v>
      </c>
      <c r="D142" s="1">
        <v>2021</v>
      </c>
      <c r="E142" s="1">
        <v>12</v>
      </c>
      <c r="F142" s="1" t="s">
        <v>24</v>
      </c>
      <c r="G142" s="4">
        <v>6</v>
      </c>
      <c r="H142" s="1">
        <v>0</v>
      </c>
      <c r="I142" s="1"/>
      <c r="J142" s="7">
        <v>264</v>
      </c>
      <c r="K142" s="7">
        <f t="shared" si="9"/>
        <v>22</v>
      </c>
      <c r="L142" s="1" t="s">
        <v>334</v>
      </c>
      <c r="M142" s="1"/>
      <c r="N142" s="1" t="s">
        <v>148</v>
      </c>
    </row>
    <row r="143" spans="1:14" x14ac:dyDescent="0.2">
      <c r="A143" t="s">
        <v>337</v>
      </c>
      <c r="B143" s="1" t="s">
        <v>331</v>
      </c>
      <c r="C143" s="1" t="s">
        <v>338</v>
      </c>
      <c r="D143" s="1">
        <v>2021</v>
      </c>
      <c r="E143" s="1">
        <v>12</v>
      </c>
      <c r="F143" s="1" t="s">
        <v>24</v>
      </c>
      <c r="G143" s="4">
        <v>15</v>
      </c>
      <c r="H143" s="1">
        <v>0</v>
      </c>
      <c r="I143" s="1"/>
      <c r="J143" s="7">
        <v>264</v>
      </c>
      <c r="K143" s="7">
        <f t="shared" si="9"/>
        <v>22</v>
      </c>
      <c r="L143" s="1" t="s">
        <v>334</v>
      </c>
      <c r="M143" s="1"/>
      <c r="N143" s="1" t="s">
        <v>339</v>
      </c>
    </row>
    <row r="144" spans="1:14" x14ac:dyDescent="0.2">
      <c r="A144" t="s">
        <v>350</v>
      </c>
      <c r="B144" s="1" t="s">
        <v>331</v>
      </c>
      <c r="C144" s="1" t="s">
        <v>338</v>
      </c>
      <c r="D144" s="1">
        <v>2022</v>
      </c>
      <c r="E144" s="1">
        <v>12</v>
      </c>
      <c r="F144" s="1" t="s">
        <v>24</v>
      </c>
      <c r="G144" s="4">
        <v>15</v>
      </c>
      <c r="H144" s="1">
        <v>0</v>
      </c>
      <c r="I144" s="1"/>
      <c r="J144" s="7">
        <v>292</v>
      </c>
      <c r="K144" s="7">
        <f t="shared" si="9"/>
        <v>24.333333333333332</v>
      </c>
      <c r="L144" s="1" t="s">
        <v>334</v>
      </c>
      <c r="M144" s="1"/>
      <c r="N144" s="1" t="s">
        <v>63</v>
      </c>
    </row>
    <row r="145" spans="1:14" x14ac:dyDescent="0.2">
      <c r="A145" t="s">
        <v>344</v>
      </c>
      <c r="B145" s="1" t="s">
        <v>331</v>
      </c>
      <c r="C145" s="1" t="s">
        <v>345</v>
      </c>
      <c r="D145" s="1">
        <v>2020</v>
      </c>
      <c r="E145" s="1">
        <v>6</v>
      </c>
      <c r="F145" s="1" t="s">
        <v>24</v>
      </c>
      <c r="G145" s="4">
        <v>16</v>
      </c>
      <c r="H145" s="1">
        <v>0</v>
      </c>
      <c r="I145" s="1"/>
      <c r="J145" s="7">
        <v>156</v>
      </c>
      <c r="K145" s="7">
        <f t="shared" si="9"/>
        <v>26</v>
      </c>
      <c r="L145" s="1" t="s">
        <v>334</v>
      </c>
      <c r="M145" s="1"/>
      <c r="N145" s="1"/>
    </row>
    <row r="146" spans="1:14" x14ac:dyDescent="0.2">
      <c r="A146" t="s">
        <v>340</v>
      </c>
      <c r="B146" s="1" t="s">
        <v>331</v>
      </c>
      <c r="C146" s="1" t="s">
        <v>341</v>
      </c>
      <c r="D146" s="1">
        <v>2021</v>
      </c>
      <c r="E146" s="1">
        <v>6</v>
      </c>
      <c r="F146" s="1" t="s">
        <v>24</v>
      </c>
      <c r="G146" s="4">
        <v>6</v>
      </c>
      <c r="H146" s="1">
        <v>0</v>
      </c>
      <c r="I146" s="1"/>
      <c r="J146" s="7">
        <v>194</v>
      </c>
      <c r="K146" s="7">
        <f t="shared" si="9"/>
        <v>32.333333333333336</v>
      </c>
      <c r="L146" s="1" t="s">
        <v>334</v>
      </c>
      <c r="M146" s="1"/>
      <c r="N146" s="1" t="s">
        <v>148</v>
      </c>
    </row>
    <row r="147" spans="1:14" x14ac:dyDescent="0.2">
      <c r="A147" t="s">
        <v>351</v>
      </c>
      <c r="B147" s="1" t="s">
        <v>331</v>
      </c>
      <c r="C147" s="1" t="s">
        <v>341</v>
      </c>
      <c r="D147" s="1">
        <v>2022</v>
      </c>
      <c r="E147" s="1">
        <v>6</v>
      </c>
      <c r="F147" s="1" t="s">
        <v>24</v>
      </c>
      <c r="G147" s="4">
        <v>10</v>
      </c>
      <c r="H147" s="1">
        <v>0</v>
      </c>
      <c r="I147" s="1"/>
      <c r="J147" s="7">
        <v>200</v>
      </c>
      <c r="K147" s="7">
        <f t="shared" si="9"/>
        <v>33.333333333333336</v>
      </c>
      <c r="L147" s="1" t="s">
        <v>334</v>
      </c>
      <c r="M147" s="1"/>
      <c r="N147" s="1"/>
    </row>
    <row r="148" spans="1:14" x14ac:dyDescent="0.2">
      <c r="A148" t="s">
        <v>342</v>
      </c>
      <c r="B148" s="1" t="s">
        <v>331</v>
      </c>
      <c r="C148" s="1" t="s">
        <v>343</v>
      </c>
      <c r="D148" s="1">
        <v>2021</v>
      </c>
      <c r="E148" s="1">
        <v>6</v>
      </c>
      <c r="F148" s="1" t="s">
        <v>24</v>
      </c>
      <c r="G148" s="4">
        <v>5</v>
      </c>
      <c r="H148" s="1">
        <v>0</v>
      </c>
      <c r="I148" s="1"/>
      <c r="J148" s="7">
        <v>216</v>
      </c>
      <c r="K148" s="7">
        <f t="shared" si="9"/>
        <v>36</v>
      </c>
      <c r="L148" s="1" t="s">
        <v>334</v>
      </c>
      <c r="M148" s="1"/>
      <c r="N148" s="1" t="s">
        <v>148</v>
      </c>
    </row>
    <row r="149" spans="1:14" x14ac:dyDescent="0.2">
      <c r="A149" t="s">
        <v>352</v>
      </c>
      <c r="B149" s="1" t="s">
        <v>331</v>
      </c>
      <c r="C149" s="1" t="s">
        <v>343</v>
      </c>
      <c r="D149" s="1">
        <v>2022</v>
      </c>
      <c r="E149" s="1">
        <v>6</v>
      </c>
      <c r="F149" s="1" t="s">
        <v>24</v>
      </c>
      <c r="G149" s="4">
        <v>10</v>
      </c>
      <c r="H149" s="1">
        <v>0</v>
      </c>
      <c r="I149" s="1"/>
      <c r="J149" s="7">
        <v>234</v>
      </c>
      <c r="K149" s="7">
        <f t="shared" si="9"/>
        <v>39</v>
      </c>
      <c r="L149" s="1" t="s">
        <v>334</v>
      </c>
      <c r="M149" s="1"/>
      <c r="N149" s="1" t="s">
        <v>148</v>
      </c>
    </row>
    <row r="150" spans="1:14" x14ac:dyDescent="0.2">
      <c r="A150" t="s">
        <v>346</v>
      </c>
      <c r="B150" s="1" t="s">
        <v>331</v>
      </c>
      <c r="C150" s="1" t="s">
        <v>347</v>
      </c>
      <c r="D150" s="1">
        <v>2021</v>
      </c>
      <c r="E150" s="1">
        <v>6</v>
      </c>
      <c r="F150" s="1" t="s">
        <v>24</v>
      </c>
      <c r="G150" s="4">
        <v>5</v>
      </c>
      <c r="H150" s="1">
        <v>0</v>
      </c>
      <c r="I150" s="1"/>
      <c r="J150" s="7">
        <v>250</v>
      </c>
      <c r="K150" s="7">
        <f t="shared" si="9"/>
        <v>41.666666666666664</v>
      </c>
      <c r="L150" s="1" t="s">
        <v>334</v>
      </c>
      <c r="M150" s="1"/>
      <c r="N150" s="1" t="s">
        <v>348</v>
      </c>
    </row>
    <row r="151" spans="1:14" x14ac:dyDescent="0.2">
      <c r="A151" t="s">
        <v>353</v>
      </c>
      <c r="B151" s="1" t="s">
        <v>331</v>
      </c>
      <c r="C151" s="1" t="s">
        <v>347</v>
      </c>
      <c r="D151" s="1">
        <v>2022</v>
      </c>
      <c r="E151" s="1">
        <v>6</v>
      </c>
      <c r="F151" s="1" t="s">
        <v>24</v>
      </c>
      <c r="G151" s="4">
        <v>10</v>
      </c>
      <c r="H151" s="1">
        <v>0</v>
      </c>
      <c r="I151" s="1"/>
      <c r="J151" s="7">
        <v>256</v>
      </c>
      <c r="K151" s="7">
        <f t="shared" si="9"/>
        <v>42.666666666666664</v>
      </c>
      <c r="L151" s="1" t="s">
        <v>334</v>
      </c>
      <c r="M151" s="1"/>
      <c r="N151" s="1"/>
    </row>
    <row r="152" spans="1:14" x14ac:dyDescent="0.2">
      <c r="A152" s="4">
        <v>1710</v>
      </c>
      <c r="B152" s="4" t="s">
        <v>354</v>
      </c>
      <c r="K152" s="7"/>
    </row>
    <row r="153" spans="1:14" x14ac:dyDescent="0.2">
      <c r="A153" t="s">
        <v>355</v>
      </c>
      <c r="B153" s="1" t="s">
        <v>354</v>
      </c>
      <c r="C153" s="1" t="s">
        <v>356</v>
      </c>
      <c r="D153" s="1">
        <v>2021</v>
      </c>
      <c r="E153" s="1">
        <v>6</v>
      </c>
      <c r="F153" s="1" t="s">
        <v>24</v>
      </c>
      <c r="G153" s="4">
        <v>24</v>
      </c>
      <c r="H153" s="1">
        <v>0</v>
      </c>
      <c r="I153" s="1"/>
      <c r="J153" s="7">
        <v>194</v>
      </c>
      <c r="K153" s="7">
        <f t="shared" ref="K153:K181" si="10">J153/E153</f>
        <v>32.333333333333336</v>
      </c>
      <c r="L153" s="1" t="s">
        <v>237</v>
      </c>
      <c r="M153" s="1"/>
      <c r="N153" s="1"/>
    </row>
    <row r="154" spans="1:14" x14ac:dyDescent="0.2">
      <c r="A154" t="s">
        <v>357</v>
      </c>
      <c r="B154" s="1" t="s">
        <v>354</v>
      </c>
      <c r="C154" s="1" t="s">
        <v>358</v>
      </c>
      <c r="D154" s="1">
        <v>2021</v>
      </c>
      <c r="E154" s="1">
        <v>6</v>
      </c>
      <c r="F154" s="1" t="s">
        <v>24</v>
      </c>
      <c r="G154" s="4">
        <v>14</v>
      </c>
      <c r="H154" s="1">
        <v>0</v>
      </c>
      <c r="I154" s="1"/>
      <c r="J154" s="7">
        <v>194</v>
      </c>
      <c r="K154" s="7">
        <f t="shared" si="10"/>
        <v>32.333333333333336</v>
      </c>
      <c r="L154" s="1" t="s">
        <v>237</v>
      </c>
      <c r="M154" s="1"/>
      <c r="N154" s="1"/>
    </row>
    <row r="155" spans="1:14" x14ac:dyDescent="0.2">
      <c r="A155" s="4">
        <v>1750</v>
      </c>
      <c r="B155" s="4" t="s">
        <v>359</v>
      </c>
      <c r="K155" s="7"/>
    </row>
    <row r="156" spans="1:14" x14ac:dyDescent="0.2">
      <c r="A156" t="s">
        <v>790</v>
      </c>
      <c r="B156" s="1" t="s">
        <v>359</v>
      </c>
      <c r="C156" s="1" t="s">
        <v>793</v>
      </c>
      <c r="D156" s="1">
        <v>2024</v>
      </c>
      <c r="E156" s="1">
        <v>12</v>
      </c>
      <c r="F156" s="1" t="s">
        <v>24</v>
      </c>
      <c r="G156" s="4">
        <v>0</v>
      </c>
      <c r="H156" s="1">
        <v>200</v>
      </c>
      <c r="I156" s="10" t="s">
        <v>788</v>
      </c>
      <c r="J156" s="7">
        <v>112</v>
      </c>
      <c r="K156" s="7">
        <f>J156/E156</f>
        <v>9.3333333333333339</v>
      </c>
      <c r="L156" s="1" t="s">
        <v>796</v>
      </c>
      <c r="N156" s="1"/>
    </row>
    <row r="157" spans="1:14" x14ac:dyDescent="0.2">
      <c r="A157" t="s">
        <v>789</v>
      </c>
      <c r="B157" s="1" t="s">
        <v>359</v>
      </c>
      <c r="C157" s="1" t="s">
        <v>254</v>
      </c>
      <c r="D157" s="1">
        <v>2024</v>
      </c>
      <c r="E157" s="1">
        <v>12</v>
      </c>
      <c r="F157" s="1" t="s">
        <v>24</v>
      </c>
      <c r="G157" s="4">
        <v>0</v>
      </c>
      <c r="H157" s="1">
        <v>200</v>
      </c>
      <c r="I157" s="10" t="s">
        <v>788</v>
      </c>
      <c r="J157" s="7">
        <v>112</v>
      </c>
      <c r="K157" s="7">
        <f>J157/E157</f>
        <v>9.3333333333333339</v>
      </c>
      <c r="L157" s="1" t="s">
        <v>796</v>
      </c>
      <c r="N157" s="1" t="s">
        <v>97</v>
      </c>
    </row>
    <row r="158" spans="1:14" x14ac:dyDescent="0.2">
      <c r="A158" t="s">
        <v>791</v>
      </c>
      <c r="B158" s="1" t="s">
        <v>359</v>
      </c>
      <c r="C158" s="1" t="s">
        <v>795</v>
      </c>
      <c r="D158" s="1">
        <v>2024</v>
      </c>
      <c r="E158" s="1">
        <v>12</v>
      </c>
      <c r="F158" s="1" t="s">
        <v>24</v>
      </c>
      <c r="G158" s="4">
        <v>0</v>
      </c>
      <c r="H158" s="1">
        <v>25</v>
      </c>
      <c r="I158" s="10" t="s">
        <v>788</v>
      </c>
      <c r="J158" s="7">
        <v>180</v>
      </c>
      <c r="K158" s="7">
        <f>J158/E158</f>
        <v>15</v>
      </c>
      <c r="L158" s="1" t="s">
        <v>796</v>
      </c>
      <c r="N158" s="1" t="s">
        <v>476</v>
      </c>
    </row>
    <row r="159" spans="1:14" x14ac:dyDescent="0.2">
      <c r="A159" t="s">
        <v>792</v>
      </c>
      <c r="B159" s="1" t="s">
        <v>359</v>
      </c>
      <c r="C159" s="1" t="s">
        <v>794</v>
      </c>
      <c r="D159" s="1">
        <v>2024</v>
      </c>
      <c r="E159" s="1">
        <v>6</v>
      </c>
      <c r="F159" s="1" t="s">
        <v>24</v>
      </c>
      <c r="G159" s="4">
        <v>0</v>
      </c>
      <c r="H159" s="1">
        <v>25</v>
      </c>
      <c r="I159" s="10" t="s">
        <v>788</v>
      </c>
      <c r="J159" s="7">
        <v>170</v>
      </c>
      <c r="K159" s="7">
        <f>J159/E159</f>
        <v>28.333333333333332</v>
      </c>
      <c r="L159" s="1" t="s">
        <v>796</v>
      </c>
      <c r="N159" s="1" t="s">
        <v>287</v>
      </c>
    </row>
    <row r="160" spans="1:14" x14ac:dyDescent="0.2">
      <c r="A160" s="4" t="s">
        <v>360</v>
      </c>
      <c r="B160" s="4" t="s">
        <v>361</v>
      </c>
      <c r="K160" s="7"/>
    </row>
    <row r="161" spans="1:14" x14ac:dyDescent="0.2">
      <c r="A161" s="4">
        <v>1040</v>
      </c>
      <c r="B161" s="4" t="s">
        <v>362</v>
      </c>
      <c r="K161" s="7"/>
    </row>
    <row r="162" spans="1:14" x14ac:dyDescent="0.2">
      <c r="A162" t="s">
        <v>363</v>
      </c>
      <c r="B162" s="1" t="s">
        <v>362</v>
      </c>
      <c r="C162" s="1" t="s">
        <v>364</v>
      </c>
      <c r="D162" s="1" t="s">
        <v>200</v>
      </c>
      <c r="E162" s="1">
        <v>12</v>
      </c>
      <c r="F162" s="1" t="s">
        <v>24</v>
      </c>
      <c r="G162" s="4">
        <v>131</v>
      </c>
      <c r="H162" s="1">
        <v>0</v>
      </c>
      <c r="I162" s="1"/>
      <c r="J162" s="7">
        <v>508</v>
      </c>
      <c r="K162" s="7">
        <f t="shared" ref="K162:K179" si="11">J162/E162</f>
        <v>42.333333333333336</v>
      </c>
      <c r="L162" s="1" t="s">
        <v>365</v>
      </c>
      <c r="M162" s="1" t="s">
        <v>366</v>
      </c>
      <c r="N162" s="1"/>
    </row>
    <row r="163" spans="1:14" x14ac:dyDescent="0.2">
      <c r="A163" t="s">
        <v>390</v>
      </c>
      <c r="B163" s="1" t="s">
        <v>362</v>
      </c>
      <c r="C163" s="1" t="s">
        <v>391</v>
      </c>
      <c r="D163" s="1" t="s">
        <v>200</v>
      </c>
      <c r="E163" s="1">
        <v>12</v>
      </c>
      <c r="F163" s="1" t="s">
        <v>24</v>
      </c>
      <c r="G163" s="4">
        <v>13</v>
      </c>
      <c r="H163" s="1">
        <v>0</v>
      </c>
      <c r="I163" s="1"/>
      <c r="J163" s="7">
        <v>552</v>
      </c>
      <c r="K163" s="7">
        <f t="shared" si="11"/>
        <v>46</v>
      </c>
      <c r="L163" s="1" t="s">
        <v>365</v>
      </c>
      <c r="M163" s="1" t="s">
        <v>366</v>
      </c>
      <c r="N163" s="1" t="s">
        <v>392</v>
      </c>
    </row>
    <row r="164" spans="1:14" x14ac:dyDescent="0.2">
      <c r="A164" t="s">
        <v>387</v>
      </c>
      <c r="B164" s="1" t="s">
        <v>362</v>
      </c>
      <c r="C164" s="1" t="s">
        <v>388</v>
      </c>
      <c r="D164" s="1">
        <v>2020</v>
      </c>
      <c r="E164" s="1">
        <v>6</v>
      </c>
      <c r="F164" s="1" t="s">
        <v>24</v>
      </c>
      <c r="G164" s="4">
        <v>24</v>
      </c>
      <c r="H164" s="1">
        <v>0</v>
      </c>
      <c r="I164" s="1"/>
      <c r="J164" s="7">
        <v>286</v>
      </c>
      <c r="K164" s="7">
        <f t="shared" si="11"/>
        <v>47.666666666666664</v>
      </c>
      <c r="L164" s="1" t="s">
        <v>365</v>
      </c>
      <c r="M164" s="1" t="s">
        <v>366</v>
      </c>
      <c r="N164" s="1"/>
    </row>
    <row r="165" spans="1:14" x14ac:dyDescent="0.2">
      <c r="A165" t="s">
        <v>393</v>
      </c>
      <c r="B165" s="1" t="s">
        <v>362</v>
      </c>
      <c r="C165" s="1" t="s">
        <v>394</v>
      </c>
      <c r="D165" s="1" t="s">
        <v>200</v>
      </c>
      <c r="E165" s="1">
        <v>12</v>
      </c>
      <c r="F165" s="1" t="s">
        <v>24</v>
      </c>
      <c r="G165" s="4">
        <v>50</v>
      </c>
      <c r="H165" s="1">
        <v>0</v>
      </c>
      <c r="I165" s="1"/>
      <c r="J165" s="7">
        <v>640</v>
      </c>
      <c r="K165" s="7">
        <f t="shared" si="11"/>
        <v>53.333333333333336</v>
      </c>
      <c r="L165" s="1" t="s">
        <v>365</v>
      </c>
      <c r="M165" s="1" t="s">
        <v>366</v>
      </c>
      <c r="N165" s="1"/>
    </row>
    <row r="166" spans="1:14" x14ac:dyDescent="0.2">
      <c r="A166" t="s">
        <v>384</v>
      </c>
      <c r="B166" s="1" t="s">
        <v>362</v>
      </c>
      <c r="C166" s="1" t="s">
        <v>385</v>
      </c>
      <c r="D166" s="1">
        <v>2019</v>
      </c>
      <c r="E166" s="1">
        <v>6</v>
      </c>
      <c r="F166" s="1" t="s">
        <v>24</v>
      </c>
      <c r="G166" s="4">
        <v>19</v>
      </c>
      <c r="H166" s="1">
        <v>0</v>
      </c>
      <c r="I166" s="1"/>
      <c r="J166" s="7">
        <v>348</v>
      </c>
      <c r="K166" s="7">
        <f t="shared" si="11"/>
        <v>58</v>
      </c>
      <c r="L166" s="1" t="s">
        <v>365</v>
      </c>
      <c r="M166" s="1" t="s">
        <v>366</v>
      </c>
      <c r="N166" s="1"/>
    </row>
    <row r="167" spans="1:14" x14ac:dyDescent="0.2">
      <c r="A167" t="s">
        <v>375</v>
      </c>
      <c r="B167" s="1" t="s">
        <v>362</v>
      </c>
      <c r="C167" s="1" t="s">
        <v>376</v>
      </c>
      <c r="D167" s="1">
        <v>2020</v>
      </c>
      <c r="E167" s="1">
        <v>6</v>
      </c>
      <c r="F167" s="1" t="s">
        <v>24</v>
      </c>
      <c r="G167" s="4">
        <v>17</v>
      </c>
      <c r="H167" s="1">
        <v>0</v>
      </c>
      <c r="I167" s="1"/>
      <c r="J167" s="7">
        <v>356</v>
      </c>
      <c r="K167" s="7">
        <f t="shared" si="11"/>
        <v>59.333333333333336</v>
      </c>
      <c r="L167" s="1" t="s">
        <v>365</v>
      </c>
      <c r="M167" s="1" t="s">
        <v>366</v>
      </c>
      <c r="N167" s="1"/>
    </row>
    <row r="168" spans="1:14" x14ac:dyDescent="0.2">
      <c r="A168" t="s">
        <v>395</v>
      </c>
      <c r="B168" s="1" t="s">
        <v>362</v>
      </c>
      <c r="C168" s="1" t="s">
        <v>396</v>
      </c>
      <c r="D168" s="1" t="s">
        <v>397</v>
      </c>
      <c r="E168" s="1">
        <v>6</v>
      </c>
      <c r="F168" s="1" t="s">
        <v>24</v>
      </c>
      <c r="G168" s="4">
        <v>26</v>
      </c>
      <c r="H168" s="1">
        <v>0</v>
      </c>
      <c r="I168" s="1"/>
      <c r="J168" s="7">
        <v>374</v>
      </c>
      <c r="K168" s="7">
        <f t="shared" si="11"/>
        <v>62.333333333333336</v>
      </c>
      <c r="L168" s="1" t="s">
        <v>365</v>
      </c>
      <c r="M168" s="1" t="s">
        <v>366</v>
      </c>
      <c r="N168" s="1" t="s">
        <v>398</v>
      </c>
    </row>
    <row r="169" spans="1:14" x14ac:dyDescent="0.2">
      <c r="A169" t="s">
        <v>386</v>
      </c>
      <c r="B169" s="1" t="s">
        <v>362</v>
      </c>
      <c r="C169" s="1" t="s">
        <v>385</v>
      </c>
      <c r="D169" s="1">
        <v>2020</v>
      </c>
      <c r="E169" s="1">
        <v>6</v>
      </c>
      <c r="F169" s="1" t="s">
        <v>24</v>
      </c>
      <c r="G169" s="4">
        <v>35</v>
      </c>
      <c r="H169" s="1">
        <v>0</v>
      </c>
      <c r="I169" s="1"/>
      <c r="J169" s="7">
        <v>400</v>
      </c>
      <c r="K169" s="7">
        <f t="shared" si="11"/>
        <v>66.666666666666671</v>
      </c>
      <c r="L169" s="1" t="s">
        <v>365</v>
      </c>
      <c r="M169" s="1" t="s">
        <v>366</v>
      </c>
      <c r="N169" s="1" t="s">
        <v>383</v>
      </c>
    </row>
    <row r="170" spans="1:14" x14ac:dyDescent="0.2">
      <c r="A170" t="s">
        <v>378</v>
      </c>
      <c r="B170" s="1" t="s">
        <v>362</v>
      </c>
      <c r="C170" s="1" t="s">
        <v>376</v>
      </c>
      <c r="D170" s="1">
        <v>2021</v>
      </c>
      <c r="E170" s="1">
        <v>6</v>
      </c>
      <c r="F170" s="1" t="s">
        <v>24</v>
      </c>
      <c r="G170" s="4">
        <v>40</v>
      </c>
      <c r="H170" s="1">
        <v>0</v>
      </c>
      <c r="I170" s="1"/>
      <c r="J170" s="7">
        <v>408</v>
      </c>
      <c r="K170" s="7">
        <f t="shared" si="11"/>
        <v>68</v>
      </c>
      <c r="L170" s="1" t="s">
        <v>365</v>
      </c>
      <c r="M170" s="1" t="s">
        <v>366</v>
      </c>
      <c r="N170" s="1" t="s">
        <v>379</v>
      </c>
    </row>
    <row r="171" spans="1:14" x14ac:dyDescent="0.2">
      <c r="A171" t="s">
        <v>399</v>
      </c>
      <c r="B171" s="1" t="s">
        <v>362</v>
      </c>
      <c r="C171" s="1" t="s">
        <v>400</v>
      </c>
      <c r="D171" s="1" t="s">
        <v>397</v>
      </c>
      <c r="E171" s="1">
        <v>6</v>
      </c>
      <c r="F171" s="1" t="s">
        <v>24</v>
      </c>
      <c r="G171" s="4">
        <v>60</v>
      </c>
      <c r="H171" s="1">
        <v>0</v>
      </c>
      <c r="I171" s="1"/>
      <c r="J171" s="7">
        <v>440</v>
      </c>
      <c r="K171" s="7">
        <f t="shared" si="11"/>
        <v>73.333333333333329</v>
      </c>
      <c r="L171" s="1" t="s">
        <v>365</v>
      </c>
      <c r="M171" s="1" t="s">
        <v>366</v>
      </c>
      <c r="N171" s="1"/>
    </row>
    <row r="172" spans="1:14" x14ac:dyDescent="0.2">
      <c r="A172" t="s">
        <v>367</v>
      </c>
      <c r="B172" s="1" t="s">
        <v>362</v>
      </c>
      <c r="C172" s="1" t="s">
        <v>364</v>
      </c>
      <c r="D172" s="1" t="s">
        <v>200</v>
      </c>
      <c r="E172" s="1">
        <v>3</v>
      </c>
      <c r="F172" s="1" t="s">
        <v>368</v>
      </c>
      <c r="G172" s="4">
        <v>13</v>
      </c>
      <c r="H172" s="1">
        <v>0</v>
      </c>
      <c r="I172" s="1"/>
      <c r="J172" s="7">
        <v>246</v>
      </c>
      <c r="K172" s="7">
        <f t="shared" si="11"/>
        <v>82</v>
      </c>
      <c r="L172" s="1" t="s">
        <v>365</v>
      </c>
      <c r="M172" s="1" t="s">
        <v>366</v>
      </c>
      <c r="N172" s="1"/>
    </row>
    <row r="173" spans="1:14" x14ac:dyDescent="0.2">
      <c r="A173" t="s">
        <v>374</v>
      </c>
      <c r="B173" s="1" t="s">
        <v>362</v>
      </c>
      <c r="C173" s="1" t="s">
        <v>372</v>
      </c>
      <c r="D173" s="1">
        <v>2018</v>
      </c>
      <c r="E173" s="1">
        <v>6</v>
      </c>
      <c r="F173" s="1" t="s">
        <v>24</v>
      </c>
      <c r="G173" s="4">
        <v>50</v>
      </c>
      <c r="H173" s="1">
        <v>0</v>
      </c>
      <c r="I173" s="1"/>
      <c r="J173" s="7">
        <v>530</v>
      </c>
      <c r="K173" s="7">
        <f t="shared" si="11"/>
        <v>88.333333333333329</v>
      </c>
      <c r="L173" s="1" t="s">
        <v>365</v>
      </c>
      <c r="M173" s="1" t="s">
        <v>366</v>
      </c>
      <c r="N173" s="1" t="s">
        <v>194</v>
      </c>
    </row>
    <row r="174" spans="1:14" x14ac:dyDescent="0.2">
      <c r="A174" t="s">
        <v>369</v>
      </c>
      <c r="B174" s="1" t="s">
        <v>362</v>
      </c>
      <c r="C174" s="1" t="s">
        <v>370</v>
      </c>
      <c r="D174" s="1">
        <v>2018</v>
      </c>
      <c r="E174" s="1">
        <v>6</v>
      </c>
      <c r="F174" s="1" t="s">
        <v>24</v>
      </c>
      <c r="G174" s="4">
        <v>39</v>
      </c>
      <c r="H174" s="1">
        <v>0</v>
      </c>
      <c r="I174" s="1"/>
      <c r="J174" s="7">
        <v>530</v>
      </c>
      <c r="K174" s="7">
        <f t="shared" si="11"/>
        <v>88.333333333333329</v>
      </c>
      <c r="L174" s="1" t="s">
        <v>365</v>
      </c>
      <c r="M174" s="1" t="s">
        <v>366</v>
      </c>
      <c r="N174" s="1" t="s">
        <v>165</v>
      </c>
    </row>
    <row r="175" spans="1:14" x14ac:dyDescent="0.2">
      <c r="A175" t="s">
        <v>389</v>
      </c>
      <c r="B175" s="1" t="s">
        <v>362</v>
      </c>
      <c r="C175" s="1" t="s">
        <v>388</v>
      </c>
      <c r="D175" s="1">
        <v>2020</v>
      </c>
      <c r="E175" s="1">
        <v>3</v>
      </c>
      <c r="F175" s="1" t="s">
        <v>368</v>
      </c>
      <c r="G175" s="4">
        <v>7</v>
      </c>
      <c r="H175" s="1">
        <v>0</v>
      </c>
      <c r="I175" s="1"/>
      <c r="J175" s="7">
        <v>308</v>
      </c>
      <c r="K175" s="7">
        <f t="shared" si="11"/>
        <v>102.66666666666667</v>
      </c>
      <c r="L175" s="1" t="s">
        <v>365</v>
      </c>
      <c r="M175" s="1" t="s">
        <v>366</v>
      </c>
      <c r="N175" s="1"/>
    </row>
    <row r="176" spans="1:14" x14ac:dyDescent="0.2">
      <c r="A176" t="s">
        <v>377</v>
      </c>
      <c r="B176" s="1" t="s">
        <v>362</v>
      </c>
      <c r="C176" s="1" t="s">
        <v>376</v>
      </c>
      <c r="D176" s="1">
        <v>2020</v>
      </c>
      <c r="E176" s="1">
        <v>3</v>
      </c>
      <c r="F176" s="1" t="s">
        <v>368</v>
      </c>
      <c r="G176" s="4">
        <v>1</v>
      </c>
      <c r="H176" s="1">
        <v>0</v>
      </c>
      <c r="I176" s="1"/>
      <c r="J176" s="7">
        <v>378</v>
      </c>
      <c r="K176" s="7">
        <f t="shared" si="11"/>
        <v>126</v>
      </c>
      <c r="L176" s="1" t="s">
        <v>365</v>
      </c>
      <c r="M176" s="1" t="s">
        <v>366</v>
      </c>
      <c r="N176" s="1"/>
    </row>
    <row r="177" spans="1:14" x14ac:dyDescent="0.2">
      <c r="A177" t="s">
        <v>382</v>
      </c>
      <c r="B177" s="1" t="s">
        <v>362</v>
      </c>
      <c r="C177" s="1" t="s">
        <v>381</v>
      </c>
      <c r="D177" s="1">
        <v>2018</v>
      </c>
      <c r="E177" s="1">
        <v>6</v>
      </c>
      <c r="F177" s="1" t="s">
        <v>24</v>
      </c>
      <c r="G177" s="4">
        <v>24</v>
      </c>
      <c r="H177" s="1">
        <v>0</v>
      </c>
      <c r="I177" s="1"/>
      <c r="J177" s="7">
        <v>798</v>
      </c>
      <c r="K177" s="7">
        <f t="shared" si="11"/>
        <v>133</v>
      </c>
      <c r="L177" s="1" t="s">
        <v>365</v>
      </c>
      <c r="M177" s="1" t="s">
        <v>366</v>
      </c>
      <c r="N177" s="1" t="s">
        <v>383</v>
      </c>
    </row>
    <row r="178" spans="1:14" x14ac:dyDescent="0.2">
      <c r="A178" t="s">
        <v>371</v>
      </c>
      <c r="B178" s="1" t="s">
        <v>362</v>
      </c>
      <c r="C178" s="1" t="s">
        <v>372</v>
      </c>
      <c r="D178" s="1">
        <v>2017</v>
      </c>
      <c r="E178" s="1">
        <v>1</v>
      </c>
      <c r="F178" s="1" t="s">
        <v>368</v>
      </c>
      <c r="G178" s="4">
        <v>3</v>
      </c>
      <c r="H178" s="1">
        <v>0</v>
      </c>
      <c r="I178" s="1"/>
      <c r="J178" s="7">
        <v>192</v>
      </c>
      <c r="K178" s="7">
        <f t="shared" si="11"/>
        <v>192</v>
      </c>
      <c r="L178" s="1" t="s">
        <v>365</v>
      </c>
      <c r="M178" s="1" t="s">
        <v>366</v>
      </c>
      <c r="N178" s="1" t="s">
        <v>373</v>
      </c>
    </row>
    <row r="179" spans="1:14" x14ac:dyDescent="0.2">
      <c r="A179" t="s">
        <v>380</v>
      </c>
      <c r="B179" s="1" t="s">
        <v>362</v>
      </c>
      <c r="C179" s="1" t="s">
        <v>381</v>
      </c>
      <c r="D179" s="1">
        <v>2016</v>
      </c>
      <c r="E179" s="1">
        <v>1</v>
      </c>
      <c r="F179" s="1" t="s">
        <v>368</v>
      </c>
      <c r="G179" s="4">
        <v>3</v>
      </c>
      <c r="H179" s="1">
        <v>0</v>
      </c>
      <c r="I179" s="1"/>
      <c r="J179" s="7">
        <v>286</v>
      </c>
      <c r="K179" s="7">
        <f t="shared" si="11"/>
        <v>286</v>
      </c>
      <c r="L179" s="1" t="s">
        <v>365</v>
      </c>
      <c r="M179" s="1" t="s">
        <v>366</v>
      </c>
      <c r="N179" s="1"/>
    </row>
    <row r="180" spans="1:14" x14ac:dyDescent="0.2">
      <c r="A180" s="4">
        <v>1070</v>
      </c>
      <c r="B180" s="4" t="s">
        <v>401</v>
      </c>
      <c r="K180" s="7"/>
    </row>
    <row r="181" spans="1:14" x14ac:dyDescent="0.2">
      <c r="A181" t="s">
        <v>402</v>
      </c>
      <c r="B181" s="1" t="s">
        <v>401</v>
      </c>
      <c r="C181" s="1" t="s">
        <v>403</v>
      </c>
      <c r="D181" s="1">
        <v>2014</v>
      </c>
      <c r="E181" s="1">
        <v>6</v>
      </c>
      <c r="F181" s="1" t="s">
        <v>24</v>
      </c>
      <c r="G181" s="4">
        <v>57</v>
      </c>
      <c r="H181" s="1">
        <v>0</v>
      </c>
      <c r="I181" s="1"/>
      <c r="J181" s="7">
        <v>390</v>
      </c>
      <c r="K181" s="7">
        <f t="shared" si="10"/>
        <v>65</v>
      </c>
      <c r="L181" s="1" t="s">
        <v>365</v>
      </c>
      <c r="M181" s="1" t="s">
        <v>404</v>
      </c>
      <c r="N181" s="1"/>
    </row>
    <row r="182" spans="1:14" x14ac:dyDescent="0.2">
      <c r="A182" s="4">
        <v>1090</v>
      </c>
      <c r="B182" s="4" t="s">
        <v>405</v>
      </c>
      <c r="K182" s="7"/>
    </row>
    <row r="183" spans="1:14" x14ac:dyDescent="0.2">
      <c r="A183" t="s">
        <v>414</v>
      </c>
      <c r="B183" s="1" t="s">
        <v>405</v>
      </c>
      <c r="C183" s="1" t="s">
        <v>415</v>
      </c>
      <c r="D183" s="1" t="s">
        <v>200</v>
      </c>
      <c r="E183" s="1">
        <v>12</v>
      </c>
      <c r="F183" s="1" t="s">
        <v>24</v>
      </c>
      <c r="G183" s="4">
        <v>95</v>
      </c>
      <c r="H183" s="1">
        <v>0</v>
      </c>
      <c r="I183" s="1"/>
      <c r="J183" s="7">
        <v>360</v>
      </c>
      <c r="K183" s="7">
        <f t="shared" ref="K183:K188" si="12">J183/E183</f>
        <v>30</v>
      </c>
      <c r="L183" s="1" t="s">
        <v>365</v>
      </c>
      <c r="M183" s="1" t="s">
        <v>411</v>
      </c>
      <c r="N183" s="1"/>
    </row>
    <row r="184" spans="1:14" x14ac:dyDescent="0.2">
      <c r="A184" t="s">
        <v>406</v>
      </c>
      <c r="B184" s="1" t="s">
        <v>405</v>
      </c>
      <c r="C184" s="1" t="s">
        <v>407</v>
      </c>
      <c r="D184" s="1" t="s">
        <v>200</v>
      </c>
      <c r="E184" s="1">
        <v>12</v>
      </c>
      <c r="F184" s="1" t="s">
        <v>24</v>
      </c>
      <c r="G184" s="4">
        <v>40</v>
      </c>
      <c r="H184" s="1">
        <v>0</v>
      </c>
      <c r="I184" s="1"/>
      <c r="J184" s="7">
        <v>384</v>
      </c>
      <c r="K184" s="7">
        <f t="shared" si="12"/>
        <v>32</v>
      </c>
      <c r="L184" s="1" t="s">
        <v>365</v>
      </c>
      <c r="M184" s="1" t="s">
        <v>408</v>
      </c>
      <c r="N184" s="1"/>
    </row>
    <row r="185" spans="1:14" x14ac:dyDescent="0.2">
      <c r="A185" t="s">
        <v>409</v>
      </c>
      <c r="B185" s="1" t="s">
        <v>405</v>
      </c>
      <c r="C185" s="1" t="s">
        <v>410</v>
      </c>
      <c r="D185" s="1" t="s">
        <v>200</v>
      </c>
      <c r="E185" s="1">
        <v>12</v>
      </c>
      <c r="F185" s="1" t="s">
        <v>24</v>
      </c>
      <c r="G185" s="4">
        <v>37</v>
      </c>
      <c r="H185" s="1">
        <v>0</v>
      </c>
      <c r="I185" s="1"/>
      <c r="J185" s="7">
        <v>384</v>
      </c>
      <c r="K185" s="7">
        <f t="shared" si="12"/>
        <v>32</v>
      </c>
      <c r="L185" s="1" t="s">
        <v>365</v>
      </c>
      <c r="M185" s="1" t="s">
        <v>411</v>
      </c>
      <c r="N185" s="1"/>
    </row>
    <row r="186" spans="1:14" x14ac:dyDescent="0.2">
      <c r="A186" t="s">
        <v>412</v>
      </c>
      <c r="B186" s="1" t="s">
        <v>405</v>
      </c>
      <c r="C186" s="1" t="s">
        <v>413</v>
      </c>
      <c r="D186" s="1">
        <v>2010</v>
      </c>
      <c r="E186" s="1">
        <v>6</v>
      </c>
      <c r="F186" s="1" t="s">
        <v>24</v>
      </c>
      <c r="G186" s="4">
        <v>6</v>
      </c>
      <c r="H186" s="1">
        <v>0</v>
      </c>
      <c r="I186" s="1"/>
      <c r="J186" s="7">
        <v>256</v>
      </c>
      <c r="K186" s="7">
        <f t="shared" si="12"/>
        <v>42.666666666666664</v>
      </c>
      <c r="L186" s="1" t="s">
        <v>365</v>
      </c>
      <c r="M186" s="1" t="s">
        <v>408</v>
      </c>
      <c r="N186" s="1"/>
    </row>
    <row r="187" spans="1:14" x14ac:dyDescent="0.2">
      <c r="A187" t="s">
        <v>416</v>
      </c>
      <c r="B187" s="1" t="s">
        <v>405</v>
      </c>
      <c r="C187" s="1" t="s">
        <v>417</v>
      </c>
      <c r="D187" s="1">
        <v>2015</v>
      </c>
      <c r="E187" s="1">
        <v>6</v>
      </c>
      <c r="F187" s="1" t="s">
        <v>24</v>
      </c>
      <c r="G187" s="4">
        <v>17</v>
      </c>
      <c r="H187" s="1">
        <v>0</v>
      </c>
      <c r="I187" s="1"/>
      <c r="J187" s="7">
        <v>266</v>
      </c>
      <c r="K187" s="7">
        <f t="shared" si="12"/>
        <v>44.333333333333336</v>
      </c>
      <c r="L187" s="1" t="s">
        <v>365</v>
      </c>
      <c r="M187" s="1" t="s">
        <v>411</v>
      </c>
      <c r="N187" s="1"/>
    </row>
    <row r="188" spans="1:14" x14ac:dyDescent="0.2">
      <c r="A188" t="s">
        <v>418</v>
      </c>
      <c r="B188" s="1" t="s">
        <v>405</v>
      </c>
      <c r="C188" s="1" t="s">
        <v>419</v>
      </c>
      <c r="D188" s="1">
        <v>2016</v>
      </c>
      <c r="E188" s="1">
        <v>6</v>
      </c>
      <c r="F188" s="1" t="s">
        <v>24</v>
      </c>
      <c r="G188" s="4">
        <v>19</v>
      </c>
      <c r="H188" s="1">
        <v>0</v>
      </c>
      <c r="I188" s="1"/>
      <c r="J188" s="7">
        <v>266</v>
      </c>
      <c r="K188" s="7">
        <f t="shared" si="12"/>
        <v>44.333333333333336</v>
      </c>
      <c r="L188" s="1" t="s">
        <v>365</v>
      </c>
      <c r="M188" s="1" t="s">
        <v>408</v>
      </c>
      <c r="N188" s="1"/>
    </row>
    <row r="189" spans="1:14" x14ac:dyDescent="0.2">
      <c r="A189" s="4">
        <v>1100</v>
      </c>
      <c r="B189" s="4" t="s">
        <v>420</v>
      </c>
      <c r="K189" s="7"/>
    </row>
    <row r="190" spans="1:14" x14ac:dyDescent="0.2">
      <c r="A190" t="s">
        <v>421</v>
      </c>
      <c r="B190" s="1" t="s">
        <v>420</v>
      </c>
      <c r="C190" s="1" t="s">
        <v>422</v>
      </c>
      <c r="D190" s="1">
        <v>2024</v>
      </c>
      <c r="E190" s="1">
        <v>12</v>
      </c>
      <c r="F190" s="1" t="s">
        <v>24</v>
      </c>
      <c r="G190" s="4">
        <v>0</v>
      </c>
      <c r="H190" s="1">
        <v>100</v>
      </c>
      <c r="I190" s="10" t="s">
        <v>788</v>
      </c>
      <c r="J190" s="7">
        <v>132</v>
      </c>
      <c r="K190" s="7">
        <f>J190/E190</f>
        <v>11</v>
      </c>
      <c r="L190" s="1" t="s">
        <v>423</v>
      </c>
      <c r="M190" s="1"/>
      <c r="N190" s="1"/>
    </row>
    <row r="191" spans="1:14" x14ac:dyDescent="0.2">
      <c r="A191" t="s">
        <v>428</v>
      </c>
      <c r="B191" s="1" t="s">
        <v>420</v>
      </c>
      <c r="C191" s="1" t="s">
        <v>429</v>
      </c>
      <c r="D191" s="1">
        <v>2024</v>
      </c>
      <c r="E191" s="1">
        <v>12</v>
      </c>
      <c r="F191" s="1" t="s">
        <v>24</v>
      </c>
      <c r="G191" s="4">
        <v>0</v>
      </c>
      <c r="H191" s="1">
        <v>100</v>
      </c>
      <c r="I191" s="10" t="s">
        <v>788</v>
      </c>
      <c r="J191" s="7">
        <v>144</v>
      </c>
      <c r="K191" s="7">
        <f>J191/E191</f>
        <v>12</v>
      </c>
      <c r="L191" s="1" t="s">
        <v>423</v>
      </c>
      <c r="M191" s="1"/>
      <c r="N191" s="1"/>
    </row>
    <row r="192" spans="1:14" x14ac:dyDescent="0.2">
      <c r="A192" t="s">
        <v>426</v>
      </c>
      <c r="B192" s="1" t="s">
        <v>420</v>
      </c>
      <c r="C192" s="1" t="s">
        <v>427</v>
      </c>
      <c r="D192" s="1">
        <v>2023</v>
      </c>
      <c r="E192" s="1">
        <v>12</v>
      </c>
      <c r="F192" s="1" t="s">
        <v>24</v>
      </c>
      <c r="G192" s="4">
        <v>0</v>
      </c>
      <c r="H192" s="1">
        <v>25</v>
      </c>
      <c r="I192" s="10" t="s">
        <v>788</v>
      </c>
      <c r="J192" s="7">
        <v>152</v>
      </c>
      <c r="K192" s="7">
        <f>J192/E192</f>
        <v>12.666666666666666</v>
      </c>
      <c r="L192" s="1" t="s">
        <v>423</v>
      </c>
      <c r="M192" s="1"/>
      <c r="N192" s="1"/>
    </row>
    <row r="193" spans="1:14" x14ac:dyDescent="0.2">
      <c r="A193" t="s">
        <v>424</v>
      </c>
      <c r="B193" s="1" t="s">
        <v>420</v>
      </c>
      <c r="C193" s="1" t="s">
        <v>425</v>
      </c>
      <c r="D193" s="1">
        <v>2024</v>
      </c>
      <c r="E193" s="1">
        <v>12</v>
      </c>
      <c r="F193" s="1" t="s">
        <v>24</v>
      </c>
      <c r="G193" s="4">
        <v>0</v>
      </c>
      <c r="H193" s="1">
        <v>25</v>
      </c>
      <c r="I193" s="10" t="s">
        <v>788</v>
      </c>
      <c r="J193" s="7">
        <v>152</v>
      </c>
      <c r="K193" s="7">
        <f>J193/E193</f>
        <v>12.666666666666666</v>
      </c>
      <c r="L193" s="1" t="s">
        <v>423</v>
      </c>
      <c r="M193" s="1"/>
      <c r="N193" s="1"/>
    </row>
    <row r="194" spans="1:14" x14ac:dyDescent="0.2">
      <c r="A194" s="4">
        <v>1120</v>
      </c>
      <c r="B194" s="4" t="s">
        <v>430</v>
      </c>
      <c r="K194" s="7"/>
    </row>
    <row r="195" spans="1:14" x14ac:dyDescent="0.2">
      <c r="A195" t="s">
        <v>435</v>
      </c>
      <c r="B195" s="1" t="s">
        <v>430</v>
      </c>
      <c r="C195" s="1" t="s">
        <v>436</v>
      </c>
      <c r="D195" s="1">
        <v>2023</v>
      </c>
      <c r="E195" s="1">
        <v>12</v>
      </c>
      <c r="F195" s="1" t="s">
        <v>24</v>
      </c>
      <c r="G195" s="4">
        <v>0</v>
      </c>
      <c r="H195" s="1">
        <v>167</v>
      </c>
      <c r="I195" s="10" t="s">
        <v>788</v>
      </c>
      <c r="J195" s="7">
        <v>156</v>
      </c>
      <c r="K195" s="7">
        <f>J195/E195</f>
        <v>13</v>
      </c>
      <c r="L195" s="1" t="s">
        <v>433</v>
      </c>
      <c r="M195" s="1" t="s">
        <v>434</v>
      </c>
      <c r="N195" s="1"/>
    </row>
    <row r="196" spans="1:14" x14ac:dyDescent="0.2">
      <c r="A196" t="s">
        <v>431</v>
      </c>
      <c r="B196" s="1" t="s">
        <v>430</v>
      </c>
      <c r="C196" s="1" t="s">
        <v>432</v>
      </c>
      <c r="D196" s="1">
        <v>2022</v>
      </c>
      <c r="E196" s="1">
        <v>12</v>
      </c>
      <c r="F196" s="1" t="s">
        <v>24</v>
      </c>
      <c r="G196" s="4">
        <v>10</v>
      </c>
      <c r="H196" s="1">
        <v>0</v>
      </c>
      <c r="I196" s="1"/>
      <c r="J196" s="7">
        <v>180</v>
      </c>
      <c r="K196" s="7">
        <f>J196/E196</f>
        <v>15</v>
      </c>
      <c r="L196" s="1" t="s">
        <v>433</v>
      </c>
      <c r="M196" s="1" t="s">
        <v>434</v>
      </c>
      <c r="N196" s="1"/>
    </row>
    <row r="197" spans="1:14" x14ac:dyDescent="0.2">
      <c r="A197" s="4">
        <v>1140</v>
      </c>
      <c r="B197" s="4" t="s">
        <v>437</v>
      </c>
      <c r="K197" s="7"/>
    </row>
    <row r="198" spans="1:14" x14ac:dyDescent="0.2">
      <c r="A198" t="s">
        <v>443</v>
      </c>
      <c r="B198" s="1" t="s">
        <v>437</v>
      </c>
      <c r="C198" s="1" t="s">
        <v>444</v>
      </c>
      <c r="D198" s="1">
        <v>2022</v>
      </c>
      <c r="E198" s="1">
        <v>12</v>
      </c>
      <c r="F198" s="1" t="s">
        <v>24</v>
      </c>
      <c r="G198" s="4">
        <v>14</v>
      </c>
      <c r="H198" s="1">
        <v>0</v>
      </c>
      <c r="I198" s="1"/>
      <c r="J198" s="7">
        <v>124</v>
      </c>
      <c r="K198" s="7">
        <f t="shared" ref="K198:K212" si="13">J198/E198</f>
        <v>10.333333333333334</v>
      </c>
      <c r="L198" s="1" t="s">
        <v>433</v>
      </c>
      <c r="M198" s="1" t="s">
        <v>445</v>
      </c>
      <c r="N198" s="1"/>
    </row>
    <row r="199" spans="1:14" x14ac:dyDescent="0.2">
      <c r="A199" t="s">
        <v>446</v>
      </c>
      <c r="B199" s="1" t="s">
        <v>437</v>
      </c>
      <c r="C199" s="1" t="s">
        <v>447</v>
      </c>
      <c r="D199" s="1">
        <v>2022</v>
      </c>
      <c r="E199" s="1">
        <v>12</v>
      </c>
      <c r="F199" s="1" t="s">
        <v>24</v>
      </c>
      <c r="G199" s="4">
        <v>17</v>
      </c>
      <c r="H199" s="1">
        <v>0</v>
      </c>
      <c r="I199" s="1"/>
      <c r="J199" s="7">
        <v>132</v>
      </c>
      <c r="K199" s="7">
        <f t="shared" si="13"/>
        <v>11</v>
      </c>
      <c r="L199" s="1" t="s">
        <v>433</v>
      </c>
      <c r="M199" s="1" t="s">
        <v>440</v>
      </c>
      <c r="N199" s="1"/>
    </row>
    <row r="200" spans="1:14" x14ac:dyDescent="0.2">
      <c r="A200" t="s">
        <v>466</v>
      </c>
      <c r="B200" s="1" t="s">
        <v>437</v>
      </c>
      <c r="C200" s="1" t="s">
        <v>444</v>
      </c>
      <c r="D200" s="1">
        <v>2024</v>
      </c>
      <c r="E200" s="1">
        <v>12</v>
      </c>
      <c r="F200" s="1" t="s">
        <v>24</v>
      </c>
      <c r="G200" s="4">
        <v>0</v>
      </c>
      <c r="H200" s="1">
        <v>50</v>
      </c>
      <c r="I200" s="10" t="s">
        <v>788</v>
      </c>
      <c r="J200" s="7">
        <v>140</v>
      </c>
      <c r="K200" s="7">
        <f t="shared" si="13"/>
        <v>11.666666666666666</v>
      </c>
      <c r="L200" s="1" t="s">
        <v>433</v>
      </c>
      <c r="M200" s="1" t="s">
        <v>445</v>
      </c>
      <c r="N200" s="1"/>
    </row>
    <row r="201" spans="1:14" x14ac:dyDescent="0.2">
      <c r="A201" t="s">
        <v>438</v>
      </c>
      <c r="B201" s="1" t="s">
        <v>437</v>
      </c>
      <c r="C201" s="1" t="s">
        <v>439</v>
      </c>
      <c r="D201" s="1">
        <v>2021</v>
      </c>
      <c r="E201" s="1">
        <v>12</v>
      </c>
      <c r="F201" s="1" t="s">
        <v>24</v>
      </c>
      <c r="G201" s="4">
        <v>13</v>
      </c>
      <c r="H201" s="1">
        <v>0</v>
      </c>
      <c r="I201" s="1"/>
      <c r="J201" s="7">
        <v>152</v>
      </c>
      <c r="K201" s="7">
        <f t="shared" si="13"/>
        <v>12.666666666666666</v>
      </c>
      <c r="L201" s="1" t="s">
        <v>433</v>
      </c>
      <c r="M201" s="1" t="s">
        <v>440</v>
      </c>
      <c r="N201" s="1"/>
    </row>
    <row r="202" spans="1:14" x14ac:dyDescent="0.2">
      <c r="A202" t="s">
        <v>448</v>
      </c>
      <c r="B202" s="1" t="s">
        <v>437</v>
      </c>
      <c r="C202" s="1" t="s">
        <v>439</v>
      </c>
      <c r="D202" s="1">
        <v>2022</v>
      </c>
      <c r="E202" s="1">
        <v>12</v>
      </c>
      <c r="F202" s="1" t="s">
        <v>24</v>
      </c>
      <c r="G202" s="4">
        <v>14</v>
      </c>
      <c r="H202" s="1">
        <v>0</v>
      </c>
      <c r="I202" s="1"/>
      <c r="J202" s="7">
        <v>156</v>
      </c>
      <c r="K202" s="7">
        <f t="shared" si="13"/>
        <v>13</v>
      </c>
      <c r="L202" s="1" t="s">
        <v>433</v>
      </c>
      <c r="M202" s="1" t="s">
        <v>440</v>
      </c>
      <c r="N202" s="1"/>
    </row>
    <row r="203" spans="1:14" x14ac:dyDescent="0.2">
      <c r="A203" t="s">
        <v>449</v>
      </c>
      <c r="B203" s="1" t="s">
        <v>437</v>
      </c>
      <c r="C203" s="1" t="s">
        <v>450</v>
      </c>
      <c r="D203" s="1">
        <v>2022</v>
      </c>
      <c r="E203" s="1">
        <v>12</v>
      </c>
      <c r="F203" s="1" t="s">
        <v>24</v>
      </c>
      <c r="G203" s="4">
        <v>109</v>
      </c>
      <c r="H203" s="1">
        <v>0</v>
      </c>
      <c r="I203" s="1"/>
      <c r="J203" s="7">
        <v>168</v>
      </c>
      <c r="K203" s="7">
        <f t="shared" si="13"/>
        <v>14</v>
      </c>
      <c r="L203" s="1" t="s">
        <v>433</v>
      </c>
      <c r="M203" s="1" t="s">
        <v>440</v>
      </c>
      <c r="N203" s="1"/>
    </row>
    <row r="204" spans="1:14" x14ac:dyDescent="0.2">
      <c r="A204" t="s">
        <v>464</v>
      </c>
      <c r="B204" s="1" t="s">
        <v>437</v>
      </c>
      <c r="C204" s="1" t="s">
        <v>465</v>
      </c>
      <c r="D204" s="1">
        <v>2023</v>
      </c>
      <c r="E204" s="1">
        <v>12</v>
      </c>
      <c r="F204" s="1" t="s">
        <v>24</v>
      </c>
      <c r="G204" s="4">
        <v>0</v>
      </c>
      <c r="H204" s="1">
        <v>150</v>
      </c>
      <c r="I204" s="10" t="s">
        <v>788</v>
      </c>
      <c r="J204" s="7">
        <v>188</v>
      </c>
      <c r="K204" s="7">
        <f t="shared" si="13"/>
        <v>15.666666666666666</v>
      </c>
      <c r="L204" s="1" t="s">
        <v>433</v>
      </c>
      <c r="M204" s="1" t="s">
        <v>440</v>
      </c>
      <c r="N204" s="1"/>
    </row>
    <row r="205" spans="1:14" x14ac:dyDescent="0.2">
      <c r="A205" t="s">
        <v>451</v>
      </c>
      <c r="B205" s="1" t="s">
        <v>437</v>
      </c>
      <c r="C205" s="1" t="s">
        <v>452</v>
      </c>
      <c r="D205" s="1">
        <v>2022</v>
      </c>
      <c r="E205" s="1">
        <v>12</v>
      </c>
      <c r="F205" s="1" t="s">
        <v>24</v>
      </c>
      <c r="G205" s="4">
        <v>21</v>
      </c>
      <c r="H205" s="1">
        <v>0</v>
      </c>
      <c r="I205" s="1"/>
      <c r="J205" s="7">
        <v>220</v>
      </c>
      <c r="K205" s="7">
        <f t="shared" si="13"/>
        <v>18.333333333333332</v>
      </c>
      <c r="L205" s="1" t="s">
        <v>433</v>
      </c>
      <c r="M205" s="1" t="s">
        <v>440</v>
      </c>
      <c r="N205" s="1"/>
    </row>
    <row r="206" spans="1:14" x14ac:dyDescent="0.2">
      <c r="A206" t="s">
        <v>459</v>
      </c>
      <c r="B206" s="1" t="s">
        <v>437</v>
      </c>
      <c r="C206" s="1" t="s">
        <v>460</v>
      </c>
      <c r="D206" s="1">
        <v>2022</v>
      </c>
      <c r="E206" s="1">
        <v>12</v>
      </c>
      <c r="F206" s="1" t="s">
        <v>24</v>
      </c>
      <c r="G206" s="4">
        <v>41</v>
      </c>
      <c r="H206" s="1">
        <v>0</v>
      </c>
      <c r="I206" s="1"/>
      <c r="J206" s="7">
        <v>228</v>
      </c>
      <c r="K206" s="7">
        <f t="shared" si="13"/>
        <v>19</v>
      </c>
      <c r="L206" s="1" t="s">
        <v>433</v>
      </c>
      <c r="M206" s="1" t="s">
        <v>440</v>
      </c>
      <c r="N206" s="1"/>
    </row>
    <row r="207" spans="1:14" x14ac:dyDescent="0.2">
      <c r="A207" t="s">
        <v>453</v>
      </c>
      <c r="B207" s="1" t="s">
        <v>437</v>
      </c>
      <c r="C207" s="1" t="s">
        <v>454</v>
      </c>
      <c r="D207" s="1">
        <v>2022</v>
      </c>
      <c r="E207" s="1">
        <v>12</v>
      </c>
      <c r="F207" s="1" t="s">
        <v>24</v>
      </c>
      <c r="G207" s="4">
        <v>8</v>
      </c>
      <c r="H207" s="1">
        <v>0</v>
      </c>
      <c r="I207" s="1"/>
      <c r="J207" s="7">
        <v>264</v>
      </c>
      <c r="K207" s="7">
        <f t="shared" si="13"/>
        <v>22</v>
      </c>
      <c r="L207" s="1" t="s">
        <v>433</v>
      </c>
      <c r="M207" s="1" t="s">
        <v>440</v>
      </c>
      <c r="N207" s="1"/>
    </row>
    <row r="208" spans="1:14" x14ac:dyDescent="0.2">
      <c r="A208" t="s">
        <v>455</v>
      </c>
      <c r="B208" s="1" t="s">
        <v>437</v>
      </c>
      <c r="C208" s="1" t="s">
        <v>456</v>
      </c>
      <c r="D208" s="1">
        <v>2022</v>
      </c>
      <c r="E208" s="1">
        <v>12</v>
      </c>
      <c r="F208" s="1" t="s">
        <v>24</v>
      </c>
      <c r="G208" s="4">
        <v>9</v>
      </c>
      <c r="H208" s="1">
        <v>0</v>
      </c>
      <c r="I208" s="1"/>
      <c r="J208" s="7">
        <v>264</v>
      </c>
      <c r="K208" s="7">
        <f t="shared" si="13"/>
        <v>22</v>
      </c>
      <c r="L208" s="1" t="s">
        <v>433</v>
      </c>
      <c r="M208" s="1" t="s">
        <v>440</v>
      </c>
      <c r="N208" s="1"/>
    </row>
    <row r="209" spans="1:14" x14ac:dyDescent="0.2">
      <c r="A209" t="s">
        <v>441</v>
      </c>
      <c r="B209" s="1" t="s">
        <v>437</v>
      </c>
      <c r="C209" s="1" t="s">
        <v>442</v>
      </c>
      <c r="D209" s="1">
        <v>2021</v>
      </c>
      <c r="E209" s="1">
        <v>12</v>
      </c>
      <c r="F209" s="1" t="s">
        <v>24</v>
      </c>
      <c r="G209" s="4">
        <v>3</v>
      </c>
      <c r="H209" s="1">
        <v>0</v>
      </c>
      <c r="I209" s="1"/>
      <c r="J209" s="7">
        <v>300</v>
      </c>
      <c r="K209" s="7">
        <f t="shared" si="13"/>
        <v>25</v>
      </c>
      <c r="L209" s="1" t="s">
        <v>433</v>
      </c>
      <c r="M209" s="1" t="s">
        <v>440</v>
      </c>
      <c r="N209" s="1"/>
    </row>
    <row r="210" spans="1:14" x14ac:dyDescent="0.2">
      <c r="A210" t="s">
        <v>461</v>
      </c>
      <c r="B210" s="1" t="s">
        <v>437</v>
      </c>
      <c r="C210" s="1" t="s">
        <v>442</v>
      </c>
      <c r="D210" s="1">
        <v>2022</v>
      </c>
      <c r="E210" s="1">
        <v>12</v>
      </c>
      <c r="F210" s="1" t="s">
        <v>24</v>
      </c>
      <c r="G210" s="4">
        <v>39</v>
      </c>
      <c r="H210" s="1">
        <v>0</v>
      </c>
      <c r="I210" s="1"/>
      <c r="J210" s="7">
        <v>308</v>
      </c>
      <c r="K210" s="7">
        <f t="shared" si="13"/>
        <v>25.666666666666668</v>
      </c>
      <c r="L210" s="1" t="s">
        <v>433</v>
      </c>
      <c r="M210" s="1" t="s">
        <v>440</v>
      </c>
      <c r="N210" s="1"/>
    </row>
    <row r="211" spans="1:14" x14ac:dyDescent="0.2">
      <c r="A211" t="s">
        <v>462</v>
      </c>
      <c r="B211" s="1" t="s">
        <v>437</v>
      </c>
      <c r="C211" s="1" t="s">
        <v>463</v>
      </c>
      <c r="D211" s="1">
        <v>2022</v>
      </c>
      <c r="E211" s="1">
        <v>6</v>
      </c>
      <c r="F211" s="1" t="s">
        <v>24</v>
      </c>
      <c r="G211" s="4">
        <v>6</v>
      </c>
      <c r="H211" s="1">
        <v>0</v>
      </c>
      <c r="I211" s="1"/>
      <c r="J211" s="7">
        <v>216</v>
      </c>
      <c r="K211" s="7">
        <f t="shared" si="13"/>
        <v>36</v>
      </c>
      <c r="L211" s="1" t="s">
        <v>433</v>
      </c>
      <c r="M211" s="1" t="s">
        <v>440</v>
      </c>
      <c r="N211" s="1"/>
    </row>
    <row r="212" spans="1:14" x14ac:dyDescent="0.2">
      <c r="A212" t="s">
        <v>457</v>
      </c>
      <c r="B212" s="1" t="s">
        <v>437</v>
      </c>
      <c r="C212" s="1" t="s">
        <v>458</v>
      </c>
      <c r="D212" s="1">
        <v>2022</v>
      </c>
      <c r="E212" s="1">
        <v>6</v>
      </c>
      <c r="F212" s="1" t="s">
        <v>24</v>
      </c>
      <c r="G212" s="4">
        <v>13</v>
      </c>
      <c r="H212" s="1">
        <v>0</v>
      </c>
      <c r="I212" s="1"/>
      <c r="J212" s="7">
        <v>938</v>
      </c>
      <c r="K212" s="7">
        <f t="shared" si="13"/>
        <v>156.33333333333334</v>
      </c>
      <c r="L212" s="1" t="s">
        <v>433</v>
      </c>
      <c r="M212" s="1" t="s">
        <v>440</v>
      </c>
      <c r="N212" s="1"/>
    </row>
    <row r="213" spans="1:14" x14ac:dyDescent="0.2">
      <c r="A213" s="4">
        <v>1180</v>
      </c>
      <c r="B213" s="4" t="s">
        <v>467</v>
      </c>
      <c r="K213" s="7"/>
    </row>
    <row r="214" spans="1:14" x14ac:dyDescent="0.2">
      <c r="A214" t="s">
        <v>474</v>
      </c>
      <c r="B214" s="1" t="s">
        <v>467</v>
      </c>
      <c r="C214" s="1" t="s">
        <v>475</v>
      </c>
      <c r="D214" s="1" t="s">
        <v>200</v>
      </c>
      <c r="E214" s="1">
        <v>12</v>
      </c>
      <c r="F214" s="1" t="s">
        <v>24</v>
      </c>
      <c r="G214" s="4">
        <v>60</v>
      </c>
      <c r="H214" s="1">
        <v>0</v>
      </c>
      <c r="I214" s="1"/>
      <c r="J214" s="7">
        <v>388</v>
      </c>
      <c r="K214" s="7">
        <f t="shared" ref="K214:K228" si="14">J214/E214</f>
        <v>32.333333333333336</v>
      </c>
      <c r="L214" s="1" t="s">
        <v>365</v>
      </c>
      <c r="M214" s="1" t="s">
        <v>408</v>
      </c>
      <c r="N214" s="1" t="s">
        <v>476</v>
      </c>
    </row>
    <row r="215" spans="1:14" x14ac:dyDescent="0.2">
      <c r="A215" t="s">
        <v>480</v>
      </c>
      <c r="B215" s="1" t="s">
        <v>467</v>
      </c>
      <c r="C215" s="1" t="s">
        <v>481</v>
      </c>
      <c r="D215" s="1" t="s">
        <v>200</v>
      </c>
      <c r="E215" s="1">
        <v>12</v>
      </c>
      <c r="F215" s="1" t="s">
        <v>24</v>
      </c>
      <c r="G215" s="4">
        <v>101</v>
      </c>
      <c r="H215" s="1">
        <v>0</v>
      </c>
      <c r="I215" s="1"/>
      <c r="J215" s="7">
        <v>468</v>
      </c>
      <c r="K215" s="7">
        <f t="shared" si="14"/>
        <v>39</v>
      </c>
      <c r="L215" s="1" t="s">
        <v>365</v>
      </c>
      <c r="M215" s="1" t="s">
        <v>408</v>
      </c>
      <c r="N215" s="1"/>
    </row>
    <row r="216" spans="1:14" x14ac:dyDescent="0.2">
      <c r="A216" t="s">
        <v>477</v>
      </c>
      <c r="B216" s="1" t="s">
        <v>467</v>
      </c>
      <c r="C216" s="1" t="s">
        <v>478</v>
      </c>
      <c r="D216" s="1" t="s">
        <v>200</v>
      </c>
      <c r="E216" s="1">
        <v>12</v>
      </c>
      <c r="F216" s="1" t="s">
        <v>24</v>
      </c>
      <c r="G216" s="4">
        <v>68</v>
      </c>
      <c r="H216" s="1">
        <v>0</v>
      </c>
      <c r="I216" s="1"/>
      <c r="J216" s="7">
        <v>540</v>
      </c>
      <c r="K216" s="7">
        <f t="shared" si="14"/>
        <v>45</v>
      </c>
      <c r="L216" s="1" t="s">
        <v>365</v>
      </c>
      <c r="M216" s="1" t="s">
        <v>408</v>
      </c>
      <c r="N216" s="1" t="s">
        <v>479</v>
      </c>
    </row>
    <row r="217" spans="1:14" x14ac:dyDescent="0.2">
      <c r="A217" t="s">
        <v>468</v>
      </c>
      <c r="B217" s="1" t="s">
        <v>467</v>
      </c>
      <c r="C217" s="1" t="s">
        <v>469</v>
      </c>
      <c r="D217" s="1" t="s">
        <v>200</v>
      </c>
      <c r="E217" s="1">
        <v>12</v>
      </c>
      <c r="F217" s="1" t="s">
        <v>24</v>
      </c>
      <c r="G217" s="4">
        <v>12</v>
      </c>
      <c r="H217" s="1">
        <v>0</v>
      </c>
      <c r="I217" s="1"/>
      <c r="J217" s="7">
        <v>560</v>
      </c>
      <c r="K217" s="7">
        <f t="shared" si="14"/>
        <v>46.666666666666664</v>
      </c>
      <c r="L217" s="1" t="s">
        <v>365</v>
      </c>
      <c r="M217" s="1" t="s">
        <v>408</v>
      </c>
      <c r="N217" s="1" t="s">
        <v>383</v>
      </c>
    </row>
    <row r="218" spans="1:14" x14ac:dyDescent="0.2">
      <c r="A218" t="s">
        <v>472</v>
      </c>
      <c r="B218" s="1" t="s">
        <v>467</v>
      </c>
      <c r="C218" s="1" t="s">
        <v>473</v>
      </c>
      <c r="D218" s="1"/>
      <c r="E218" s="1">
        <v>12</v>
      </c>
      <c r="F218" s="1" t="s">
        <v>24</v>
      </c>
      <c r="G218" s="4">
        <v>102</v>
      </c>
      <c r="H218" s="1">
        <v>0</v>
      </c>
      <c r="I218" s="1"/>
      <c r="J218" s="7">
        <v>560</v>
      </c>
      <c r="K218" s="7">
        <f t="shared" si="14"/>
        <v>46.666666666666664</v>
      </c>
      <c r="L218" s="1" t="s">
        <v>365</v>
      </c>
      <c r="M218" s="1" t="s">
        <v>408</v>
      </c>
      <c r="N218" s="1"/>
    </row>
    <row r="219" spans="1:14" x14ac:dyDescent="0.2">
      <c r="A219" t="s">
        <v>482</v>
      </c>
      <c r="B219" s="1" t="s">
        <v>467</v>
      </c>
      <c r="C219" s="1" t="s">
        <v>483</v>
      </c>
      <c r="D219" s="1" t="s">
        <v>200</v>
      </c>
      <c r="E219" s="1">
        <v>12</v>
      </c>
      <c r="F219" s="1" t="s">
        <v>24</v>
      </c>
      <c r="G219" s="4">
        <v>85</v>
      </c>
      <c r="H219" s="1">
        <v>0</v>
      </c>
      <c r="I219" s="1"/>
      <c r="J219" s="7">
        <v>620</v>
      </c>
      <c r="K219" s="7">
        <f t="shared" si="14"/>
        <v>51.666666666666664</v>
      </c>
      <c r="L219" s="1" t="s">
        <v>365</v>
      </c>
      <c r="M219" s="1" t="s">
        <v>408</v>
      </c>
      <c r="N219" s="1"/>
    </row>
    <row r="220" spans="1:14" x14ac:dyDescent="0.2">
      <c r="A220" t="s">
        <v>484</v>
      </c>
      <c r="B220" s="1" t="s">
        <v>467</v>
      </c>
      <c r="C220" s="1" t="s">
        <v>485</v>
      </c>
      <c r="D220" s="1" t="s">
        <v>200</v>
      </c>
      <c r="E220" s="1">
        <v>12</v>
      </c>
      <c r="F220" s="1" t="s">
        <v>24</v>
      </c>
      <c r="G220" s="4">
        <v>5</v>
      </c>
      <c r="H220" s="1">
        <v>0</v>
      </c>
      <c r="I220" s="1"/>
      <c r="J220" s="7">
        <v>644</v>
      </c>
      <c r="K220" s="7">
        <f t="shared" si="14"/>
        <v>53.666666666666664</v>
      </c>
      <c r="L220" s="1" t="s">
        <v>365</v>
      </c>
      <c r="M220" s="1" t="s">
        <v>408</v>
      </c>
      <c r="N220" s="1" t="s">
        <v>486</v>
      </c>
    </row>
    <row r="221" spans="1:14" x14ac:dyDescent="0.2">
      <c r="A221" t="s">
        <v>487</v>
      </c>
      <c r="B221" s="1" t="s">
        <v>467</v>
      </c>
      <c r="C221" s="1" t="s">
        <v>488</v>
      </c>
      <c r="D221" s="1" t="s">
        <v>200</v>
      </c>
      <c r="E221" s="1">
        <v>12</v>
      </c>
      <c r="F221" s="1" t="s">
        <v>24</v>
      </c>
      <c r="G221" s="4">
        <v>39</v>
      </c>
      <c r="H221" s="1">
        <v>0</v>
      </c>
      <c r="I221" s="1"/>
      <c r="J221" s="7">
        <v>644</v>
      </c>
      <c r="K221" s="7">
        <f t="shared" si="14"/>
        <v>53.666666666666664</v>
      </c>
      <c r="L221" s="1" t="s">
        <v>365</v>
      </c>
      <c r="M221" s="1" t="s">
        <v>408</v>
      </c>
      <c r="N221" s="1" t="s">
        <v>489</v>
      </c>
    </row>
    <row r="222" spans="1:14" x14ac:dyDescent="0.2">
      <c r="A222" t="s">
        <v>490</v>
      </c>
      <c r="B222" s="1" t="s">
        <v>467</v>
      </c>
      <c r="C222" s="1" t="s">
        <v>491</v>
      </c>
      <c r="D222" s="1">
        <v>2009</v>
      </c>
      <c r="E222" s="1">
        <v>6</v>
      </c>
      <c r="F222" s="1" t="s">
        <v>24</v>
      </c>
      <c r="G222" s="4">
        <v>4</v>
      </c>
      <c r="H222" s="1">
        <v>0</v>
      </c>
      <c r="I222" s="1"/>
      <c r="J222" s="7">
        <v>402</v>
      </c>
      <c r="K222" s="7">
        <f t="shared" si="14"/>
        <v>67</v>
      </c>
      <c r="L222" s="1" t="s">
        <v>365</v>
      </c>
      <c r="M222" s="1" t="s">
        <v>408</v>
      </c>
      <c r="N222" s="1" t="s">
        <v>287</v>
      </c>
    </row>
    <row r="223" spans="1:14" x14ac:dyDescent="0.2">
      <c r="A223" t="s">
        <v>493</v>
      </c>
      <c r="B223" s="1" t="s">
        <v>467</v>
      </c>
      <c r="C223" s="1" t="s">
        <v>494</v>
      </c>
      <c r="D223" s="1">
        <v>2009</v>
      </c>
      <c r="E223" s="1">
        <v>6</v>
      </c>
      <c r="F223" s="1" t="s">
        <v>24</v>
      </c>
      <c r="G223" s="4">
        <v>6</v>
      </c>
      <c r="H223" s="1">
        <v>0</v>
      </c>
      <c r="I223" s="1"/>
      <c r="J223" s="7">
        <v>422</v>
      </c>
      <c r="K223" s="7">
        <f t="shared" si="14"/>
        <v>70.333333333333329</v>
      </c>
      <c r="L223" s="1" t="s">
        <v>365</v>
      </c>
      <c r="M223" s="1" t="s">
        <v>408</v>
      </c>
      <c r="N223" s="1"/>
    </row>
    <row r="224" spans="1:14" x14ac:dyDescent="0.2">
      <c r="A224" t="s">
        <v>492</v>
      </c>
      <c r="B224" s="1" t="s">
        <v>467</v>
      </c>
      <c r="C224" s="1" t="s">
        <v>491</v>
      </c>
      <c r="D224" s="1">
        <v>2012</v>
      </c>
      <c r="E224" s="1">
        <v>6</v>
      </c>
      <c r="F224" s="1" t="s">
        <v>24</v>
      </c>
      <c r="G224" s="4">
        <v>20</v>
      </c>
      <c r="H224" s="1">
        <v>0</v>
      </c>
      <c r="I224" s="1"/>
      <c r="J224" s="7">
        <v>530</v>
      </c>
      <c r="K224" s="7">
        <f t="shared" si="14"/>
        <v>88.333333333333329</v>
      </c>
      <c r="L224" s="1" t="s">
        <v>365</v>
      </c>
      <c r="M224" s="1" t="s">
        <v>408</v>
      </c>
      <c r="N224" s="1"/>
    </row>
    <row r="225" spans="1:14" x14ac:dyDescent="0.2">
      <c r="A225" t="s">
        <v>470</v>
      </c>
      <c r="B225" s="1" t="s">
        <v>467</v>
      </c>
      <c r="C225" s="1" t="s">
        <v>471</v>
      </c>
      <c r="D225" s="1" t="s">
        <v>200</v>
      </c>
      <c r="E225" s="1">
        <v>3</v>
      </c>
      <c r="F225" s="1" t="s">
        <v>368</v>
      </c>
      <c r="G225" s="4">
        <v>4</v>
      </c>
      <c r="H225" s="1">
        <v>0</v>
      </c>
      <c r="I225" s="1"/>
      <c r="J225" s="7">
        <v>266</v>
      </c>
      <c r="K225" s="7">
        <f t="shared" si="14"/>
        <v>88.666666666666671</v>
      </c>
      <c r="L225" s="1" t="s">
        <v>365</v>
      </c>
      <c r="M225" s="1" t="s">
        <v>408</v>
      </c>
      <c r="N225" s="1" t="s">
        <v>383</v>
      </c>
    </row>
    <row r="226" spans="1:14" x14ac:dyDescent="0.2">
      <c r="A226" t="s">
        <v>495</v>
      </c>
      <c r="B226" s="1" t="s">
        <v>467</v>
      </c>
      <c r="C226" s="1" t="s">
        <v>494</v>
      </c>
      <c r="D226" s="1">
        <v>2012</v>
      </c>
      <c r="E226" s="1">
        <v>6</v>
      </c>
      <c r="F226" s="1" t="s">
        <v>24</v>
      </c>
      <c r="G226" s="4">
        <v>6</v>
      </c>
      <c r="H226" s="1">
        <v>0</v>
      </c>
      <c r="I226" s="1"/>
      <c r="J226" s="7">
        <v>560</v>
      </c>
      <c r="K226" s="7">
        <f t="shared" si="14"/>
        <v>93.333333333333329</v>
      </c>
      <c r="L226" s="1" t="s">
        <v>365</v>
      </c>
      <c r="M226" s="1" t="s">
        <v>408</v>
      </c>
      <c r="N226" s="1" t="s">
        <v>287</v>
      </c>
    </row>
    <row r="227" spans="1:14" x14ac:dyDescent="0.2">
      <c r="A227" t="s">
        <v>496</v>
      </c>
      <c r="B227" s="1" t="s">
        <v>467</v>
      </c>
      <c r="C227" s="1" t="s">
        <v>497</v>
      </c>
      <c r="D227" s="1">
        <v>2012</v>
      </c>
      <c r="E227" s="1">
        <v>6</v>
      </c>
      <c r="F227" s="1" t="s">
        <v>24</v>
      </c>
      <c r="G227" s="4">
        <v>20</v>
      </c>
      <c r="H227" s="1">
        <v>0</v>
      </c>
      <c r="I227" s="1"/>
      <c r="J227" s="7">
        <v>652</v>
      </c>
      <c r="K227" s="7">
        <f t="shared" si="14"/>
        <v>108.66666666666667</v>
      </c>
      <c r="L227" s="1" t="s">
        <v>365</v>
      </c>
      <c r="M227" s="1" t="s">
        <v>408</v>
      </c>
      <c r="N227" s="1"/>
    </row>
    <row r="228" spans="1:14" x14ac:dyDescent="0.2">
      <c r="A228" t="s">
        <v>498</v>
      </c>
      <c r="B228" s="1" t="s">
        <v>467</v>
      </c>
      <c r="C228" s="1" t="s">
        <v>499</v>
      </c>
      <c r="D228" s="1">
        <v>2005</v>
      </c>
      <c r="E228" s="1">
        <v>6</v>
      </c>
      <c r="F228" s="1" t="s">
        <v>24</v>
      </c>
      <c r="G228" s="4">
        <v>20</v>
      </c>
      <c r="H228" s="1">
        <v>0</v>
      </c>
      <c r="I228" s="1"/>
      <c r="J228" s="7">
        <v>814</v>
      </c>
      <c r="K228" s="7">
        <f t="shared" si="14"/>
        <v>135.66666666666666</v>
      </c>
      <c r="L228" s="1" t="s">
        <v>365</v>
      </c>
      <c r="M228" s="1" t="s">
        <v>408</v>
      </c>
      <c r="N228" s="1"/>
    </row>
    <row r="229" spans="1:14" x14ac:dyDescent="0.2">
      <c r="A229" s="4">
        <v>1300</v>
      </c>
      <c r="B229" s="4" t="s">
        <v>500</v>
      </c>
      <c r="K229" s="7"/>
    </row>
    <row r="230" spans="1:14" x14ac:dyDescent="0.2">
      <c r="A230" t="s">
        <v>505</v>
      </c>
      <c r="B230" s="1" t="s">
        <v>500</v>
      </c>
      <c r="C230" s="1" t="s">
        <v>506</v>
      </c>
      <c r="D230" s="1">
        <v>2023</v>
      </c>
      <c r="E230" s="1">
        <v>12</v>
      </c>
      <c r="F230" s="1" t="s">
        <v>24</v>
      </c>
      <c r="G230" s="4">
        <v>20</v>
      </c>
      <c r="H230" s="1">
        <v>0</v>
      </c>
      <c r="I230" s="1"/>
      <c r="J230" s="7">
        <v>152</v>
      </c>
      <c r="K230" s="7">
        <f t="shared" ref="K230:K237" si="15">J230/E230</f>
        <v>12.666666666666666</v>
      </c>
      <c r="L230" s="1" t="s">
        <v>503</v>
      </c>
      <c r="M230" s="1" t="s">
        <v>504</v>
      </c>
      <c r="N230" s="1"/>
    </row>
    <row r="231" spans="1:14" x14ac:dyDescent="0.2">
      <c r="A231" t="s">
        <v>515</v>
      </c>
      <c r="B231" s="1" t="s">
        <v>500</v>
      </c>
      <c r="C231" s="1" t="s">
        <v>506</v>
      </c>
      <c r="D231" s="1">
        <v>2024</v>
      </c>
      <c r="E231" s="1">
        <v>12</v>
      </c>
      <c r="F231" s="1" t="s">
        <v>24</v>
      </c>
      <c r="G231" s="4">
        <v>50</v>
      </c>
      <c r="H231" s="1">
        <v>0</v>
      </c>
      <c r="I231" s="1"/>
      <c r="J231" s="7">
        <v>168</v>
      </c>
      <c r="K231" s="7">
        <f t="shared" si="15"/>
        <v>14</v>
      </c>
      <c r="L231" s="1" t="s">
        <v>503</v>
      </c>
      <c r="M231" s="1" t="s">
        <v>504</v>
      </c>
      <c r="N231" s="1"/>
    </row>
    <row r="232" spans="1:14" x14ac:dyDescent="0.2">
      <c r="A232" t="s">
        <v>513</v>
      </c>
      <c r="B232" s="1" t="s">
        <v>500</v>
      </c>
      <c r="C232" s="1" t="s">
        <v>514</v>
      </c>
      <c r="D232" s="1">
        <v>2024</v>
      </c>
      <c r="E232" s="1">
        <v>12</v>
      </c>
      <c r="F232" s="1" t="s">
        <v>24</v>
      </c>
      <c r="G232" s="4">
        <v>20</v>
      </c>
      <c r="H232" s="1">
        <v>0</v>
      </c>
      <c r="I232" s="1"/>
      <c r="J232" s="7">
        <v>172</v>
      </c>
      <c r="K232" s="7">
        <f t="shared" si="15"/>
        <v>14.333333333333334</v>
      </c>
      <c r="L232" s="1" t="s">
        <v>503</v>
      </c>
      <c r="M232" s="1" t="s">
        <v>509</v>
      </c>
      <c r="N232" s="1"/>
    </row>
    <row r="233" spans="1:14" x14ac:dyDescent="0.2">
      <c r="A233" t="s">
        <v>516</v>
      </c>
      <c r="B233" s="1" t="s">
        <v>500</v>
      </c>
      <c r="C233" s="1" t="s">
        <v>514</v>
      </c>
      <c r="D233" s="1">
        <v>2025</v>
      </c>
      <c r="E233" s="1">
        <v>12</v>
      </c>
      <c r="F233" s="1" t="s">
        <v>24</v>
      </c>
      <c r="G233" s="4">
        <v>0</v>
      </c>
      <c r="H233" s="1">
        <v>50</v>
      </c>
      <c r="I233" s="10" t="s">
        <v>788</v>
      </c>
      <c r="J233" s="7">
        <v>172</v>
      </c>
      <c r="K233" s="7">
        <f t="shared" si="15"/>
        <v>14.333333333333334</v>
      </c>
      <c r="L233" s="1" t="s">
        <v>503</v>
      </c>
      <c r="M233" s="1" t="s">
        <v>509</v>
      </c>
      <c r="N233" s="1"/>
    </row>
    <row r="234" spans="1:14" x14ac:dyDescent="0.2">
      <c r="A234" t="s">
        <v>501</v>
      </c>
      <c r="B234" s="1" t="s">
        <v>500</v>
      </c>
      <c r="C234" s="1" t="s">
        <v>502</v>
      </c>
      <c r="D234" s="1">
        <v>2021</v>
      </c>
      <c r="E234" s="1">
        <v>12</v>
      </c>
      <c r="F234" s="1" t="s">
        <v>24</v>
      </c>
      <c r="G234" s="4">
        <v>2</v>
      </c>
      <c r="H234" s="1">
        <v>0</v>
      </c>
      <c r="I234" s="1"/>
      <c r="J234" s="7">
        <v>180</v>
      </c>
      <c r="K234" s="7">
        <f t="shared" si="15"/>
        <v>15</v>
      </c>
      <c r="L234" s="1" t="s">
        <v>503</v>
      </c>
      <c r="M234" s="1" t="s">
        <v>504</v>
      </c>
      <c r="N234" s="1"/>
    </row>
    <row r="235" spans="1:14" x14ac:dyDescent="0.2">
      <c r="A235" t="s">
        <v>512</v>
      </c>
      <c r="B235" s="1" t="s">
        <v>500</v>
      </c>
      <c r="C235" s="1" t="s">
        <v>502</v>
      </c>
      <c r="D235" s="1">
        <v>2023</v>
      </c>
      <c r="E235" s="1">
        <v>12</v>
      </c>
      <c r="F235" s="1" t="s">
        <v>24</v>
      </c>
      <c r="G235" s="4">
        <v>30</v>
      </c>
      <c r="H235" s="1">
        <v>0</v>
      </c>
      <c r="I235" s="1"/>
      <c r="J235" s="7">
        <v>208</v>
      </c>
      <c r="K235" s="7">
        <f t="shared" si="15"/>
        <v>17.333333333333332</v>
      </c>
      <c r="L235" s="1" t="s">
        <v>503</v>
      </c>
      <c r="M235" s="1" t="s">
        <v>504</v>
      </c>
      <c r="N235" s="1"/>
    </row>
    <row r="236" spans="1:14" x14ac:dyDescent="0.2">
      <c r="A236" t="s">
        <v>507</v>
      </c>
      <c r="B236" s="1" t="s">
        <v>500</v>
      </c>
      <c r="C236" s="1" t="s">
        <v>508</v>
      </c>
      <c r="D236" s="1">
        <v>2022</v>
      </c>
      <c r="E236" s="1">
        <v>12</v>
      </c>
      <c r="F236" s="1" t="s">
        <v>24</v>
      </c>
      <c r="G236" s="4">
        <v>29</v>
      </c>
      <c r="H236" s="1">
        <v>0</v>
      </c>
      <c r="I236" s="1"/>
      <c r="J236" s="7">
        <v>228</v>
      </c>
      <c r="K236" s="7">
        <f t="shared" si="15"/>
        <v>19</v>
      </c>
      <c r="L236" s="1" t="s">
        <v>503</v>
      </c>
      <c r="M236" s="1" t="s">
        <v>509</v>
      </c>
      <c r="N236" s="1"/>
    </row>
    <row r="237" spans="1:14" x14ac:dyDescent="0.2">
      <c r="A237" t="s">
        <v>510</v>
      </c>
      <c r="B237" s="1" t="s">
        <v>500</v>
      </c>
      <c r="C237" s="1" t="s">
        <v>511</v>
      </c>
      <c r="D237" s="1">
        <v>2022</v>
      </c>
      <c r="E237" s="1">
        <v>12</v>
      </c>
      <c r="F237" s="1" t="s">
        <v>24</v>
      </c>
      <c r="G237" s="4">
        <v>15</v>
      </c>
      <c r="H237" s="1">
        <v>0</v>
      </c>
      <c r="I237" s="1"/>
      <c r="J237" s="7">
        <v>260</v>
      </c>
      <c r="K237" s="7">
        <f t="shared" si="15"/>
        <v>21.666666666666668</v>
      </c>
      <c r="L237" s="1" t="s">
        <v>503</v>
      </c>
      <c r="M237" s="1" t="s">
        <v>504</v>
      </c>
      <c r="N237" s="1"/>
    </row>
    <row r="238" spans="1:14" x14ac:dyDescent="0.2">
      <c r="A238" s="4">
        <v>1310</v>
      </c>
      <c r="B238" s="4" t="s">
        <v>517</v>
      </c>
      <c r="K238" s="7"/>
    </row>
    <row r="239" spans="1:14" x14ac:dyDescent="0.2">
      <c r="A239" t="s">
        <v>521</v>
      </c>
      <c r="B239" s="1" t="s">
        <v>517</v>
      </c>
      <c r="C239" s="1" t="s">
        <v>522</v>
      </c>
      <c r="D239" s="1">
        <v>2022</v>
      </c>
      <c r="E239" s="1">
        <v>12</v>
      </c>
      <c r="F239" s="1" t="s">
        <v>24</v>
      </c>
      <c r="G239" s="4">
        <v>23</v>
      </c>
      <c r="H239" s="1">
        <v>0</v>
      </c>
      <c r="I239" s="1"/>
      <c r="J239" s="7">
        <v>120</v>
      </c>
      <c r="K239" s="7">
        <f>J239/E239</f>
        <v>10</v>
      </c>
      <c r="L239" s="1" t="s">
        <v>503</v>
      </c>
      <c r="M239" s="1" t="s">
        <v>520</v>
      </c>
      <c r="N239" s="1"/>
    </row>
    <row r="240" spans="1:14" x14ac:dyDescent="0.2">
      <c r="A240" t="s">
        <v>523</v>
      </c>
      <c r="B240" s="1" t="s">
        <v>517</v>
      </c>
      <c r="C240" s="1" t="s">
        <v>524</v>
      </c>
      <c r="D240" s="1">
        <v>2024</v>
      </c>
      <c r="E240" s="1">
        <v>12</v>
      </c>
      <c r="F240" s="1" t="s">
        <v>24</v>
      </c>
      <c r="G240" s="4">
        <v>67</v>
      </c>
      <c r="H240" s="1">
        <v>150</v>
      </c>
      <c r="I240" s="10" t="s">
        <v>788</v>
      </c>
      <c r="J240" s="7">
        <v>128</v>
      </c>
      <c r="K240" s="7">
        <f>J240/E240</f>
        <v>10.666666666666666</v>
      </c>
      <c r="L240" s="1" t="s">
        <v>503</v>
      </c>
      <c r="M240" s="1" t="s">
        <v>520</v>
      </c>
      <c r="N240" s="1"/>
    </row>
    <row r="241" spans="1:14" x14ac:dyDescent="0.2">
      <c r="A241" t="s">
        <v>518</v>
      </c>
      <c r="B241" s="1" t="s">
        <v>517</v>
      </c>
      <c r="C241" s="1" t="s">
        <v>519</v>
      </c>
      <c r="D241" s="1" t="s">
        <v>200</v>
      </c>
      <c r="E241" s="1">
        <v>12</v>
      </c>
      <c r="F241" s="1" t="s">
        <v>24</v>
      </c>
      <c r="G241" s="4">
        <v>86</v>
      </c>
      <c r="H241" s="1">
        <v>0</v>
      </c>
      <c r="I241" s="1"/>
      <c r="J241" s="7">
        <v>168</v>
      </c>
      <c r="K241" s="7">
        <f>J241/E241</f>
        <v>14</v>
      </c>
      <c r="L241" s="1" t="s">
        <v>503</v>
      </c>
      <c r="M241" s="1" t="s">
        <v>520</v>
      </c>
      <c r="N241" s="1"/>
    </row>
    <row r="242" spans="1:14" x14ac:dyDescent="0.2">
      <c r="A242" s="4">
        <v>1320</v>
      </c>
      <c r="B242" s="4" t="s">
        <v>525</v>
      </c>
      <c r="K242" s="7"/>
    </row>
    <row r="243" spans="1:14" x14ac:dyDescent="0.2">
      <c r="A243" t="s">
        <v>526</v>
      </c>
      <c r="B243" s="1" t="s">
        <v>525</v>
      </c>
      <c r="C243" s="1" t="s">
        <v>527</v>
      </c>
      <c r="D243" s="1">
        <v>2023</v>
      </c>
      <c r="E243" s="1">
        <v>12</v>
      </c>
      <c r="F243" s="1" t="s">
        <v>24</v>
      </c>
      <c r="G243" s="4">
        <v>5</v>
      </c>
      <c r="H243" s="1">
        <v>0</v>
      </c>
      <c r="I243" s="1"/>
      <c r="J243" s="7">
        <v>124</v>
      </c>
      <c r="K243" s="7">
        <f t="shared" ref="K243:K250" si="16">J243/E243</f>
        <v>10.333333333333334</v>
      </c>
      <c r="L243" s="1" t="s">
        <v>503</v>
      </c>
      <c r="M243" s="1" t="s">
        <v>528</v>
      </c>
      <c r="N243" s="1"/>
    </row>
    <row r="244" spans="1:14" x14ac:dyDescent="0.2">
      <c r="A244" t="s">
        <v>539</v>
      </c>
      <c r="B244" s="1" t="s">
        <v>525</v>
      </c>
      <c r="C244" s="1" t="s">
        <v>527</v>
      </c>
      <c r="D244" s="1">
        <v>2024</v>
      </c>
      <c r="E244" s="1">
        <v>12</v>
      </c>
      <c r="F244" s="1" t="s">
        <v>24</v>
      </c>
      <c r="G244" s="4">
        <v>100</v>
      </c>
      <c r="H244" s="1">
        <v>100</v>
      </c>
      <c r="I244" s="10" t="s">
        <v>788</v>
      </c>
      <c r="J244" s="7">
        <v>140</v>
      </c>
      <c r="K244" s="7">
        <f t="shared" si="16"/>
        <v>11.666666666666666</v>
      </c>
      <c r="L244" s="1" t="s">
        <v>503</v>
      </c>
      <c r="M244" s="1" t="s">
        <v>528</v>
      </c>
      <c r="N244" s="1"/>
    </row>
    <row r="245" spans="1:14" x14ac:dyDescent="0.2">
      <c r="A245" t="s">
        <v>533</v>
      </c>
      <c r="B245" s="1" t="s">
        <v>525</v>
      </c>
      <c r="C245" s="1" t="s">
        <v>534</v>
      </c>
      <c r="D245" s="1">
        <v>2023</v>
      </c>
      <c r="E245" s="1">
        <v>12</v>
      </c>
      <c r="F245" s="1" t="s">
        <v>24</v>
      </c>
      <c r="G245" s="4">
        <v>20</v>
      </c>
      <c r="H245" s="1">
        <v>0</v>
      </c>
      <c r="I245" s="1"/>
      <c r="J245" s="7">
        <v>144</v>
      </c>
      <c r="K245" s="7">
        <f t="shared" si="16"/>
        <v>12</v>
      </c>
      <c r="L245" s="1" t="s">
        <v>503</v>
      </c>
      <c r="M245" s="1" t="s">
        <v>528</v>
      </c>
      <c r="N245" s="1" t="s">
        <v>535</v>
      </c>
    </row>
    <row r="246" spans="1:14" x14ac:dyDescent="0.2">
      <c r="A246" t="s">
        <v>536</v>
      </c>
      <c r="B246" s="1" t="s">
        <v>525</v>
      </c>
      <c r="C246" s="1" t="s">
        <v>537</v>
      </c>
      <c r="D246" s="1">
        <v>2022</v>
      </c>
      <c r="E246" s="1">
        <v>12</v>
      </c>
      <c r="F246" s="1" t="s">
        <v>24</v>
      </c>
      <c r="G246" s="4">
        <v>17</v>
      </c>
      <c r="H246" s="1">
        <v>0</v>
      </c>
      <c r="I246" s="1"/>
      <c r="J246" s="7">
        <v>176</v>
      </c>
      <c r="K246" s="7">
        <f t="shared" si="16"/>
        <v>14.666666666666666</v>
      </c>
      <c r="L246" s="1" t="s">
        <v>503</v>
      </c>
      <c r="M246" s="1" t="s">
        <v>528</v>
      </c>
      <c r="N246" s="1"/>
    </row>
    <row r="247" spans="1:14" x14ac:dyDescent="0.2">
      <c r="A247" t="s">
        <v>530</v>
      </c>
      <c r="B247" s="1" t="s">
        <v>525</v>
      </c>
      <c r="C247" s="1" t="s">
        <v>531</v>
      </c>
      <c r="D247" s="1">
        <v>2009</v>
      </c>
      <c r="E247" s="1">
        <v>6</v>
      </c>
      <c r="F247" s="1" t="s">
        <v>24</v>
      </c>
      <c r="G247" s="4">
        <v>20</v>
      </c>
      <c r="H247" s="1">
        <v>0</v>
      </c>
      <c r="I247" s="1"/>
      <c r="J247" s="7">
        <v>180</v>
      </c>
      <c r="K247" s="7">
        <f t="shared" si="16"/>
        <v>30</v>
      </c>
      <c r="L247" s="1" t="s">
        <v>503</v>
      </c>
      <c r="M247" s="1" t="s">
        <v>528</v>
      </c>
      <c r="N247" s="1"/>
    </row>
    <row r="248" spans="1:14" x14ac:dyDescent="0.2">
      <c r="A248" t="s">
        <v>538</v>
      </c>
      <c r="B248" s="1" t="s">
        <v>525</v>
      </c>
      <c r="C248" s="1" t="s">
        <v>537</v>
      </c>
      <c r="D248" s="1">
        <v>2000</v>
      </c>
      <c r="E248" s="1">
        <v>6</v>
      </c>
      <c r="F248" s="1" t="s">
        <v>24</v>
      </c>
      <c r="G248" s="4">
        <v>25</v>
      </c>
      <c r="H248" s="1">
        <v>0</v>
      </c>
      <c r="I248" s="1"/>
      <c r="J248" s="7">
        <v>250</v>
      </c>
      <c r="K248" s="7">
        <f t="shared" si="16"/>
        <v>41.666666666666664</v>
      </c>
      <c r="L248" s="1" t="s">
        <v>503</v>
      </c>
      <c r="M248" s="1" t="s">
        <v>528</v>
      </c>
      <c r="N248" s="1"/>
    </row>
    <row r="249" spans="1:14" x14ac:dyDescent="0.2">
      <c r="A249" t="s">
        <v>529</v>
      </c>
      <c r="B249" s="1" t="s">
        <v>525</v>
      </c>
      <c r="C249" s="1" t="s">
        <v>527</v>
      </c>
      <c r="D249" s="1">
        <v>2005</v>
      </c>
      <c r="E249" s="1">
        <v>6</v>
      </c>
      <c r="F249" s="1" t="s">
        <v>24</v>
      </c>
      <c r="G249" s="4">
        <v>16</v>
      </c>
      <c r="H249" s="1">
        <v>0</v>
      </c>
      <c r="I249" s="1"/>
      <c r="J249" s="7">
        <v>272</v>
      </c>
      <c r="K249" s="7">
        <f t="shared" si="16"/>
        <v>45.333333333333336</v>
      </c>
      <c r="L249" s="1" t="s">
        <v>503</v>
      </c>
      <c r="M249" s="1" t="s">
        <v>528</v>
      </c>
      <c r="N249" s="1"/>
    </row>
    <row r="250" spans="1:14" x14ac:dyDescent="0.2">
      <c r="A250" t="s">
        <v>532</v>
      </c>
      <c r="B250" s="1" t="s">
        <v>525</v>
      </c>
      <c r="C250" s="1" t="s">
        <v>531</v>
      </c>
      <c r="D250" s="1">
        <v>1989</v>
      </c>
      <c r="E250" s="1">
        <v>6</v>
      </c>
      <c r="F250" s="1" t="s">
        <v>24</v>
      </c>
      <c r="G250" s="4">
        <v>21</v>
      </c>
      <c r="H250" s="1">
        <v>0</v>
      </c>
      <c r="I250" s="1"/>
      <c r="J250" s="7">
        <v>368</v>
      </c>
      <c r="K250" s="7">
        <f t="shared" si="16"/>
        <v>61.333333333333336</v>
      </c>
      <c r="L250" s="1" t="s">
        <v>503</v>
      </c>
      <c r="M250" s="1" t="s">
        <v>528</v>
      </c>
      <c r="N250" s="1"/>
    </row>
    <row r="251" spans="1:14" x14ac:dyDescent="0.2">
      <c r="A251" s="4">
        <v>1380</v>
      </c>
      <c r="B251" s="4" t="s">
        <v>540</v>
      </c>
      <c r="K251" s="7"/>
    </row>
    <row r="252" spans="1:14" x14ac:dyDescent="0.2">
      <c r="A252" t="s">
        <v>541</v>
      </c>
      <c r="B252" s="1" t="s">
        <v>540</v>
      </c>
      <c r="C252" s="1" t="s">
        <v>542</v>
      </c>
      <c r="D252" s="1">
        <v>2021</v>
      </c>
      <c r="E252" s="1">
        <v>12</v>
      </c>
      <c r="F252" s="1" t="s">
        <v>24</v>
      </c>
      <c r="G252" s="4">
        <v>7</v>
      </c>
      <c r="H252" s="1">
        <v>0</v>
      </c>
      <c r="I252" s="1"/>
      <c r="J252" s="7">
        <v>120</v>
      </c>
      <c r="K252" s="7">
        <f t="shared" ref="K252:K262" si="17">J252/E252</f>
        <v>10</v>
      </c>
      <c r="L252" s="1" t="s">
        <v>503</v>
      </c>
      <c r="M252" s="1" t="s">
        <v>543</v>
      </c>
      <c r="N252" s="1"/>
    </row>
    <row r="253" spans="1:14" x14ac:dyDescent="0.2">
      <c r="A253" t="s">
        <v>549</v>
      </c>
      <c r="B253" s="1" t="s">
        <v>540</v>
      </c>
      <c r="C253" s="1" t="s">
        <v>550</v>
      </c>
      <c r="D253" s="1">
        <v>2021</v>
      </c>
      <c r="E253" s="1">
        <v>12</v>
      </c>
      <c r="F253" s="1" t="s">
        <v>24</v>
      </c>
      <c r="G253" s="4">
        <v>12</v>
      </c>
      <c r="H253" s="1">
        <v>0</v>
      </c>
      <c r="I253" s="1"/>
      <c r="J253" s="7">
        <v>124</v>
      </c>
      <c r="K253" s="7">
        <f t="shared" si="17"/>
        <v>10.333333333333334</v>
      </c>
      <c r="L253" s="1" t="s">
        <v>503</v>
      </c>
      <c r="M253" s="1" t="s">
        <v>546</v>
      </c>
      <c r="N253" s="1"/>
    </row>
    <row r="254" spans="1:14" x14ac:dyDescent="0.2">
      <c r="A254" t="s">
        <v>557</v>
      </c>
      <c r="B254" s="1" t="s">
        <v>540</v>
      </c>
      <c r="C254" s="1" t="s">
        <v>550</v>
      </c>
      <c r="D254" s="1">
        <v>2023</v>
      </c>
      <c r="E254" s="1">
        <v>12</v>
      </c>
      <c r="F254" s="1" t="s">
        <v>24</v>
      </c>
      <c r="G254" s="4">
        <v>105</v>
      </c>
      <c r="H254" s="1">
        <v>0</v>
      </c>
      <c r="I254" s="1"/>
      <c r="J254" s="7">
        <v>136</v>
      </c>
      <c r="K254" s="7">
        <f t="shared" si="17"/>
        <v>11.333333333333334</v>
      </c>
      <c r="L254" s="1" t="s">
        <v>503</v>
      </c>
      <c r="M254" s="1" t="s">
        <v>546</v>
      </c>
      <c r="N254" s="1"/>
    </row>
    <row r="255" spans="1:14" x14ac:dyDescent="0.2">
      <c r="A255" t="s">
        <v>553</v>
      </c>
      <c r="B255" s="1" t="s">
        <v>540</v>
      </c>
      <c r="C255" s="1" t="s">
        <v>554</v>
      </c>
      <c r="D255" s="1">
        <v>2023</v>
      </c>
      <c r="E255" s="1">
        <v>12</v>
      </c>
      <c r="F255" s="1" t="s">
        <v>24</v>
      </c>
      <c r="G255" s="4">
        <v>41</v>
      </c>
      <c r="H255" s="1">
        <v>0</v>
      </c>
      <c r="I255" s="1"/>
      <c r="J255" s="7">
        <v>188</v>
      </c>
      <c r="K255" s="7">
        <f t="shared" si="17"/>
        <v>15.666666666666666</v>
      </c>
      <c r="L255" s="1" t="s">
        <v>503</v>
      </c>
      <c r="M255" s="1" t="s">
        <v>546</v>
      </c>
      <c r="N255" s="1"/>
    </row>
    <row r="256" spans="1:14" x14ac:dyDescent="0.2">
      <c r="A256" t="s">
        <v>551</v>
      </c>
      <c r="B256" s="1" t="s">
        <v>540</v>
      </c>
      <c r="C256" s="1" t="s">
        <v>552</v>
      </c>
      <c r="D256" s="1">
        <v>2022</v>
      </c>
      <c r="E256" s="1">
        <v>12</v>
      </c>
      <c r="F256" s="1" t="s">
        <v>24</v>
      </c>
      <c r="G256" s="4">
        <v>79</v>
      </c>
      <c r="H256" s="1">
        <v>0</v>
      </c>
      <c r="I256" s="1"/>
      <c r="J256" s="7">
        <v>188</v>
      </c>
      <c r="K256" s="7">
        <f t="shared" si="17"/>
        <v>15.666666666666666</v>
      </c>
      <c r="L256" s="1" t="s">
        <v>503</v>
      </c>
      <c r="M256" s="1" t="s">
        <v>546</v>
      </c>
      <c r="N256" s="1"/>
    </row>
    <row r="257" spans="1:14" x14ac:dyDescent="0.2">
      <c r="A257" t="s">
        <v>560</v>
      </c>
      <c r="B257" s="1" t="s">
        <v>540</v>
      </c>
      <c r="C257" s="1" t="s">
        <v>561</v>
      </c>
      <c r="D257" s="1">
        <v>2023</v>
      </c>
      <c r="E257" s="1">
        <v>12</v>
      </c>
      <c r="F257" s="1" t="s">
        <v>24</v>
      </c>
      <c r="G257" s="4">
        <v>23</v>
      </c>
      <c r="H257" s="1">
        <v>0</v>
      </c>
      <c r="I257" s="1"/>
      <c r="J257" s="7">
        <v>192</v>
      </c>
      <c r="K257" s="7">
        <f t="shared" si="17"/>
        <v>16</v>
      </c>
      <c r="L257" s="1" t="s">
        <v>503</v>
      </c>
      <c r="M257" s="1" t="s">
        <v>546</v>
      </c>
      <c r="N257" s="1"/>
    </row>
    <row r="258" spans="1:14" x14ac:dyDescent="0.2">
      <c r="A258" t="s">
        <v>547</v>
      </c>
      <c r="B258" s="1" t="s">
        <v>540</v>
      </c>
      <c r="C258" s="1" t="s">
        <v>548</v>
      </c>
      <c r="D258" s="1">
        <v>2021</v>
      </c>
      <c r="E258" s="1">
        <v>12</v>
      </c>
      <c r="F258" s="1" t="s">
        <v>24</v>
      </c>
      <c r="G258" s="4">
        <v>15</v>
      </c>
      <c r="H258" s="1">
        <v>0</v>
      </c>
      <c r="I258" s="1"/>
      <c r="J258" s="7">
        <v>208</v>
      </c>
      <c r="K258" s="7">
        <f t="shared" si="17"/>
        <v>17.333333333333332</v>
      </c>
      <c r="L258" s="1" t="s">
        <v>503</v>
      </c>
      <c r="M258" s="1" t="s">
        <v>546</v>
      </c>
      <c r="N258" s="1"/>
    </row>
    <row r="259" spans="1:14" x14ac:dyDescent="0.2">
      <c r="A259" t="s">
        <v>562</v>
      </c>
      <c r="B259" s="1" t="s">
        <v>540</v>
      </c>
      <c r="C259" s="1" t="s">
        <v>563</v>
      </c>
      <c r="D259" s="1">
        <v>2022</v>
      </c>
      <c r="E259" s="1">
        <v>12</v>
      </c>
      <c r="F259" s="1" t="s">
        <v>24</v>
      </c>
      <c r="G259" s="4">
        <v>28</v>
      </c>
      <c r="H259" s="1">
        <v>0</v>
      </c>
      <c r="I259" s="1"/>
      <c r="J259" s="7">
        <v>220</v>
      </c>
      <c r="K259" s="7">
        <f t="shared" si="17"/>
        <v>18.333333333333332</v>
      </c>
      <c r="L259" s="1" t="s">
        <v>503</v>
      </c>
      <c r="M259" s="1" t="s">
        <v>546</v>
      </c>
      <c r="N259" s="1"/>
    </row>
    <row r="260" spans="1:14" x14ac:dyDescent="0.2">
      <c r="A260" t="s">
        <v>544</v>
      </c>
      <c r="B260" s="1" t="s">
        <v>540</v>
      </c>
      <c r="C260" s="1" t="s">
        <v>545</v>
      </c>
      <c r="D260" s="1">
        <v>2021</v>
      </c>
      <c r="E260" s="1">
        <v>12</v>
      </c>
      <c r="F260" s="1" t="s">
        <v>24</v>
      </c>
      <c r="G260" s="4">
        <v>5</v>
      </c>
      <c r="H260" s="1">
        <v>0</v>
      </c>
      <c r="I260" s="1"/>
      <c r="J260" s="7">
        <v>252</v>
      </c>
      <c r="K260" s="7">
        <f t="shared" si="17"/>
        <v>21</v>
      </c>
      <c r="L260" s="1" t="s">
        <v>503</v>
      </c>
      <c r="M260" s="1" t="s">
        <v>546</v>
      </c>
      <c r="N260" s="1"/>
    </row>
    <row r="261" spans="1:14" x14ac:dyDescent="0.2">
      <c r="A261" t="s">
        <v>558</v>
      </c>
      <c r="B261" s="1" t="s">
        <v>540</v>
      </c>
      <c r="C261" s="1" t="s">
        <v>559</v>
      </c>
      <c r="D261" s="1">
        <v>2018</v>
      </c>
      <c r="E261" s="1">
        <v>6</v>
      </c>
      <c r="F261" s="1" t="s">
        <v>24</v>
      </c>
      <c r="G261" s="4">
        <v>13</v>
      </c>
      <c r="H261" s="1">
        <v>0</v>
      </c>
      <c r="I261" s="1"/>
      <c r="J261" s="7">
        <v>160</v>
      </c>
      <c r="K261" s="7">
        <f t="shared" si="17"/>
        <v>26.666666666666668</v>
      </c>
      <c r="L261" s="1" t="s">
        <v>503</v>
      </c>
      <c r="M261" s="1" t="s">
        <v>546</v>
      </c>
      <c r="N261" s="1"/>
    </row>
    <row r="262" spans="1:14" x14ac:dyDescent="0.2">
      <c r="A262" t="s">
        <v>555</v>
      </c>
      <c r="B262" s="1" t="s">
        <v>540</v>
      </c>
      <c r="C262" s="1" t="s">
        <v>556</v>
      </c>
      <c r="D262" s="1">
        <v>2019</v>
      </c>
      <c r="E262" s="1">
        <v>6</v>
      </c>
      <c r="F262" s="1" t="s">
        <v>24</v>
      </c>
      <c r="G262" s="4">
        <v>2</v>
      </c>
      <c r="H262" s="1">
        <v>0</v>
      </c>
      <c r="I262" s="1"/>
      <c r="J262" s="7">
        <v>180</v>
      </c>
      <c r="K262" s="7">
        <f t="shared" si="17"/>
        <v>30</v>
      </c>
      <c r="L262" s="1" t="s">
        <v>503</v>
      </c>
      <c r="M262" s="1" t="s">
        <v>546</v>
      </c>
      <c r="N262" s="1"/>
    </row>
    <row r="263" spans="1:14" x14ac:dyDescent="0.2">
      <c r="A263" s="4">
        <v>1480</v>
      </c>
      <c r="B263" s="4" t="s">
        <v>564</v>
      </c>
      <c r="K263" s="7"/>
    </row>
    <row r="264" spans="1:14" x14ac:dyDescent="0.2">
      <c r="A264" t="s">
        <v>572</v>
      </c>
      <c r="B264" s="1" t="s">
        <v>564</v>
      </c>
      <c r="C264" s="1" t="s">
        <v>573</v>
      </c>
      <c r="D264" s="1">
        <v>2024</v>
      </c>
      <c r="E264" s="1">
        <v>12</v>
      </c>
      <c r="F264" s="1" t="s">
        <v>24</v>
      </c>
      <c r="G264" s="4">
        <v>290</v>
      </c>
      <c r="H264" s="1">
        <v>0</v>
      </c>
      <c r="I264" s="1"/>
      <c r="J264" s="7">
        <v>108</v>
      </c>
      <c r="K264" s="7">
        <f>J264/E264</f>
        <v>9</v>
      </c>
      <c r="L264" s="1" t="s">
        <v>503</v>
      </c>
      <c r="M264" s="1" t="s">
        <v>445</v>
      </c>
      <c r="N264" s="1"/>
    </row>
    <row r="265" spans="1:14" x14ac:dyDescent="0.2">
      <c r="A265" t="s">
        <v>570</v>
      </c>
      <c r="B265" s="1" t="s">
        <v>564</v>
      </c>
      <c r="C265" s="1" t="s">
        <v>571</v>
      </c>
      <c r="D265" s="1">
        <v>2023</v>
      </c>
      <c r="E265" s="1">
        <v>12</v>
      </c>
      <c r="F265" s="1" t="s">
        <v>24</v>
      </c>
      <c r="G265" s="4">
        <v>22</v>
      </c>
      <c r="H265" s="1">
        <v>0</v>
      </c>
      <c r="I265" s="1"/>
      <c r="J265" s="7">
        <v>124</v>
      </c>
      <c r="K265" s="7">
        <f>J265/E265</f>
        <v>10.333333333333334</v>
      </c>
      <c r="L265" s="1" t="s">
        <v>503</v>
      </c>
      <c r="M265" s="1" t="s">
        <v>567</v>
      </c>
      <c r="N265" s="1"/>
    </row>
    <row r="266" spans="1:14" x14ac:dyDescent="0.2">
      <c r="A266" t="s">
        <v>574</v>
      </c>
      <c r="B266" s="1" t="s">
        <v>564</v>
      </c>
      <c r="C266" s="1" t="s">
        <v>571</v>
      </c>
      <c r="D266" s="1">
        <v>2024</v>
      </c>
      <c r="E266" s="1">
        <v>12</v>
      </c>
      <c r="F266" s="1" t="s">
        <v>24</v>
      </c>
      <c r="G266" s="4">
        <v>0</v>
      </c>
      <c r="H266" s="1">
        <v>50</v>
      </c>
      <c r="I266" s="10" t="s">
        <v>788</v>
      </c>
      <c r="J266" s="7">
        <v>128</v>
      </c>
      <c r="K266" s="7">
        <f>J266/E266</f>
        <v>10.666666666666666</v>
      </c>
      <c r="L266" s="1" t="s">
        <v>503</v>
      </c>
      <c r="M266" s="1" t="s">
        <v>567</v>
      </c>
      <c r="N266" s="1"/>
    </row>
    <row r="267" spans="1:14" x14ac:dyDescent="0.2">
      <c r="A267" t="s">
        <v>565</v>
      </c>
      <c r="B267" s="1" t="s">
        <v>564</v>
      </c>
      <c r="C267" s="1" t="s">
        <v>566</v>
      </c>
      <c r="D267" s="1" t="s">
        <v>200</v>
      </c>
      <c r="E267" s="1">
        <v>12</v>
      </c>
      <c r="F267" s="1" t="s">
        <v>24</v>
      </c>
      <c r="G267" s="4">
        <v>8</v>
      </c>
      <c r="H267" s="1">
        <v>50</v>
      </c>
      <c r="I267" s="10" t="s">
        <v>788</v>
      </c>
      <c r="J267" s="7">
        <v>136</v>
      </c>
      <c r="K267" s="7">
        <f>J267/E267</f>
        <v>11.333333333333334</v>
      </c>
      <c r="L267" s="1" t="s">
        <v>503</v>
      </c>
      <c r="M267" s="1" t="s">
        <v>567</v>
      </c>
      <c r="N267" s="1"/>
    </row>
    <row r="268" spans="1:14" x14ac:dyDescent="0.2">
      <c r="A268" t="s">
        <v>568</v>
      </c>
      <c r="B268" s="1" t="s">
        <v>564</v>
      </c>
      <c r="C268" s="1" t="s">
        <v>569</v>
      </c>
      <c r="D268" s="1">
        <v>2020</v>
      </c>
      <c r="E268" s="1">
        <v>12</v>
      </c>
      <c r="F268" s="1" t="s">
        <v>24</v>
      </c>
      <c r="G268" s="4">
        <v>46</v>
      </c>
      <c r="H268" s="1">
        <v>0</v>
      </c>
      <c r="I268" s="1"/>
      <c r="J268" s="7">
        <v>152</v>
      </c>
      <c r="K268" s="7">
        <f>J268/E268</f>
        <v>12.666666666666666</v>
      </c>
      <c r="L268" s="1" t="s">
        <v>503</v>
      </c>
      <c r="M268" s="1" t="s">
        <v>567</v>
      </c>
      <c r="N268" s="1"/>
    </row>
    <row r="269" spans="1:14" x14ac:dyDescent="0.2">
      <c r="A269" s="4">
        <v>1500</v>
      </c>
      <c r="B269" s="4" t="s">
        <v>575</v>
      </c>
      <c r="K269" s="7"/>
    </row>
    <row r="270" spans="1:14" x14ac:dyDescent="0.2">
      <c r="A270" t="s">
        <v>592</v>
      </c>
      <c r="B270" s="1" t="s">
        <v>575</v>
      </c>
      <c r="C270" s="1" t="s">
        <v>593</v>
      </c>
      <c r="D270" s="1" t="s">
        <v>200</v>
      </c>
      <c r="E270" s="1">
        <v>12</v>
      </c>
      <c r="F270" s="1" t="s">
        <v>24</v>
      </c>
      <c r="G270" s="4">
        <v>45</v>
      </c>
      <c r="H270" s="1">
        <v>0</v>
      </c>
      <c r="I270" s="1"/>
      <c r="J270" s="7">
        <v>396</v>
      </c>
      <c r="K270" s="7">
        <f t="shared" ref="K270:K278" si="18">J270/E270</f>
        <v>33</v>
      </c>
      <c r="L270" s="1" t="s">
        <v>365</v>
      </c>
      <c r="M270" s="1" t="s">
        <v>579</v>
      </c>
      <c r="N270" s="1" t="s">
        <v>594</v>
      </c>
    </row>
    <row r="271" spans="1:14" x14ac:dyDescent="0.2">
      <c r="A271" t="s">
        <v>576</v>
      </c>
      <c r="B271" s="1" t="s">
        <v>575</v>
      </c>
      <c r="C271" s="1" t="s">
        <v>577</v>
      </c>
      <c r="D271" s="1" t="s">
        <v>578</v>
      </c>
      <c r="E271" s="1">
        <v>12</v>
      </c>
      <c r="F271" s="1" t="s">
        <v>24</v>
      </c>
      <c r="G271" s="4">
        <v>92</v>
      </c>
      <c r="H271" s="1">
        <v>0</v>
      </c>
      <c r="I271" s="1"/>
      <c r="J271" s="7">
        <v>404</v>
      </c>
      <c r="K271" s="7">
        <f t="shared" si="18"/>
        <v>33.666666666666664</v>
      </c>
      <c r="L271" s="1" t="s">
        <v>365</v>
      </c>
      <c r="M271" s="1" t="s">
        <v>579</v>
      </c>
      <c r="N271" s="1"/>
    </row>
    <row r="272" spans="1:14" x14ac:dyDescent="0.2">
      <c r="A272" t="s">
        <v>585</v>
      </c>
      <c r="B272" s="1" t="s">
        <v>575</v>
      </c>
      <c r="C272" s="1" t="s">
        <v>586</v>
      </c>
      <c r="D272" s="1" t="s">
        <v>200</v>
      </c>
      <c r="E272" s="1">
        <v>12</v>
      </c>
      <c r="F272" s="1" t="s">
        <v>24</v>
      </c>
      <c r="G272" s="4">
        <v>2</v>
      </c>
      <c r="H272" s="1">
        <v>0</v>
      </c>
      <c r="I272" s="1"/>
      <c r="J272" s="7">
        <v>432</v>
      </c>
      <c r="K272" s="7">
        <f t="shared" si="18"/>
        <v>36</v>
      </c>
      <c r="L272" s="1" t="s">
        <v>365</v>
      </c>
      <c r="M272" s="1" t="s">
        <v>579</v>
      </c>
      <c r="N272" s="1" t="s">
        <v>587</v>
      </c>
    </row>
    <row r="273" spans="1:14" x14ac:dyDescent="0.2">
      <c r="A273" t="s">
        <v>580</v>
      </c>
      <c r="B273" s="1" t="s">
        <v>575</v>
      </c>
      <c r="C273" s="1" t="s">
        <v>581</v>
      </c>
      <c r="D273" s="1" t="s">
        <v>200</v>
      </c>
      <c r="E273" s="1">
        <v>12</v>
      </c>
      <c r="F273" s="1" t="s">
        <v>24</v>
      </c>
      <c r="G273" s="4">
        <v>19</v>
      </c>
      <c r="H273" s="1">
        <v>0</v>
      </c>
      <c r="I273" s="1"/>
      <c r="J273" s="7">
        <v>432</v>
      </c>
      <c r="K273" s="7">
        <f t="shared" si="18"/>
        <v>36</v>
      </c>
      <c r="L273" s="1" t="s">
        <v>365</v>
      </c>
      <c r="M273" s="1" t="s">
        <v>579</v>
      </c>
      <c r="N273" s="1" t="s">
        <v>582</v>
      </c>
    </row>
    <row r="274" spans="1:14" x14ac:dyDescent="0.2">
      <c r="A274" t="s">
        <v>588</v>
      </c>
      <c r="B274" s="1" t="s">
        <v>575</v>
      </c>
      <c r="C274" s="1" t="s">
        <v>589</v>
      </c>
      <c r="D274" s="1" t="s">
        <v>200</v>
      </c>
      <c r="E274" s="1">
        <v>12</v>
      </c>
      <c r="F274" s="1" t="s">
        <v>24</v>
      </c>
      <c r="G274" s="4">
        <v>18</v>
      </c>
      <c r="H274" s="1">
        <v>0</v>
      </c>
      <c r="I274" s="1"/>
      <c r="J274" s="7">
        <v>436</v>
      </c>
      <c r="K274" s="7">
        <f t="shared" si="18"/>
        <v>36.333333333333336</v>
      </c>
      <c r="L274" s="1" t="s">
        <v>365</v>
      </c>
      <c r="M274" s="1" t="s">
        <v>579</v>
      </c>
      <c r="N274" s="1" t="s">
        <v>582</v>
      </c>
    </row>
    <row r="275" spans="1:14" x14ac:dyDescent="0.2">
      <c r="A275" t="s">
        <v>583</v>
      </c>
      <c r="B275" s="1" t="s">
        <v>575</v>
      </c>
      <c r="C275" s="1" t="s">
        <v>584</v>
      </c>
      <c r="D275" s="1" t="s">
        <v>200</v>
      </c>
      <c r="E275" s="1">
        <v>12</v>
      </c>
      <c r="F275" s="1" t="s">
        <v>24</v>
      </c>
      <c r="G275" s="4">
        <v>20</v>
      </c>
      <c r="H275" s="1">
        <v>0</v>
      </c>
      <c r="I275" s="1"/>
      <c r="J275" s="7">
        <v>486</v>
      </c>
      <c r="K275" s="7">
        <f t="shared" si="18"/>
        <v>40.5</v>
      </c>
      <c r="L275" s="1" t="s">
        <v>365</v>
      </c>
      <c r="M275" s="1" t="s">
        <v>579</v>
      </c>
      <c r="N275" s="1" t="s">
        <v>392</v>
      </c>
    </row>
    <row r="276" spans="1:14" x14ac:dyDescent="0.2">
      <c r="A276" t="s">
        <v>590</v>
      </c>
      <c r="B276" s="1" t="s">
        <v>575</v>
      </c>
      <c r="C276" s="1" t="s">
        <v>591</v>
      </c>
      <c r="D276" s="1"/>
      <c r="E276" s="1">
        <v>12</v>
      </c>
      <c r="F276" s="1" t="s">
        <v>24</v>
      </c>
      <c r="G276" s="4">
        <v>20</v>
      </c>
      <c r="H276" s="1">
        <v>0</v>
      </c>
      <c r="I276" s="1"/>
      <c r="J276" s="7">
        <v>500</v>
      </c>
      <c r="K276" s="7">
        <f t="shared" si="18"/>
        <v>41.666666666666664</v>
      </c>
      <c r="L276" s="1" t="s">
        <v>365</v>
      </c>
      <c r="M276" s="1" t="s">
        <v>579</v>
      </c>
      <c r="N276" s="1"/>
    </row>
    <row r="277" spans="1:14" x14ac:dyDescent="0.2">
      <c r="A277" t="s">
        <v>595</v>
      </c>
      <c r="B277" s="1" t="s">
        <v>575</v>
      </c>
      <c r="C277" s="1" t="s">
        <v>596</v>
      </c>
      <c r="D277" s="1">
        <v>2017</v>
      </c>
      <c r="E277" s="1">
        <v>6</v>
      </c>
      <c r="F277" s="1" t="s">
        <v>24</v>
      </c>
      <c r="G277" s="4">
        <v>13</v>
      </c>
      <c r="H277" s="1">
        <v>0</v>
      </c>
      <c r="I277" s="1"/>
      <c r="J277" s="7">
        <v>310</v>
      </c>
      <c r="K277" s="7">
        <f t="shared" si="18"/>
        <v>51.666666666666664</v>
      </c>
      <c r="L277" s="1" t="s">
        <v>365</v>
      </c>
      <c r="M277" s="1" t="s">
        <v>579</v>
      </c>
      <c r="N277" s="1" t="s">
        <v>597</v>
      </c>
    </row>
    <row r="278" spans="1:14" x14ac:dyDescent="0.2">
      <c r="A278" t="s">
        <v>598</v>
      </c>
      <c r="B278" s="1" t="s">
        <v>575</v>
      </c>
      <c r="C278" s="1" t="s">
        <v>596</v>
      </c>
      <c r="D278" s="1">
        <v>2018</v>
      </c>
      <c r="E278" s="1">
        <v>6</v>
      </c>
      <c r="F278" s="1" t="s">
        <v>24</v>
      </c>
      <c r="G278" s="4">
        <v>15</v>
      </c>
      <c r="H278" s="1">
        <v>0</v>
      </c>
      <c r="I278" s="1"/>
      <c r="J278" s="7">
        <v>360</v>
      </c>
      <c r="K278" s="7">
        <f t="shared" si="18"/>
        <v>60</v>
      </c>
      <c r="L278" s="1" t="s">
        <v>365</v>
      </c>
      <c r="M278" s="1" t="s">
        <v>579</v>
      </c>
      <c r="N278" s="1"/>
    </row>
    <row r="279" spans="1:14" x14ac:dyDescent="0.2">
      <c r="A279" s="4">
        <v>1610</v>
      </c>
      <c r="B279" s="4" t="s">
        <v>599</v>
      </c>
      <c r="K279" s="7"/>
    </row>
    <row r="280" spans="1:14" x14ac:dyDescent="0.2">
      <c r="A280" t="s">
        <v>607</v>
      </c>
      <c r="B280" s="1" t="s">
        <v>599</v>
      </c>
      <c r="C280" s="1" t="s">
        <v>608</v>
      </c>
      <c r="D280" s="1">
        <v>2022</v>
      </c>
      <c r="E280" s="1">
        <v>12</v>
      </c>
      <c r="F280" s="1" t="s">
        <v>24</v>
      </c>
      <c r="G280" s="4">
        <v>11</v>
      </c>
      <c r="H280" s="1">
        <v>0</v>
      </c>
      <c r="I280" s="1"/>
      <c r="J280" s="7">
        <v>192</v>
      </c>
      <c r="K280" s="7">
        <f>J280/E280</f>
        <v>16</v>
      </c>
      <c r="L280" s="1" t="s">
        <v>423</v>
      </c>
      <c r="M280" s="1"/>
      <c r="N280" s="1" t="s">
        <v>383</v>
      </c>
    </row>
    <row r="281" spans="1:14" x14ac:dyDescent="0.2">
      <c r="A281" t="s">
        <v>600</v>
      </c>
      <c r="B281" s="1" t="s">
        <v>599</v>
      </c>
      <c r="C281" s="1" t="s">
        <v>601</v>
      </c>
      <c r="D281" s="1">
        <v>2020</v>
      </c>
      <c r="E281" s="1">
        <v>12</v>
      </c>
      <c r="F281" s="1" t="s">
        <v>24</v>
      </c>
      <c r="G281" s="4">
        <v>20</v>
      </c>
      <c r="H281" s="1">
        <v>0</v>
      </c>
      <c r="I281" s="1"/>
      <c r="J281" s="7">
        <v>192</v>
      </c>
      <c r="K281" s="7">
        <f>J281/E281</f>
        <v>16</v>
      </c>
      <c r="L281" s="1" t="s">
        <v>423</v>
      </c>
      <c r="M281" s="1"/>
      <c r="N281" s="1" t="s">
        <v>602</v>
      </c>
    </row>
    <row r="282" spans="1:14" x14ac:dyDescent="0.2">
      <c r="A282" t="s">
        <v>609</v>
      </c>
      <c r="B282" s="1" t="s">
        <v>599</v>
      </c>
      <c r="C282" s="1" t="s">
        <v>601</v>
      </c>
      <c r="D282" s="1">
        <v>2021</v>
      </c>
      <c r="E282" s="1">
        <v>12</v>
      </c>
      <c r="F282" s="1" t="s">
        <v>24</v>
      </c>
      <c r="G282" s="4">
        <v>21</v>
      </c>
      <c r="H282" s="1">
        <v>0</v>
      </c>
      <c r="I282" s="1"/>
      <c r="J282" s="7">
        <v>196</v>
      </c>
      <c r="K282" s="7">
        <f>J282/E282</f>
        <v>16.333333333333332</v>
      </c>
      <c r="L282" s="1" t="s">
        <v>423</v>
      </c>
      <c r="M282" s="1"/>
      <c r="N282" s="1"/>
    </row>
    <row r="283" spans="1:14" x14ac:dyDescent="0.2">
      <c r="A283" t="s">
        <v>603</v>
      </c>
      <c r="B283" s="1" t="s">
        <v>599</v>
      </c>
      <c r="C283" s="1" t="s">
        <v>601</v>
      </c>
      <c r="D283" s="1">
        <v>2022</v>
      </c>
      <c r="E283" s="1">
        <v>12</v>
      </c>
      <c r="F283" s="1" t="s">
        <v>24</v>
      </c>
      <c r="G283" s="4">
        <v>18</v>
      </c>
      <c r="H283" s="1">
        <v>0</v>
      </c>
      <c r="I283" s="1"/>
      <c r="J283" s="7">
        <v>196</v>
      </c>
      <c r="K283" s="7">
        <f>J283/E283</f>
        <v>16.333333333333332</v>
      </c>
      <c r="L283" s="1" t="s">
        <v>423</v>
      </c>
      <c r="M283" s="1"/>
      <c r="N283" s="1" t="s">
        <v>604</v>
      </c>
    </row>
    <row r="284" spans="1:14" x14ac:dyDescent="0.2">
      <c r="A284" t="s">
        <v>605</v>
      </c>
      <c r="B284" s="1" t="s">
        <v>599</v>
      </c>
      <c r="C284" s="1" t="s">
        <v>606</v>
      </c>
      <c r="D284" s="1">
        <v>2022</v>
      </c>
      <c r="E284" s="1">
        <v>12</v>
      </c>
      <c r="F284" s="1" t="s">
        <v>24</v>
      </c>
      <c r="G284" s="4">
        <v>9</v>
      </c>
      <c r="H284" s="1">
        <v>0</v>
      </c>
      <c r="I284" s="1"/>
      <c r="J284" s="7">
        <v>236</v>
      </c>
      <c r="K284" s="7">
        <f>J284/E284</f>
        <v>19.666666666666668</v>
      </c>
      <c r="L284" s="1" t="s">
        <v>423</v>
      </c>
      <c r="M284" s="1"/>
      <c r="N284" s="1" t="s">
        <v>165</v>
      </c>
    </row>
    <row r="285" spans="1:14" x14ac:dyDescent="0.2">
      <c r="A285" s="4">
        <v>1620</v>
      </c>
      <c r="B285" s="4" t="s">
        <v>610</v>
      </c>
      <c r="K285" s="7"/>
    </row>
    <row r="286" spans="1:14" x14ac:dyDescent="0.2">
      <c r="A286" t="s">
        <v>611</v>
      </c>
      <c r="B286" s="1" t="s">
        <v>610</v>
      </c>
      <c r="C286" s="1" t="s">
        <v>612</v>
      </c>
      <c r="D286" s="1">
        <v>2021</v>
      </c>
      <c r="E286" s="1">
        <v>12</v>
      </c>
      <c r="F286" s="1" t="s">
        <v>24</v>
      </c>
      <c r="G286" s="4">
        <v>25</v>
      </c>
      <c r="H286" s="1">
        <v>0</v>
      </c>
      <c r="I286" s="1"/>
      <c r="J286" s="7">
        <v>172</v>
      </c>
      <c r="K286" s="7">
        <f t="shared" ref="K286:K329" si="19">J286/E286</f>
        <v>14.333333333333334</v>
      </c>
      <c r="L286" s="1" t="s">
        <v>503</v>
      </c>
      <c r="M286" s="1"/>
      <c r="N286" s="1"/>
    </row>
    <row r="287" spans="1:14" x14ac:dyDescent="0.2">
      <c r="A287" t="s">
        <v>613</v>
      </c>
      <c r="B287" s="1" t="s">
        <v>610</v>
      </c>
      <c r="C287" s="1" t="s">
        <v>612</v>
      </c>
      <c r="D287" s="1">
        <v>2022</v>
      </c>
      <c r="E287" s="1">
        <v>12</v>
      </c>
      <c r="F287" s="1" t="s">
        <v>24</v>
      </c>
      <c r="G287" s="4">
        <v>100</v>
      </c>
      <c r="H287" s="1">
        <v>0</v>
      </c>
      <c r="I287" s="1"/>
      <c r="J287" s="7">
        <v>172</v>
      </c>
      <c r="K287" s="7">
        <f t="shared" si="19"/>
        <v>14.333333333333334</v>
      </c>
      <c r="L287" s="1" t="s">
        <v>503</v>
      </c>
      <c r="M287" s="1"/>
      <c r="N287" s="1"/>
    </row>
    <row r="288" spans="1:14" x14ac:dyDescent="0.2">
      <c r="A288" s="4">
        <v>1630</v>
      </c>
      <c r="B288" s="4" t="s">
        <v>614</v>
      </c>
      <c r="K288" s="7"/>
    </row>
    <row r="289" spans="1:14" x14ac:dyDescent="0.2">
      <c r="A289" t="s">
        <v>615</v>
      </c>
      <c r="B289" s="1" t="s">
        <v>614</v>
      </c>
      <c r="C289" s="1" t="s">
        <v>616</v>
      </c>
      <c r="D289" s="1">
        <v>2021</v>
      </c>
      <c r="E289" s="1">
        <v>12</v>
      </c>
      <c r="F289" s="1" t="s">
        <v>24</v>
      </c>
      <c r="G289" s="4">
        <v>12</v>
      </c>
      <c r="H289" s="1">
        <v>0</v>
      </c>
      <c r="I289" s="1"/>
      <c r="J289" s="7">
        <v>144</v>
      </c>
      <c r="K289" s="7">
        <f>J289/E289</f>
        <v>12</v>
      </c>
      <c r="L289" s="1" t="s">
        <v>503</v>
      </c>
      <c r="M289" s="1" t="s">
        <v>617</v>
      </c>
      <c r="N289" s="1"/>
    </row>
    <row r="290" spans="1:14" x14ac:dyDescent="0.2">
      <c r="A290" t="s">
        <v>623</v>
      </c>
      <c r="B290" s="1" t="s">
        <v>614</v>
      </c>
      <c r="C290" s="1" t="s">
        <v>616</v>
      </c>
      <c r="D290" s="1">
        <v>2022</v>
      </c>
      <c r="E290" s="1">
        <v>12</v>
      </c>
      <c r="F290" s="1" t="s">
        <v>24</v>
      </c>
      <c r="G290" s="4">
        <v>50</v>
      </c>
      <c r="H290" s="1">
        <v>0</v>
      </c>
      <c r="I290" s="1"/>
      <c r="J290" s="7">
        <v>144</v>
      </c>
      <c r="K290" s="7">
        <f>J290/E290</f>
        <v>12</v>
      </c>
      <c r="L290" s="1" t="s">
        <v>503</v>
      </c>
      <c r="M290" s="1" t="s">
        <v>617</v>
      </c>
      <c r="N290" s="1"/>
    </row>
    <row r="291" spans="1:14" x14ac:dyDescent="0.2">
      <c r="A291" t="s">
        <v>620</v>
      </c>
      <c r="B291" s="1" t="s">
        <v>614</v>
      </c>
      <c r="C291" s="1" t="s">
        <v>621</v>
      </c>
      <c r="D291" s="1">
        <v>2018</v>
      </c>
      <c r="E291" s="1">
        <v>12</v>
      </c>
      <c r="F291" s="1" t="s">
        <v>24</v>
      </c>
      <c r="G291" s="4">
        <v>6</v>
      </c>
      <c r="H291" s="1">
        <v>0</v>
      </c>
      <c r="I291" s="1"/>
      <c r="J291" s="7">
        <v>216</v>
      </c>
      <c r="K291" s="7">
        <f>J291/E291</f>
        <v>18</v>
      </c>
      <c r="L291" s="1" t="s">
        <v>503</v>
      </c>
      <c r="M291" s="1" t="s">
        <v>622</v>
      </c>
      <c r="N291" s="1"/>
    </row>
    <row r="292" spans="1:14" x14ac:dyDescent="0.2">
      <c r="A292" t="s">
        <v>618</v>
      </c>
      <c r="B292" s="1" t="s">
        <v>614</v>
      </c>
      <c r="C292" s="1" t="s">
        <v>619</v>
      </c>
      <c r="D292" s="1">
        <v>2020</v>
      </c>
      <c r="E292" s="1">
        <v>12</v>
      </c>
      <c r="F292" s="1" t="s">
        <v>24</v>
      </c>
      <c r="G292" s="4">
        <v>6</v>
      </c>
      <c r="H292" s="1">
        <v>0</v>
      </c>
      <c r="I292" s="1"/>
      <c r="J292" s="7">
        <v>236</v>
      </c>
      <c r="K292" s="7">
        <f>J292/E292</f>
        <v>19.666666666666668</v>
      </c>
      <c r="L292" s="1" t="s">
        <v>503</v>
      </c>
      <c r="M292" s="1" t="s">
        <v>509</v>
      </c>
      <c r="N292" s="1"/>
    </row>
    <row r="293" spans="1:14" x14ac:dyDescent="0.2">
      <c r="A293" s="4">
        <v>1640</v>
      </c>
      <c r="B293" s="4" t="s">
        <v>624</v>
      </c>
      <c r="K293" s="7"/>
    </row>
    <row r="294" spans="1:14" x14ac:dyDescent="0.2">
      <c r="A294" t="s">
        <v>625</v>
      </c>
      <c r="B294" s="1" t="s">
        <v>624</v>
      </c>
      <c r="C294" s="1" t="s">
        <v>626</v>
      </c>
      <c r="D294" s="1">
        <v>2020</v>
      </c>
      <c r="E294" s="1">
        <v>12</v>
      </c>
      <c r="F294" s="1" t="s">
        <v>24</v>
      </c>
      <c r="G294" s="4">
        <v>34</v>
      </c>
      <c r="H294" s="1">
        <v>0</v>
      </c>
      <c r="I294" s="1"/>
      <c r="J294" s="7">
        <v>152</v>
      </c>
      <c r="K294" s="7">
        <f t="shared" si="19"/>
        <v>12.666666666666666</v>
      </c>
      <c r="L294" s="1" t="s">
        <v>503</v>
      </c>
      <c r="M294" s="1" t="s">
        <v>445</v>
      </c>
      <c r="N294" s="1"/>
    </row>
    <row r="295" spans="1:14" x14ac:dyDescent="0.2">
      <c r="A295" t="s">
        <v>627</v>
      </c>
      <c r="B295" s="1" t="s">
        <v>624</v>
      </c>
      <c r="C295" s="1" t="s">
        <v>628</v>
      </c>
      <c r="D295" s="1">
        <v>2023</v>
      </c>
      <c r="E295" s="1">
        <v>12</v>
      </c>
      <c r="F295" s="1" t="s">
        <v>24</v>
      </c>
      <c r="G295" s="4">
        <v>113</v>
      </c>
      <c r="H295" s="1">
        <v>0</v>
      </c>
      <c r="I295" s="1"/>
      <c r="J295" s="7">
        <v>240</v>
      </c>
      <c r="K295" s="7">
        <f t="shared" si="19"/>
        <v>20</v>
      </c>
      <c r="L295" s="1" t="s">
        <v>503</v>
      </c>
      <c r="M295" s="1" t="s">
        <v>629</v>
      </c>
      <c r="N295" s="1"/>
    </row>
    <row r="296" spans="1:14" x14ac:dyDescent="0.2">
      <c r="A296" s="4">
        <v>1720</v>
      </c>
      <c r="B296" s="4" t="s">
        <v>630</v>
      </c>
      <c r="K296" s="7"/>
    </row>
    <row r="297" spans="1:14" x14ac:dyDescent="0.2">
      <c r="A297" s="4" t="s">
        <v>631</v>
      </c>
      <c r="B297" s="4" t="s">
        <v>632</v>
      </c>
      <c r="K297" s="7"/>
    </row>
    <row r="298" spans="1:14" x14ac:dyDescent="0.2">
      <c r="A298" s="4">
        <v>1330</v>
      </c>
      <c r="B298" s="4" t="s">
        <v>633</v>
      </c>
      <c r="K298" s="7"/>
    </row>
    <row r="299" spans="1:14" x14ac:dyDescent="0.2">
      <c r="A299" t="s">
        <v>634</v>
      </c>
      <c r="B299" s="1" t="s">
        <v>633</v>
      </c>
      <c r="C299" s="1" t="s">
        <v>635</v>
      </c>
      <c r="D299" s="1">
        <v>2019</v>
      </c>
      <c r="E299" s="1">
        <v>12</v>
      </c>
      <c r="F299" s="1" t="s">
        <v>24</v>
      </c>
      <c r="G299" s="4">
        <v>104</v>
      </c>
      <c r="H299" s="1">
        <v>0</v>
      </c>
      <c r="I299" s="1"/>
      <c r="J299" s="7">
        <v>124</v>
      </c>
      <c r="K299" s="7">
        <f>J299/E299</f>
        <v>10.333333333333334</v>
      </c>
      <c r="L299" s="1" t="s">
        <v>636</v>
      </c>
      <c r="M299" s="1" t="s">
        <v>637</v>
      </c>
      <c r="N299" s="1"/>
    </row>
    <row r="300" spans="1:14" x14ac:dyDescent="0.2">
      <c r="A300" t="s">
        <v>638</v>
      </c>
      <c r="B300" s="1" t="s">
        <v>633</v>
      </c>
      <c r="C300" s="1" t="s">
        <v>639</v>
      </c>
      <c r="D300" s="1">
        <v>2022</v>
      </c>
      <c r="E300" s="1">
        <v>12</v>
      </c>
      <c r="F300" s="1" t="s">
        <v>24</v>
      </c>
      <c r="G300" s="4">
        <v>62</v>
      </c>
      <c r="H300" s="1">
        <v>0</v>
      </c>
      <c r="I300" s="1"/>
      <c r="J300" s="7">
        <v>136</v>
      </c>
      <c r="K300" s="7">
        <f>J300/E300</f>
        <v>11.333333333333334</v>
      </c>
      <c r="L300" s="1" t="s">
        <v>636</v>
      </c>
      <c r="M300" s="1" t="s">
        <v>637</v>
      </c>
      <c r="N300" s="1"/>
    </row>
    <row r="301" spans="1:14" x14ac:dyDescent="0.2">
      <c r="A301" s="4">
        <v>1340</v>
      </c>
      <c r="B301" s="4" t="s">
        <v>640</v>
      </c>
      <c r="K301" s="7"/>
    </row>
    <row r="302" spans="1:14" x14ac:dyDescent="0.2">
      <c r="A302" s="4">
        <v>1420</v>
      </c>
      <c r="B302" s="4" t="s">
        <v>641</v>
      </c>
      <c r="K302" s="7"/>
    </row>
    <row r="303" spans="1:14" x14ac:dyDescent="0.2">
      <c r="A303" t="s">
        <v>642</v>
      </c>
      <c r="B303" s="1" t="s">
        <v>641</v>
      </c>
      <c r="C303" s="1" t="s">
        <v>643</v>
      </c>
      <c r="D303" s="1">
        <v>2022</v>
      </c>
      <c r="E303" s="1">
        <v>12</v>
      </c>
      <c r="F303" s="1" t="s">
        <v>24</v>
      </c>
      <c r="G303" s="4">
        <v>12</v>
      </c>
      <c r="H303" s="1">
        <v>0</v>
      </c>
      <c r="I303" s="1"/>
      <c r="J303" s="7">
        <v>156</v>
      </c>
      <c r="K303" s="7">
        <f>J303/E303</f>
        <v>13</v>
      </c>
      <c r="L303" s="1" t="s">
        <v>644</v>
      </c>
      <c r="M303" s="1" t="s">
        <v>645</v>
      </c>
      <c r="N303" s="1" t="s">
        <v>646</v>
      </c>
    </row>
    <row r="304" spans="1:14" x14ac:dyDescent="0.2">
      <c r="A304" t="s">
        <v>650</v>
      </c>
      <c r="B304" s="1" t="s">
        <v>641</v>
      </c>
      <c r="C304" s="1" t="s">
        <v>651</v>
      </c>
      <c r="D304" s="1">
        <v>2022</v>
      </c>
      <c r="E304" s="1">
        <v>12</v>
      </c>
      <c r="F304" s="1" t="s">
        <v>24</v>
      </c>
      <c r="G304" s="4">
        <v>52</v>
      </c>
      <c r="H304" s="1">
        <v>0</v>
      </c>
      <c r="I304" s="1"/>
      <c r="J304" s="7">
        <v>168</v>
      </c>
      <c r="K304" s="7">
        <f>J304/E304</f>
        <v>14</v>
      </c>
      <c r="L304" s="1" t="s">
        <v>644</v>
      </c>
      <c r="M304" s="1" t="s">
        <v>645</v>
      </c>
      <c r="N304" s="1" t="s">
        <v>77</v>
      </c>
    </row>
    <row r="305" spans="1:14" x14ac:dyDescent="0.2">
      <c r="A305" t="s">
        <v>647</v>
      </c>
      <c r="B305" s="1" t="s">
        <v>641</v>
      </c>
      <c r="C305" s="1" t="s">
        <v>648</v>
      </c>
      <c r="D305" s="1">
        <v>2021</v>
      </c>
      <c r="E305" s="1">
        <v>12</v>
      </c>
      <c r="F305" s="1" t="s">
        <v>24</v>
      </c>
      <c r="G305" s="4">
        <v>25</v>
      </c>
      <c r="H305" s="1">
        <v>0</v>
      </c>
      <c r="I305" s="1"/>
      <c r="J305" s="7">
        <v>192</v>
      </c>
      <c r="K305" s="7">
        <f>J305/E305</f>
        <v>16</v>
      </c>
      <c r="L305" s="1" t="s">
        <v>644</v>
      </c>
      <c r="M305" s="1" t="s">
        <v>645</v>
      </c>
      <c r="N305" s="1" t="s">
        <v>649</v>
      </c>
    </row>
    <row r="306" spans="1:14" x14ac:dyDescent="0.2">
      <c r="A306" t="s">
        <v>655</v>
      </c>
      <c r="B306" s="1" t="s">
        <v>641</v>
      </c>
      <c r="C306" s="1" t="s">
        <v>643</v>
      </c>
      <c r="D306" s="1">
        <v>2023</v>
      </c>
      <c r="E306" s="1">
        <v>12</v>
      </c>
      <c r="F306" s="1" t="s">
        <v>24</v>
      </c>
      <c r="G306" s="4">
        <v>100</v>
      </c>
      <c r="H306" s="1">
        <v>0</v>
      </c>
      <c r="I306" s="1"/>
      <c r="J306" s="7">
        <v>196</v>
      </c>
      <c r="K306" s="7">
        <f>J306/E306</f>
        <v>16.333333333333332</v>
      </c>
      <c r="L306" s="1" t="s">
        <v>644</v>
      </c>
      <c r="M306" s="1" t="s">
        <v>645</v>
      </c>
      <c r="N306" s="1"/>
    </row>
    <row r="307" spans="1:14" x14ac:dyDescent="0.2">
      <c r="A307" t="s">
        <v>652</v>
      </c>
      <c r="B307" s="1" t="s">
        <v>641</v>
      </c>
      <c r="C307" s="1" t="s">
        <v>653</v>
      </c>
      <c r="D307" s="1">
        <v>2020</v>
      </c>
      <c r="E307" s="1">
        <v>12</v>
      </c>
      <c r="F307" s="1" t="s">
        <v>24</v>
      </c>
      <c r="G307" s="4">
        <v>18</v>
      </c>
      <c r="H307" s="1">
        <v>0</v>
      </c>
      <c r="I307" s="1"/>
      <c r="J307" s="7">
        <v>272</v>
      </c>
      <c r="K307" s="7">
        <f>J307/E307</f>
        <v>22.666666666666668</v>
      </c>
      <c r="L307" s="1" t="s">
        <v>644</v>
      </c>
      <c r="M307" s="1" t="s">
        <v>645</v>
      </c>
      <c r="N307" s="1" t="s">
        <v>654</v>
      </c>
    </row>
    <row r="308" spans="1:14" x14ac:dyDescent="0.2">
      <c r="A308" s="4">
        <v>1430</v>
      </c>
      <c r="B308" s="4" t="s">
        <v>656</v>
      </c>
      <c r="K308" s="7"/>
    </row>
    <row r="309" spans="1:14" x14ac:dyDescent="0.2">
      <c r="A309" t="s">
        <v>662</v>
      </c>
      <c r="B309" s="1" t="s">
        <v>656</v>
      </c>
      <c r="C309" s="1" t="s">
        <v>660</v>
      </c>
      <c r="D309" s="1">
        <v>2020</v>
      </c>
      <c r="E309" s="1">
        <v>12</v>
      </c>
      <c r="F309" s="1" t="s">
        <v>24</v>
      </c>
      <c r="G309" s="4">
        <v>7</v>
      </c>
      <c r="H309" s="1">
        <v>0</v>
      </c>
      <c r="I309" s="1"/>
      <c r="J309" s="7">
        <v>168</v>
      </c>
      <c r="K309" s="7">
        <f>J309/E309</f>
        <v>14</v>
      </c>
      <c r="L309" s="1" t="s">
        <v>659</v>
      </c>
      <c r="M309" s="1" t="s">
        <v>660</v>
      </c>
      <c r="N309" s="1" t="s">
        <v>663</v>
      </c>
    </row>
    <row r="310" spans="1:14" x14ac:dyDescent="0.2">
      <c r="A310" t="s">
        <v>665</v>
      </c>
      <c r="B310" s="1" t="s">
        <v>656</v>
      </c>
      <c r="C310" s="1" t="s">
        <v>666</v>
      </c>
      <c r="D310" s="1">
        <v>2021</v>
      </c>
      <c r="E310" s="1">
        <v>12</v>
      </c>
      <c r="F310" s="1" t="s">
        <v>24</v>
      </c>
      <c r="G310" s="4">
        <v>34</v>
      </c>
      <c r="H310" s="1">
        <v>0</v>
      </c>
      <c r="I310" s="1"/>
      <c r="J310" s="7">
        <v>188</v>
      </c>
      <c r="K310" s="7">
        <f>J310/E310</f>
        <v>15.666666666666666</v>
      </c>
      <c r="L310" s="1" t="s">
        <v>659</v>
      </c>
      <c r="M310" s="1" t="s">
        <v>666</v>
      </c>
      <c r="N310" s="1" t="s">
        <v>667</v>
      </c>
    </row>
    <row r="311" spans="1:14" x14ac:dyDescent="0.2">
      <c r="A311" t="s">
        <v>657</v>
      </c>
      <c r="B311" s="1" t="s">
        <v>656</v>
      </c>
      <c r="C311" s="1" t="s">
        <v>658</v>
      </c>
      <c r="D311" s="1">
        <v>2018</v>
      </c>
      <c r="E311" s="1">
        <v>12</v>
      </c>
      <c r="F311" s="1" t="s">
        <v>24</v>
      </c>
      <c r="G311" s="4">
        <v>15</v>
      </c>
      <c r="H311" s="1">
        <v>0</v>
      </c>
      <c r="I311" s="1"/>
      <c r="J311" s="7">
        <v>268</v>
      </c>
      <c r="K311" s="7">
        <f>J311/E311</f>
        <v>22.333333333333332</v>
      </c>
      <c r="L311" s="1" t="s">
        <v>659</v>
      </c>
      <c r="M311" s="1" t="s">
        <v>660</v>
      </c>
      <c r="N311" s="1" t="s">
        <v>661</v>
      </c>
    </row>
    <row r="312" spans="1:14" x14ac:dyDescent="0.2">
      <c r="A312" t="s">
        <v>664</v>
      </c>
      <c r="B312" s="1" t="s">
        <v>656</v>
      </c>
      <c r="C312" s="1" t="s">
        <v>658</v>
      </c>
      <c r="D312" s="1">
        <v>2019</v>
      </c>
      <c r="E312" s="1">
        <v>12</v>
      </c>
      <c r="F312" s="1" t="s">
        <v>24</v>
      </c>
      <c r="G312" s="4">
        <v>24</v>
      </c>
      <c r="H312" s="1">
        <v>0</v>
      </c>
      <c r="I312" s="1"/>
      <c r="J312" s="7">
        <v>268</v>
      </c>
      <c r="K312" s="7">
        <f>J312/E312</f>
        <v>22.333333333333332</v>
      </c>
      <c r="L312" s="1" t="s">
        <v>659</v>
      </c>
      <c r="M312" s="1" t="s">
        <v>660</v>
      </c>
      <c r="N312" s="1" t="s">
        <v>77</v>
      </c>
    </row>
    <row r="313" spans="1:14" x14ac:dyDescent="0.2">
      <c r="A313" s="4">
        <v>1440</v>
      </c>
      <c r="B313" s="4" t="s">
        <v>668</v>
      </c>
      <c r="K313" s="7"/>
    </row>
    <row r="314" spans="1:14" x14ac:dyDescent="0.2">
      <c r="A314" t="s">
        <v>682</v>
      </c>
      <c r="B314" s="1" t="s">
        <v>668</v>
      </c>
      <c r="C314" s="1" t="s">
        <v>683</v>
      </c>
      <c r="D314" s="1">
        <v>2020</v>
      </c>
      <c r="E314" s="1">
        <v>12</v>
      </c>
      <c r="F314" s="1" t="s">
        <v>24</v>
      </c>
      <c r="G314" s="4">
        <v>33</v>
      </c>
      <c r="H314" s="1">
        <v>0</v>
      </c>
      <c r="I314" s="1"/>
      <c r="J314" s="7">
        <v>200</v>
      </c>
      <c r="K314" s="7">
        <f t="shared" ref="K314:K321" si="20">J314/E314</f>
        <v>16.666666666666668</v>
      </c>
      <c r="L314" s="1" t="s">
        <v>659</v>
      </c>
      <c r="M314" s="1"/>
      <c r="N314" s="1" t="s">
        <v>250</v>
      </c>
    </row>
    <row r="315" spans="1:14" x14ac:dyDescent="0.2">
      <c r="A315" t="s">
        <v>674</v>
      </c>
      <c r="B315" s="1" t="s">
        <v>668</v>
      </c>
      <c r="C315" s="1" t="s">
        <v>675</v>
      </c>
      <c r="D315" s="1">
        <v>2019</v>
      </c>
      <c r="E315" s="1">
        <v>12</v>
      </c>
      <c r="F315" s="1" t="s">
        <v>24</v>
      </c>
      <c r="G315" s="4">
        <v>36</v>
      </c>
      <c r="H315" s="1">
        <v>0</v>
      </c>
      <c r="I315" s="1"/>
      <c r="J315" s="7">
        <v>200</v>
      </c>
      <c r="K315" s="7">
        <f t="shared" si="20"/>
        <v>16.666666666666668</v>
      </c>
      <c r="L315" s="1" t="s">
        <v>659</v>
      </c>
      <c r="M315" s="1"/>
      <c r="N315" s="1" t="s">
        <v>291</v>
      </c>
    </row>
    <row r="316" spans="1:14" x14ac:dyDescent="0.2">
      <c r="A316" t="s">
        <v>669</v>
      </c>
      <c r="B316" s="1" t="s">
        <v>668</v>
      </c>
      <c r="C316" s="1" t="s">
        <v>670</v>
      </c>
      <c r="D316" s="1">
        <v>2015</v>
      </c>
      <c r="E316" s="1">
        <v>12</v>
      </c>
      <c r="F316" s="1" t="s">
        <v>24</v>
      </c>
      <c r="G316" s="4">
        <v>6</v>
      </c>
      <c r="H316" s="1">
        <v>0</v>
      </c>
      <c r="I316" s="1"/>
      <c r="J316" s="7">
        <v>228</v>
      </c>
      <c r="K316" s="7">
        <f t="shared" si="20"/>
        <v>19</v>
      </c>
      <c r="L316" s="1" t="s">
        <v>659</v>
      </c>
      <c r="M316" s="1" t="s">
        <v>666</v>
      </c>
      <c r="N316" s="1" t="s">
        <v>671</v>
      </c>
    </row>
    <row r="317" spans="1:14" x14ac:dyDescent="0.2">
      <c r="A317" t="s">
        <v>676</v>
      </c>
      <c r="B317" s="1" t="s">
        <v>668</v>
      </c>
      <c r="C317" s="1" t="s">
        <v>670</v>
      </c>
      <c r="D317" s="1">
        <v>2018</v>
      </c>
      <c r="E317" s="1">
        <v>12</v>
      </c>
      <c r="F317" s="1" t="s">
        <v>24</v>
      </c>
      <c r="G317" s="4">
        <v>5</v>
      </c>
      <c r="H317" s="1">
        <v>0</v>
      </c>
      <c r="I317" s="1"/>
      <c r="J317" s="7">
        <v>228</v>
      </c>
      <c r="K317" s="7">
        <f t="shared" si="20"/>
        <v>19</v>
      </c>
      <c r="L317" s="1" t="s">
        <v>659</v>
      </c>
      <c r="M317" s="1" t="s">
        <v>666</v>
      </c>
      <c r="N317" s="1"/>
    </row>
    <row r="318" spans="1:14" x14ac:dyDescent="0.2">
      <c r="A318" t="s">
        <v>679</v>
      </c>
      <c r="B318" s="1" t="s">
        <v>668</v>
      </c>
      <c r="C318" s="1" t="s">
        <v>670</v>
      </c>
      <c r="D318" s="1">
        <v>2019</v>
      </c>
      <c r="E318" s="1">
        <v>12</v>
      </c>
      <c r="F318" s="1" t="s">
        <v>24</v>
      </c>
      <c r="G318" s="4">
        <v>20</v>
      </c>
      <c r="H318" s="1">
        <v>0</v>
      </c>
      <c r="I318" s="1"/>
      <c r="J318" s="7">
        <v>228</v>
      </c>
      <c r="K318" s="7">
        <f t="shared" si="20"/>
        <v>19</v>
      </c>
      <c r="L318" s="1" t="s">
        <v>659</v>
      </c>
      <c r="M318" s="1" t="s">
        <v>666</v>
      </c>
      <c r="N318" s="1" t="s">
        <v>680</v>
      </c>
    </row>
    <row r="319" spans="1:14" x14ac:dyDescent="0.2">
      <c r="A319" t="s">
        <v>672</v>
      </c>
      <c r="B319" s="1" t="s">
        <v>668</v>
      </c>
      <c r="C319" s="1" t="s">
        <v>673</v>
      </c>
      <c r="D319" s="1">
        <v>2019</v>
      </c>
      <c r="E319" s="1">
        <v>12</v>
      </c>
      <c r="F319" s="1" t="s">
        <v>24</v>
      </c>
      <c r="G319" s="4">
        <v>8</v>
      </c>
      <c r="H319" s="1">
        <v>0</v>
      </c>
      <c r="I319" s="1"/>
      <c r="J319" s="7">
        <v>256</v>
      </c>
      <c r="K319" s="7">
        <f t="shared" si="20"/>
        <v>21.333333333333332</v>
      </c>
      <c r="L319" s="1" t="s">
        <v>659</v>
      </c>
      <c r="M319" s="1"/>
      <c r="N319" s="1"/>
    </row>
    <row r="320" spans="1:14" x14ac:dyDescent="0.2">
      <c r="A320" t="s">
        <v>677</v>
      </c>
      <c r="B320" s="1" t="s">
        <v>668</v>
      </c>
      <c r="C320" s="1" t="s">
        <v>673</v>
      </c>
      <c r="D320" s="1">
        <v>2020</v>
      </c>
      <c r="E320" s="1">
        <v>12</v>
      </c>
      <c r="F320" s="1" t="s">
        <v>24</v>
      </c>
      <c r="G320" s="4">
        <v>26</v>
      </c>
      <c r="H320" s="1">
        <v>0</v>
      </c>
      <c r="I320" s="1"/>
      <c r="J320" s="7">
        <v>256</v>
      </c>
      <c r="K320" s="7">
        <f t="shared" si="20"/>
        <v>21.333333333333332</v>
      </c>
      <c r="L320" s="1" t="s">
        <v>659</v>
      </c>
      <c r="M320" s="1"/>
      <c r="N320" s="1" t="s">
        <v>678</v>
      </c>
    </row>
    <row r="321" spans="1:14" x14ac:dyDescent="0.2">
      <c r="A321" t="s">
        <v>681</v>
      </c>
      <c r="B321" s="1" t="s">
        <v>668</v>
      </c>
      <c r="C321" s="1" t="s">
        <v>673</v>
      </c>
      <c r="D321" s="1">
        <v>2021</v>
      </c>
      <c r="E321" s="1">
        <v>12</v>
      </c>
      <c r="F321" s="1" t="s">
        <v>24</v>
      </c>
      <c r="G321" s="4">
        <v>22</v>
      </c>
      <c r="H321" s="1">
        <v>0</v>
      </c>
      <c r="I321" s="1"/>
      <c r="J321" s="7">
        <v>268</v>
      </c>
      <c r="K321" s="7">
        <f t="shared" si="20"/>
        <v>22.333333333333332</v>
      </c>
      <c r="L321" s="1" t="s">
        <v>659</v>
      </c>
      <c r="M321" s="1"/>
      <c r="N321" s="1" t="s">
        <v>291</v>
      </c>
    </row>
    <row r="322" spans="1:14" x14ac:dyDescent="0.2">
      <c r="A322" s="4">
        <v>1450</v>
      </c>
      <c r="B322" s="4" t="s">
        <v>684</v>
      </c>
      <c r="K322" s="7"/>
    </row>
    <row r="323" spans="1:14" x14ac:dyDescent="0.2">
      <c r="A323" t="s">
        <v>685</v>
      </c>
      <c r="B323" s="1" t="s">
        <v>684</v>
      </c>
      <c r="C323" s="1" t="s">
        <v>686</v>
      </c>
      <c r="D323" s="1">
        <v>2022</v>
      </c>
      <c r="E323" s="1">
        <v>12</v>
      </c>
      <c r="F323" s="1" t="s">
        <v>24</v>
      </c>
      <c r="G323" s="4">
        <v>41</v>
      </c>
      <c r="H323" s="1">
        <v>0</v>
      </c>
      <c r="I323" s="1"/>
      <c r="J323" s="7">
        <v>248</v>
      </c>
      <c r="K323" s="7">
        <f>J323/E323</f>
        <v>20.666666666666668</v>
      </c>
      <c r="L323" s="1" t="s">
        <v>687</v>
      </c>
      <c r="M323" s="1" t="s">
        <v>688</v>
      </c>
      <c r="N323" s="1"/>
    </row>
    <row r="324" spans="1:14" x14ac:dyDescent="0.2">
      <c r="A324" t="s">
        <v>689</v>
      </c>
      <c r="B324" s="1" t="s">
        <v>684</v>
      </c>
      <c r="C324" s="1" t="s">
        <v>690</v>
      </c>
      <c r="D324" s="1">
        <v>2022</v>
      </c>
      <c r="E324" s="1">
        <v>12</v>
      </c>
      <c r="F324" s="1" t="s">
        <v>24</v>
      </c>
      <c r="G324" s="4">
        <v>17</v>
      </c>
      <c r="H324" s="1">
        <v>0</v>
      </c>
      <c r="I324" s="1"/>
      <c r="J324" s="7">
        <v>248</v>
      </c>
      <c r="K324" s="7">
        <f>J324/E324</f>
        <v>20.666666666666668</v>
      </c>
      <c r="L324" s="1" t="s">
        <v>687</v>
      </c>
      <c r="M324" s="1" t="s">
        <v>688</v>
      </c>
      <c r="N324" s="1"/>
    </row>
    <row r="325" spans="1:14" x14ac:dyDescent="0.2">
      <c r="A325" t="s">
        <v>691</v>
      </c>
      <c r="B325" s="1" t="s">
        <v>684</v>
      </c>
      <c r="C325" s="1" t="s">
        <v>692</v>
      </c>
      <c r="D325" s="1">
        <v>2021</v>
      </c>
      <c r="E325" s="1">
        <v>12</v>
      </c>
      <c r="F325" s="1" t="s">
        <v>24</v>
      </c>
      <c r="G325" s="4">
        <v>30</v>
      </c>
      <c r="H325" s="1">
        <v>0</v>
      </c>
      <c r="I325" s="1"/>
      <c r="J325" s="7">
        <v>268</v>
      </c>
      <c r="K325" s="7">
        <f>J325/E325</f>
        <v>22.333333333333332</v>
      </c>
      <c r="L325" s="1" t="s">
        <v>687</v>
      </c>
      <c r="M325" s="1" t="s">
        <v>688</v>
      </c>
      <c r="N325" s="1"/>
    </row>
    <row r="326" spans="1:14" x14ac:dyDescent="0.2">
      <c r="A326" t="s">
        <v>693</v>
      </c>
      <c r="B326" s="1" t="s">
        <v>684</v>
      </c>
      <c r="C326" s="1" t="s">
        <v>694</v>
      </c>
      <c r="D326" s="1">
        <v>2021</v>
      </c>
      <c r="E326" s="1">
        <v>12</v>
      </c>
      <c r="F326" s="1" t="s">
        <v>24</v>
      </c>
      <c r="G326" s="4">
        <v>2</v>
      </c>
      <c r="H326" s="1">
        <v>0</v>
      </c>
      <c r="I326" s="1"/>
      <c r="J326" s="7">
        <v>300</v>
      </c>
      <c r="K326" s="7">
        <f>J326/E326</f>
        <v>25</v>
      </c>
      <c r="L326" s="1" t="s">
        <v>687</v>
      </c>
      <c r="M326" s="1" t="s">
        <v>688</v>
      </c>
      <c r="N326" s="1"/>
    </row>
    <row r="327" spans="1:14" x14ac:dyDescent="0.2">
      <c r="A327" s="4">
        <v>1460</v>
      </c>
      <c r="B327" s="4" t="s">
        <v>695</v>
      </c>
      <c r="K327" s="7"/>
    </row>
    <row r="328" spans="1:14" x14ac:dyDescent="0.2">
      <c r="A328" t="s">
        <v>696</v>
      </c>
      <c r="B328" s="1" t="s">
        <v>695</v>
      </c>
      <c r="C328" s="1" t="s">
        <v>697</v>
      </c>
      <c r="D328" s="1">
        <v>2023</v>
      </c>
      <c r="E328" s="1">
        <v>12</v>
      </c>
      <c r="F328" s="1" t="s">
        <v>24</v>
      </c>
      <c r="G328" s="4">
        <v>14</v>
      </c>
      <c r="H328" s="1">
        <v>0</v>
      </c>
      <c r="I328" s="1"/>
      <c r="J328" s="7">
        <v>196</v>
      </c>
      <c r="K328" s="7">
        <f t="shared" si="19"/>
        <v>16.333333333333332</v>
      </c>
      <c r="L328" s="1" t="s">
        <v>687</v>
      </c>
      <c r="M328" s="1"/>
      <c r="N328" s="1"/>
    </row>
    <row r="329" spans="1:14" x14ac:dyDescent="0.2">
      <c r="A329" t="s">
        <v>698</v>
      </c>
      <c r="B329" s="1" t="s">
        <v>695</v>
      </c>
      <c r="C329" s="1" t="s">
        <v>697</v>
      </c>
      <c r="D329" s="1">
        <v>2024</v>
      </c>
      <c r="E329" s="1">
        <v>12</v>
      </c>
      <c r="F329" s="1" t="s">
        <v>24</v>
      </c>
      <c r="G329" s="4">
        <v>112</v>
      </c>
      <c r="H329" s="1">
        <v>0</v>
      </c>
      <c r="I329" s="1"/>
      <c r="J329" s="7">
        <v>196</v>
      </c>
      <c r="K329" s="7">
        <f t="shared" si="19"/>
        <v>16.333333333333332</v>
      </c>
      <c r="L329" s="1" t="s">
        <v>687</v>
      </c>
      <c r="M329" s="1"/>
      <c r="N329" s="1"/>
    </row>
    <row r="330" spans="1:14" x14ac:dyDescent="0.2">
      <c r="A330" s="4">
        <v>1470</v>
      </c>
      <c r="B330" s="4" t="s">
        <v>699</v>
      </c>
      <c r="K330" s="7"/>
    </row>
    <row r="331" spans="1:14" x14ac:dyDescent="0.2">
      <c r="A331" t="s">
        <v>700</v>
      </c>
      <c r="B331" s="1" t="s">
        <v>699</v>
      </c>
      <c r="C331" s="1" t="s">
        <v>701</v>
      </c>
      <c r="D331" s="1">
        <v>2021</v>
      </c>
      <c r="E331" s="1">
        <v>12</v>
      </c>
      <c r="F331" s="1" t="s">
        <v>24</v>
      </c>
      <c r="G331" s="4">
        <v>49</v>
      </c>
      <c r="H331" s="1">
        <v>0</v>
      </c>
      <c r="I331" s="1"/>
      <c r="J331" s="7">
        <v>124</v>
      </c>
      <c r="K331" s="7">
        <f>J331/E331</f>
        <v>10.333333333333334</v>
      </c>
      <c r="L331" s="1" t="s">
        <v>636</v>
      </c>
      <c r="M331" s="1" t="s">
        <v>702</v>
      </c>
      <c r="N331" s="1"/>
    </row>
    <row r="332" spans="1:14" x14ac:dyDescent="0.2">
      <c r="A332" t="s">
        <v>703</v>
      </c>
      <c r="B332" s="1" t="s">
        <v>699</v>
      </c>
      <c r="C332" s="1" t="s">
        <v>704</v>
      </c>
      <c r="D332" s="1">
        <v>2022</v>
      </c>
      <c r="E332" s="1">
        <v>12</v>
      </c>
      <c r="F332" s="1" t="s">
        <v>24</v>
      </c>
      <c r="G332" s="4">
        <v>48</v>
      </c>
      <c r="H332" s="1">
        <v>0</v>
      </c>
      <c r="I332" s="1"/>
      <c r="J332" s="7">
        <v>144</v>
      </c>
      <c r="K332" s="7">
        <f>J332/E332</f>
        <v>12</v>
      </c>
      <c r="L332" s="1" t="s">
        <v>636</v>
      </c>
      <c r="M332" s="1" t="s">
        <v>702</v>
      </c>
      <c r="N332" s="1"/>
    </row>
    <row r="333" spans="1:14" x14ac:dyDescent="0.2">
      <c r="A333" t="s">
        <v>705</v>
      </c>
      <c r="B333" s="1" t="s">
        <v>699</v>
      </c>
      <c r="C333" s="1" t="s">
        <v>706</v>
      </c>
      <c r="D333" s="1">
        <v>2022</v>
      </c>
      <c r="E333" s="1">
        <v>12</v>
      </c>
      <c r="F333" s="1" t="s">
        <v>24</v>
      </c>
      <c r="G333" s="4">
        <v>45</v>
      </c>
      <c r="H333" s="1">
        <v>0</v>
      </c>
      <c r="I333" s="1"/>
      <c r="J333" s="7">
        <v>144</v>
      </c>
      <c r="K333" s="7">
        <f>J333/E333</f>
        <v>12</v>
      </c>
      <c r="L333" s="1" t="s">
        <v>636</v>
      </c>
      <c r="M333" s="1" t="s">
        <v>702</v>
      </c>
      <c r="N333" s="1"/>
    </row>
    <row r="334" spans="1:14" x14ac:dyDescent="0.2">
      <c r="A334" t="s">
        <v>707</v>
      </c>
      <c r="B334" s="1" t="s">
        <v>699</v>
      </c>
      <c r="C334" s="1" t="s">
        <v>708</v>
      </c>
      <c r="D334" s="1">
        <v>2022</v>
      </c>
      <c r="E334" s="1">
        <v>12</v>
      </c>
      <c r="F334" s="1" t="s">
        <v>24</v>
      </c>
      <c r="G334" s="4">
        <v>20</v>
      </c>
      <c r="H334" s="1">
        <v>0</v>
      </c>
      <c r="I334" s="1"/>
      <c r="J334" s="7">
        <v>168</v>
      </c>
      <c r="K334" s="7">
        <f>J334/E334</f>
        <v>14</v>
      </c>
      <c r="L334" s="1" t="s">
        <v>636</v>
      </c>
      <c r="M334" s="1" t="s">
        <v>702</v>
      </c>
      <c r="N334" s="1" t="s">
        <v>709</v>
      </c>
    </row>
    <row r="335" spans="1:14" x14ac:dyDescent="0.2">
      <c r="A335" s="4">
        <v>1490</v>
      </c>
      <c r="B335" s="4" t="s">
        <v>710</v>
      </c>
      <c r="K335" s="7"/>
    </row>
    <row r="336" spans="1:14" x14ac:dyDescent="0.2">
      <c r="A336" t="s">
        <v>711</v>
      </c>
      <c r="B336" s="1" t="s">
        <v>710</v>
      </c>
      <c r="C336" s="1" t="s">
        <v>712</v>
      </c>
      <c r="D336" s="1">
        <v>2019</v>
      </c>
      <c r="E336" s="1">
        <v>12</v>
      </c>
      <c r="F336" s="1" t="s">
        <v>24</v>
      </c>
      <c r="G336" s="4">
        <v>6</v>
      </c>
      <c r="H336" s="1">
        <v>0</v>
      </c>
      <c r="I336" s="1"/>
      <c r="J336" s="7">
        <v>180</v>
      </c>
      <c r="K336" s="7">
        <f>J336/E336</f>
        <v>15</v>
      </c>
      <c r="L336" s="1" t="s">
        <v>713</v>
      </c>
      <c r="M336" s="1" t="s">
        <v>714</v>
      </c>
      <c r="N336" s="1"/>
    </row>
    <row r="337" spans="1:14" x14ac:dyDescent="0.2">
      <c r="A337" t="s">
        <v>719</v>
      </c>
      <c r="B337" s="1" t="s">
        <v>710</v>
      </c>
      <c r="C337" s="1" t="s">
        <v>712</v>
      </c>
      <c r="D337" s="1">
        <v>2021</v>
      </c>
      <c r="E337" s="1">
        <v>12</v>
      </c>
      <c r="F337" s="1" t="s">
        <v>24</v>
      </c>
      <c r="G337" s="4">
        <v>18</v>
      </c>
      <c r="H337" s="1">
        <v>0</v>
      </c>
      <c r="I337" s="1"/>
      <c r="J337" s="7">
        <v>184</v>
      </c>
      <c r="K337" s="7">
        <f>J337/E337</f>
        <v>15.333333333333334</v>
      </c>
      <c r="L337" s="1" t="s">
        <v>713</v>
      </c>
      <c r="M337" s="1" t="s">
        <v>714</v>
      </c>
      <c r="N337" s="1"/>
    </row>
    <row r="338" spans="1:14" x14ac:dyDescent="0.2">
      <c r="A338" t="s">
        <v>715</v>
      </c>
      <c r="B338" s="1" t="s">
        <v>710</v>
      </c>
      <c r="C338" s="1" t="s">
        <v>716</v>
      </c>
      <c r="D338" s="1">
        <v>2022</v>
      </c>
      <c r="E338" s="1">
        <v>12</v>
      </c>
      <c r="F338" s="1" t="s">
        <v>24</v>
      </c>
      <c r="G338" s="4">
        <v>22</v>
      </c>
      <c r="H338" s="1">
        <v>0</v>
      </c>
      <c r="I338" s="1"/>
      <c r="J338" s="7">
        <v>184</v>
      </c>
      <c r="K338" s="7">
        <f>J338/E338</f>
        <v>15.333333333333334</v>
      </c>
      <c r="L338" s="1" t="s">
        <v>713</v>
      </c>
      <c r="M338" s="1" t="s">
        <v>714</v>
      </c>
      <c r="N338" s="1"/>
    </row>
    <row r="339" spans="1:14" x14ac:dyDescent="0.2">
      <c r="A339" t="s">
        <v>720</v>
      </c>
      <c r="B339" s="1" t="s">
        <v>710</v>
      </c>
      <c r="C339" s="1" t="s">
        <v>721</v>
      </c>
      <c r="D339" s="1">
        <v>2021</v>
      </c>
      <c r="E339" s="1">
        <v>12</v>
      </c>
      <c r="F339" s="1" t="s">
        <v>24</v>
      </c>
      <c r="G339" s="4">
        <v>7</v>
      </c>
      <c r="H339" s="1">
        <v>0</v>
      </c>
      <c r="I339" s="1"/>
      <c r="J339" s="7">
        <v>184</v>
      </c>
      <c r="K339" s="7">
        <f>J339/E339</f>
        <v>15.333333333333334</v>
      </c>
      <c r="L339" s="1" t="s">
        <v>713</v>
      </c>
      <c r="M339" s="1" t="s">
        <v>714</v>
      </c>
      <c r="N339" s="1"/>
    </row>
    <row r="340" spans="1:14" x14ac:dyDescent="0.2">
      <c r="A340" t="s">
        <v>717</v>
      </c>
      <c r="B340" s="1" t="s">
        <v>710</v>
      </c>
      <c r="C340" s="1" t="s">
        <v>718</v>
      </c>
      <c r="D340" s="1">
        <v>2022</v>
      </c>
      <c r="E340" s="1">
        <v>12</v>
      </c>
      <c r="F340" s="1" t="s">
        <v>24</v>
      </c>
      <c r="G340" s="4">
        <v>7</v>
      </c>
      <c r="H340" s="1">
        <v>0</v>
      </c>
      <c r="I340" s="1"/>
      <c r="J340" s="7">
        <v>224</v>
      </c>
      <c r="K340" s="7">
        <f>J340/E340</f>
        <v>18.666666666666668</v>
      </c>
      <c r="L340" s="1" t="s">
        <v>713</v>
      </c>
      <c r="M340" s="1" t="s">
        <v>714</v>
      </c>
      <c r="N340" s="1"/>
    </row>
    <row r="341" spans="1:14" x14ac:dyDescent="0.2">
      <c r="A341" s="4">
        <v>1570</v>
      </c>
      <c r="B341" s="4" t="s">
        <v>722</v>
      </c>
      <c r="K341" s="7"/>
    </row>
    <row r="342" spans="1:14" x14ac:dyDescent="0.2">
      <c r="A342" t="s">
        <v>728</v>
      </c>
      <c r="B342" s="1" t="s">
        <v>722</v>
      </c>
      <c r="C342" s="1" t="s">
        <v>729</v>
      </c>
      <c r="D342" s="1">
        <v>2024</v>
      </c>
      <c r="E342" s="1">
        <v>12</v>
      </c>
      <c r="F342" s="1" t="s">
        <v>24</v>
      </c>
      <c r="G342" s="4">
        <v>206</v>
      </c>
      <c r="H342" s="1">
        <v>0</v>
      </c>
      <c r="I342" s="1"/>
      <c r="J342" s="7">
        <v>148</v>
      </c>
      <c r="K342" s="7">
        <f t="shared" ref="K342:K347" si="21">J342/E342</f>
        <v>12.333333333333334</v>
      </c>
      <c r="L342" s="1" t="s">
        <v>687</v>
      </c>
      <c r="M342" s="1"/>
      <c r="N342" s="1"/>
    </row>
    <row r="343" spans="1:14" x14ac:dyDescent="0.2">
      <c r="A343" t="s">
        <v>723</v>
      </c>
      <c r="B343" s="1" t="s">
        <v>722</v>
      </c>
      <c r="C343" s="1" t="s">
        <v>724</v>
      </c>
      <c r="D343" s="1">
        <v>2020</v>
      </c>
      <c r="E343" s="1">
        <v>6</v>
      </c>
      <c r="F343" s="1" t="s">
        <v>24</v>
      </c>
      <c r="G343" s="4">
        <v>4</v>
      </c>
      <c r="H343" s="1">
        <v>0</v>
      </c>
      <c r="I343" s="1"/>
      <c r="J343" s="7">
        <v>152</v>
      </c>
      <c r="K343" s="7">
        <f t="shared" si="21"/>
        <v>25.333333333333332</v>
      </c>
      <c r="L343" s="1" t="s">
        <v>687</v>
      </c>
      <c r="M343" s="1" t="s">
        <v>724</v>
      </c>
      <c r="N343" s="1" t="s">
        <v>274</v>
      </c>
    </row>
    <row r="344" spans="1:14" x14ac:dyDescent="0.2">
      <c r="A344" t="s">
        <v>725</v>
      </c>
      <c r="B344" s="1" t="s">
        <v>722</v>
      </c>
      <c r="C344" s="1" t="s">
        <v>724</v>
      </c>
      <c r="D344" s="1">
        <v>2021</v>
      </c>
      <c r="E344" s="1">
        <v>6</v>
      </c>
      <c r="F344" s="1" t="s">
        <v>24</v>
      </c>
      <c r="G344" s="4">
        <v>11</v>
      </c>
      <c r="H344" s="1">
        <v>0</v>
      </c>
      <c r="I344" s="1"/>
      <c r="J344" s="7">
        <v>152</v>
      </c>
      <c r="K344" s="7">
        <f t="shared" si="21"/>
        <v>25.333333333333332</v>
      </c>
      <c r="L344" s="1" t="s">
        <v>687</v>
      </c>
      <c r="M344" s="1" t="s">
        <v>724</v>
      </c>
      <c r="N344" s="1" t="s">
        <v>678</v>
      </c>
    </row>
    <row r="345" spans="1:14" x14ac:dyDescent="0.2">
      <c r="A345" t="s">
        <v>730</v>
      </c>
      <c r="B345" s="1" t="s">
        <v>722</v>
      </c>
      <c r="C345" s="1" t="s">
        <v>724</v>
      </c>
      <c r="D345" s="1">
        <v>2022</v>
      </c>
      <c r="E345" s="1">
        <v>6</v>
      </c>
      <c r="F345" s="1" t="s">
        <v>24</v>
      </c>
      <c r="G345" s="4">
        <v>60</v>
      </c>
      <c r="H345" s="1">
        <v>0</v>
      </c>
      <c r="I345" s="1"/>
      <c r="J345" s="7">
        <v>164</v>
      </c>
      <c r="K345" s="7">
        <f t="shared" si="21"/>
        <v>27.333333333333332</v>
      </c>
      <c r="L345" s="1" t="s">
        <v>687</v>
      </c>
      <c r="M345" s="1" t="s">
        <v>724</v>
      </c>
      <c r="N345" s="1"/>
    </row>
    <row r="346" spans="1:14" x14ac:dyDescent="0.2">
      <c r="A346" t="s">
        <v>726</v>
      </c>
      <c r="B346" s="1" t="s">
        <v>722</v>
      </c>
      <c r="C346" s="1" t="s">
        <v>727</v>
      </c>
      <c r="D346" s="1">
        <v>2021</v>
      </c>
      <c r="E346" s="1">
        <v>6</v>
      </c>
      <c r="F346" s="1" t="s">
        <v>24</v>
      </c>
      <c r="G346" s="4">
        <v>9</v>
      </c>
      <c r="H346" s="1">
        <v>0</v>
      </c>
      <c r="I346" s="1"/>
      <c r="J346" s="7">
        <v>180</v>
      </c>
      <c r="K346" s="7">
        <f t="shared" si="21"/>
        <v>30</v>
      </c>
      <c r="L346" s="1" t="s">
        <v>687</v>
      </c>
      <c r="M346" s="1" t="s">
        <v>724</v>
      </c>
      <c r="N346" s="1" t="s">
        <v>291</v>
      </c>
    </row>
    <row r="347" spans="1:14" x14ac:dyDescent="0.2">
      <c r="A347" t="s">
        <v>731</v>
      </c>
      <c r="B347" s="1" t="s">
        <v>722</v>
      </c>
      <c r="C347" s="1" t="s">
        <v>732</v>
      </c>
      <c r="D347" s="1">
        <v>2022</v>
      </c>
      <c r="E347" s="1">
        <v>6</v>
      </c>
      <c r="F347" s="1" t="s">
        <v>24</v>
      </c>
      <c r="G347" s="4">
        <v>9</v>
      </c>
      <c r="H347" s="1">
        <v>0</v>
      </c>
      <c r="I347" s="1"/>
      <c r="J347" s="7">
        <v>180</v>
      </c>
      <c r="K347" s="7">
        <f t="shared" si="21"/>
        <v>30</v>
      </c>
      <c r="L347" s="1" t="s">
        <v>687</v>
      </c>
      <c r="M347" s="1" t="s">
        <v>732</v>
      </c>
      <c r="N347" s="1"/>
    </row>
    <row r="348" spans="1:14" x14ac:dyDescent="0.2">
      <c r="A348" s="4" t="s">
        <v>733</v>
      </c>
      <c r="B348" s="4" t="s">
        <v>734</v>
      </c>
      <c r="K348" s="7"/>
    </row>
    <row r="349" spans="1:14" x14ac:dyDescent="0.2">
      <c r="A349" s="4">
        <v>1270</v>
      </c>
      <c r="B349" s="4" t="s">
        <v>735</v>
      </c>
      <c r="K349" s="7"/>
    </row>
    <row r="350" spans="1:14" x14ac:dyDescent="0.2">
      <c r="A350" t="s">
        <v>736</v>
      </c>
      <c r="B350" s="1" t="s">
        <v>735</v>
      </c>
      <c r="C350" s="1" t="s">
        <v>737</v>
      </c>
      <c r="D350" s="1">
        <v>2023</v>
      </c>
      <c r="E350" s="1">
        <v>6</v>
      </c>
      <c r="F350" s="1" t="s">
        <v>738</v>
      </c>
      <c r="G350" s="4">
        <v>82</v>
      </c>
      <c r="H350" s="1">
        <v>0</v>
      </c>
      <c r="I350" s="1"/>
      <c r="J350" s="7">
        <v>124</v>
      </c>
      <c r="K350" s="7">
        <f t="shared" ref="K350:K361" si="22">J350/E350</f>
        <v>20.666666666666668</v>
      </c>
      <c r="L350" s="1" t="s">
        <v>739</v>
      </c>
      <c r="M350" s="1"/>
      <c r="N350" s="1"/>
    </row>
    <row r="351" spans="1:14" x14ac:dyDescent="0.2">
      <c r="A351" s="4" t="s">
        <v>740</v>
      </c>
      <c r="B351" s="4" t="s">
        <v>741</v>
      </c>
      <c r="K351" s="7"/>
    </row>
    <row r="352" spans="1:14" x14ac:dyDescent="0.2">
      <c r="A352" s="4">
        <v>1410</v>
      </c>
      <c r="B352" s="4" t="s">
        <v>742</v>
      </c>
      <c r="K352" s="7"/>
    </row>
    <row r="353" spans="1:14" x14ac:dyDescent="0.2">
      <c r="A353" t="s">
        <v>750</v>
      </c>
      <c r="B353" s="1" t="s">
        <v>742</v>
      </c>
      <c r="C353" s="1" t="s">
        <v>751</v>
      </c>
      <c r="D353" s="1">
        <v>2022</v>
      </c>
      <c r="E353" s="1">
        <v>12</v>
      </c>
      <c r="F353" s="1" t="s">
        <v>24</v>
      </c>
      <c r="G353" s="4">
        <v>2</v>
      </c>
      <c r="H353" s="1">
        <v>0</v>
      </c>
      <c r="I353" s="1"/>
      <c r="J353" s="7">
        <v>128</v>
      </c>
      <c r="K353" s="7">
        <f t="shared" ref="K353:K358" si="23">J353/E353</f>
        <v>10.666666666666666</v>
      </c>
      <c r="L353" s="1" t="s">
        <v>745</v>
      </c>
      <c r="M353" s="1" t="s">
        <v>746</v>
      </c>
      <c r="N353" s="1"/>
    </row>
    <row r="354" spans="1:14" x14ac:dyDescent="0.2">
      <c r="A354" t="s">
        <v>752</v>
      </c>
      <c r="B354" s="1" t="s">
        <v>742</v>
      </c>
      <c r="C354" s="1" t="s">
        <v>751</v>
      </c>
      <c r="D354" s="1">
        <v>2023</v>
      </c>
      <c r="E354" s="1">
        <v>12</v>
      </c>
      <c r="F354" s="1" t="s">
        <v>24</v>
      </c>
      <c r="G354" s="4">
        <v>10</v>
      </c>
      <c r="H354" s="1">
        <v>0</v>
      </c>
      <c r="I354" s="1"/>
      <c r="J354" s="7">
        <v>128</v>
      </c>
      <c r="K354" s="7">
        <f t="shared" si="23"/>
        <v>10.666666666666666</v>
      </c>
      <c r="L354" s="1" t="s">
        <v>745</v>
      </c>
      <c r="M354" s="1" t="s">
        <v>746</v>
      </c>
      <c r="N354" s="1"/>
    </row>
    <row r="355" spans="1:14" x14ac:dyDescent="0.2">
      <c r="A355" t="s">
        <v>753</v>
      </c>
      <c r="B355" s="1" t="s">
        <v>742</v>
      </c>
      <c r="C355" s="1" t="s">
        <v>754</v>
      </c>
      <c r="D355" s="1">
        <v>2022</v>
      </c>
      <c r="E355" s="1">
        <v>12</v>
      </c>
      <c r="F355" s="1" t="s">
        <v>24</v>
      </c>
      <c r="G355" s="4">
        <v>15</v>
      </c>
      <c r="H355" s="1">
        <v>0</v>
      </c>
      <c r="I355" s="1"/>
      <c r="J355" s="7">
        <v>128</v>
      </c>
      <c r="K355" s="7">
        <f t="shared" si="23"/>
        <v>10.666666666666666</v>
      </c>
      <c r="L355" s="1" t="s">
        <v>745</v>
      </c>
      <c r="M355" s="1" t="s">
        <v>746</v>
      </c>
      <c r="N355" s="1"/>
    </row>
    <row r="356" spans="1:14" x14ac:dyDescent="0.2">
      <c r="A356" t="s">
        <v>747</v>
      </c>
      <c r="B356" s="1" t="s">
        <v>742</v>
      </c>
      <c r="C356" s="1" t="s">
        <v>748</v>
      </c>
      <c r="D356" s="1">
        <v>2021</v>
      </c>
      <c r="E356" s="1">
        <v>12</v>
      </c>
      <c r="F356" s="1" t="s">
        <v>24</v>
      </c>
      <c r="G356" s="4">
        <v>12</v>
      </c>
      <c r="H356" s="1">
        <v>0</v>
      </c>
      <c r="I356" s="1"/>
      <c r="J356" s="7">
        <v>156</v>
      </c>
      <c r="K356" s="7">
        <f t="shared" si="23"/>
        <v>13</v>
      </c>
      <c r="L356" s="1" t="s">
        <v>745</v>
      </c>
      <c r="M356" s="1" t="s">
        <v>746</v>
      </c>
      <c r="N356" s="1" t="s">
        <v>749</v>
      </c>
    </row>
    <row r="357" spans="1:14" x14ac:dyDescent="0.2">
      <c r="A357" t="s">
        <v>755</v>
      </c>
      <c r="B357" s="1" t="s">
        <v>742</v>
      </c>
      <c r="C357" s="1" t="s">
        <v>756</v>
      </c>
      <c r="D357" s="1">
        <v>2022</v>
      </c>
      <c r="E357" s="1">
        <v>12</v>
      </c>
      <c r="F357" s="1" t="s">
        <v>24</v>
      </c>
      <c r="G357" s="4">
        <v>17</v>
      </c>
      <c r="H357" s="1">
        <v>0</v>
      </c>
      <c r="I357" s="1"/>
      <c r="J357" s="7">
        <v>176</v>
      </c>
      <c r="K357" s="7">
        <f t="shared" si="23"/>
        <v>14.666666666666666</v>
      </c>
      <c r="L357" s="1" t="s">
        <v>745</v>
      </c>
      <c r="M357" s="1" t="s">
        <v>746</v>
      </c>
      <c r="N357" s="1"/>
    </row>
    <row r="358" spans="1:14" x14ac:dyDescent="0.2">
      <c r="A358" t="s">
        <v>743</v>
      </c>
      <c r="B358" s="1" t="s">
        <v>742</v>
      </c>
      <c r="C358" s="1" t="s">
        <v>744</v>
      </c>
      <c r="D358" s="1">
        <v>2020</v>
      </c>
      <c r="E358" s="1">
        <v>12</v>
      </c>
      <c r="F358" s="1" t="s">
        <v>24</v>
      </c>
      <c r="G358" s="4">
        <v>3</v>
      </c>
      <c r="H358" s="1">
        <v>0</v>
      </c>
      <c r="I358" s="1"/>
      <c r="J358" s="7">
        <v>192</v>
      </c>
      <c r="K358" s="7">
        <f t="shared" si="23"/>
        <v>16</v>
      </c>
      <c r="L358" s="1" t="s">
        <v>745</v>
      </c>
      <c r="M358" s="1" t="s">
        <v>746</v>
      </c>
      <c r="N358" s="1" t="s">
        <v>148</v>
      </c>
    </row>
    <row r="359" spans="1:14" x14ac:dyDescent="0.2">
      <c r="A359" s="4" t="s">
        <v>757</v>
      </c>
      <c r="B359" s="4" t="s">
        <v>758</v>
      </c>
      <c r="K359" s="7"/>
    </row>
    <row r="360" spans="1:14" x14ac:dyDescent="0.2">
      <c r="A360" s="4">
        <v>1250</v>
      </c>
      <c r="B360" s="4" t="s">
        <v>759</v>
      </c>
      <c r="K360" s="7"/>
    </row>
    <row r="361" spans="1:14" x14ac:dyDescent="0.2">
      <c r="A361" t="s">
        <v>760</v>
      </c>
      <c r="B361" s="1" t="s">
        <v>759</v>
      </c>
      <c r="C361" s="1" t="s">
        <v>761</v>
      </c>
      <c r="D361" s="1">
        <v>2016</v>
      </c>
      <c r="E361" s="1">
        <v>12</v>
      </c>
      <c r="F361" s="1" t="s">
        <v>24</v>
      </c>
      <c r="G361" s="4">
        <v>13</v>
      </c>
      <c r="H361" s="1">
        <v>0</v>
      </c>
      <c r="I361" s="1"/>
      <c r="J361" s="7">
        <v>160</v>
      </c>
      <c r="K361" s="7">
        <f t="shared" si="22"/>
        <v>13.333333333333334</v>
      </c>
      <c r="L361" s="1" t="s">
        <v>762</v>
      </c>
      <c r="M361" s="1" t="s">
        <v>763</v>
      </c>
      <c r="N361" s="1" t="s">
        <v>250</v>
      </c>
    </row>
    <row r="362" spans="1:14" x14ac:dyDescent="0.2">
      <c r="A362" s="4">
        <v>1370</v>
      </c>
      <c r="B362" s="4" t="s">
        <v>764</v>
      </c>
      <c r="K362" s="7"/>
    </row>
    <row r="363" spans="1:14" x14ac:dyDescent="0.2">
      <c r="A363" s="4">
        <v>1560</v>
      </c>
      <c r="B363" s="4" t="s">
        <v>765</v>
      </c>
      <c r="K363" s="7"/>
    </row>
    <row r="364" spans="1:14" x14ac:dyDescent="0.2">
      <c r="A364" t="s">
        <v>777</v>
      </c>
      <c r="B364" s="1" t="s">
        <v>765</v>
      </c>
      <c r="C364" s="1" t="s">
        <v>778</v>
      </c>
      <c r="D364" s="1" t="s">
        <v>200</v>
      </c>
      <c r="E364" s="1">
        <v>6</v>
      </c>
      <c r="F364" s="1" t="s">
        <v>24</v>
      </c>
      <c r="G364" s="4">
        <v>74</v>
      </c>
      <c r="H364" s="1">
        <v>0</v>
      </c>
      <c r="I364" s="1"/>
      <c r="J364" s="7">
        <v>120</v>
      </c>
      <c r="K364" s="7">
        <f t="shared" ref="K364:K370" si="24">J364/E364</f>
        <v>20</v>
      </c>
      <c r="L364" s="1" t="s">
        <v>762</v>
      </c>
      <c r="M364" s="1" t="s">
        <v>768</v>
      </c>
      <c r="N364" s="1"/>
    </row>
    <row r="365" spans="1:14" x14ac:dyDescent="0.2">
      <c r="A365" t="s">
        <v>769</v>
      </c>
      <c r="B365" s="1" t="s">
        <v>765</v>
      </c>
      <c r="C365" s="1" t="s">
        <v>770</v>
      </c>
      <c r="D365" s="1" t="s">
        <v>200</v>
      </c>
      <c r="E365" s="1">
        <v>6</v>
      </c>
      <c r="F365" s="1" t="s">
        <v>24</v>
      </c>
      <c r="G365" s="4">
        <v>20</v>
      </c>
      <c r="H365" s="1">
        <v>0</v>
      </c>
      <c r="I365" s="1"/>
      <c r="J365" s="7">
        <v>152</v>
      </c>
      <c r="K365" s="7">
        <f t="shared" si="24"/>
        <v>25.333333333333332</v>
      </c>
      <c r="L365" s="1" t="s">
        <v>762</v>
      </c>
      <c r="M365" s="1" t="s">
        <v>768</v>
      </c>
      <c r="N365" s="1"/>
    </row>
    <row r="366" spans="1:14" x14ac:dyDescent="0.2">
      <c r="A366" t="s">
        <v>773</v>
      </c>
      <c r="B366" s="1" t="s">
        <v>765</v>
      </c>
      <c r="C366" s="1" t="s">
        <v>774</v>
      </c>
      <c r="D366" s="1" t="s">
        <v>200</v>
      </c>
      <c r="E366" s="1">
        <v>6</v>
      </c>
      <c r="F366" s="1" t="s">
        <v>738</v>
      </c>
      <c r="G366" s="4">
        <v>23</v>
      </c>
      <c r="H366" s="1">
        <v>0</v>
      </c>
      <c r="I366" s="1"/>
      <c r="J366" s="7">
        <v>168</v>
      </c>
      <c r="K366" s="7">
        <f t="shared" si="24"/>
        <v>28</v>
      </c>
      <c r="L366" s="1" t="s">
        <v>762</v>
      </c>
      <c r="M366" s="1" t="s">
        <v>768</v>
      </c>
      <c r="N366" s="1"/>
    </row>
    <row r="367" spans="1:14" x14ac:dyDescent="0.2">
      <c r="A367" t="s">
        <v>779</v>
      </c>
      <c r="B367" s="1" t="s">
        <v>765</v>
      </c>
      <c r="C367" s="1" t="s">
        <v>780</v>
      </c>
      <c r="D367" s="1" t="s">
        <v>200</v>
      </c>
      <c r="E367" s="1">
        <v>6</v>
      </c>
      <c r="F367" s="1" t="s">
        <v>738</v>
      </c>
      <c r="G367" s="4">
        <v>6</v>
      </c>
      <c r="H367" s="1">
        <v>0</v>
      </c>
      <c r="I367" s="1"/>
      <c r="J367" s="7">
        <v>200</v>
      </c>
      <c r="K367" s="7">
        <f t="shared" si="24"/>
        <v>33.333333333333336</v>
      </c>
      <c r="L367" s="1" t="s">
        <v>762</v>
      </c>
      <c r="M367" s="1" t="s">
        <v>768</v>
      </c>
      <c r="N367" s="1"/>
    </row>
    <row r="368" spans="1:14" x14ac:dyDescent="0.2">
      <c r="A368" t="s">
        <v>771</v>
      </c>
      <c r="B368" s="1" t="s">
        <v>765</v>
      </c>
      <c r="C368" s="1" t="s">
        <v>772</v>
      </c>
      <c r="D368" s="1" t="s">
        <v>200</v>
      </c>
      <c r="E368" s="1">
        <v>6</v>
      </c>
      <c r="F368" s="1" t="s">
        <v>24</v>
      </c>
      <c r="G368" s="4">
        <v>70</v>
      </c>
      <c r="H368" s="1">
        <v>0</v>
      </c>
      <c r="I368" s="1"/>
      <c r="J368" s="7">
        <v>312</v>
      </c>
      <c r="K368" s="7">
        <f t="shared" si="24"/>
        <v>52</v>
      </c>
      <c r="L368" s="1" t="s">
        <v>762</v>
      </c>
      <c r="M368" s="1" t="s">
        <v>768</v>
      </c>
      <c r="N368" s="1"/>
    </row>
    <row r="369" spans="1:14" x14ac:dyDescent="0.2">
      <c r="A369" t="s">
        <v>775</v>
      </c>
      <c r="B369" s="1" t="s">
        <v>765</v>
      </c>
      <c r="C369" s="1" t="s">
        <v>776</v>
      </c>
      <c r="D369" s="1" t="s">
        <v>200</v>
      </c>
      <c r="E369" s="1">
        <v>6</v>
      </c>
      <c r="F369" s="1" t="s">
        <v>738</v>
      </c>
      <c r="G369" s="4">
        <v>4</v>
      </c>
      <c r="H369" s="1">
        <v>0</v>
      </c>
      <c r="I369" s="1"/>
      <c r="J369" s="7">
        <v>342</v>
      </c>
      <c r="K369" s="7">
        <f t="shared" si="24"/>
        <v>57</v>
      </c>
      <c r="L369" s="1" t="s">
        <v>762</v>
      </c>
      <c r="M369" s="1" t="s">
        <v>768</v>
      </c>
      <c r="N369" s="1"/>
    </row>
    <row r="370" spans="1:14" x14ac:dyDescent="0.2">
      <c r="A370" t="s">
        <v>766</v>
      </c>
      <c r="B370" s="1" t="s">
        <v>765</v>
      </c>
      <c r="C370" s="1" t="s">
        <v>767</v>
      </c>
      <c r="D370" s="1" t="s">
        <v>200</v>
      </c>
      <c r="E370" s="1">
        <v>6</v>
      </c>
      <c r="F370" s="1" t="s">
        <v>738</v>
      </c>
      <c r="G370" s="4">
        <v>5</v>
      </c>
      <c r="H370" s="1">
        <v>0</v>
      </c>
      <c r="I370" s="1"/>
      <c r="J370" s="7">
        <v>342</v>
      </c>
      <c r="K370" s="7">
        <f t="shared" si="24"/>
        <v>57</v>
      </c>
      <c r="L370" s="1" t="s">
        <v>762</v>
      </c>
      <c r="M370" s="1" t="s">
        <v>768</v>
      </c>
      <c r="N370" s="1"/>
    </row>
  </sheetData>
  <sortState xmlns:xlrd2="http://schemas.microsoft.com/office/spreadsheetml/2017/richdata2" ref="A156:N159">
    <sortCondition ref="K156:K159"/>
    <sortCondition ref="C156:C159"/>
    <sortCondition ref="D156:D159"/>
  </sortState>
  <mergeCells count="12">
    <mergeCell ref="F9:F11"/>
    <mergeCell ref="A9:A11"/>
    <mergeCell ref="B9:B11"/>
    <mergeCell ref="C9:C11"/>
    <mergeCell ref="D9:D11"/>
    <mergeCell ref="E9:E11"/>
    <mergeCell ref="N9:N11"/>
    <mergeCell ref="G9:G11"/>
    <mergeCell ref="I9:I11"/>
    <mergeCell ref="J9:J11"/>
    <mergeCell ref="L9:L11"/>
    <mergeCell ref="M9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B3CE-67EE-9D4B-B399-13557C6E10BB}">
  <dimension ref="A1:M23"/>
  <sheetViews>
    <sheetView workbookViewId="0">
      <selection activeCell="C9" sqref="C9:C11"/>
    </sheetView>
  </sheetViews>
  <sheetFormatPr baseColWidth="10" defaultRowHeight="16" x14ac:dyDescent="0.2"/>
  <cols>
    <col min="2" max="2" width="17.6640625" bestFit="1" customWidth="1"/>
    <col min="3" max="3" width="49.5" bestFit="1" customWidth="1"/>
    <col min="4" max="4" width="7.83203125" bestFit="1" customWidth="1"/>
    <col min="5" max="5" width="10" bestFit="1" customWidth="1"/>
    <col min="6" max="6" width="10.6640625" bestFit="1" customWidth="1"/>
    <col min="7" max="7" width="10.1640625" bestFit="1" customWidth="1"/>
    <col min="8" max="8" width="9" bestFit="1" customWidth="1"/>
    <col min="9" max="9" width="9.83203125" bestFit="1" customWidth="1"/>
    <col min="10" max="10" width="17" bestFit="1" customWidth="1"/>
    <col min="11" max="11" width="12" bestFit="1" customWidth="1"/>
    <col min="12" max="12" width="21.5" bestFit="1" customWidth="1"/>
    <col min="13" max="13" width="7.5" bestFit="1" customWidth="1"/>
  </cols>
  <sheetData>
    <row r="1" spans="1:13" x14ac:dyDescent="0.2">
      <c r="A1" t="s">
        <v>797</v>
      </c>
    </row>
    <row r="3" spans="1:13" ht="25" x14ac:dyDescent="0.25">
      <c r="A3" s="2" t="s">
        <v>785</v>
      </c>
    </row>
    <row r="5" spans="1:13" ht="18" x14ac:dyDescent="0.2">
      <c r="A5" s="3" t="s">
        <v>798</v>
      </c>
    </row>
    <row r="7" spans="1:13" x14ac:dyDescent="0.2">
      <c r="A7" s="1" t="s">
        <v>799</v>
      </c>
    </row>
    <row r="8" spans="1:13" x14ac:dyDescent="0.2">
      <c r="A8" s="4"/>
      <c r="B8" s="4"/>
      <c r="C8" s="4" t="s">
        <v>3</v>
      </c>
    </row>
    <row r="9" spans="1:13" x14ac:dyDescent="0.2">
      <c r="A9" s="12" t="s">
        <v>4</v>
      </c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2" t="s">
        <v>12</v>
      </c>
      <c r="H9" s="4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</row>
    <row r="10" spans="1:13" x14ac:dyDescent="0.2">
      <c r="A10" s="12"/>
      <c r="B10" s="12"/>
      <c r="C10" s="12"/>
      <c r="D10" s="12"/>
      <c r="E10" s="12"/>
      <c r="F10" s="12"/>
      <c r="G10" s="12"/>
      <c r="H10" s="4" t="s">
        <v>11</v>
      </c>
      <c r="I10" s="12"/>
      <c r="J10" s="12"/>
      <c r="K10" s="12"/>
      <c r="L10" s="12"/>
      <c r="M10" s="12"/>
    </row>
    <row r="11" spans="1:13" x14ac:dyDescent="0.2">
      <c r="A11" s="12"/>
      <c r="B11" s="12"/>
      <c r="C11" s="12"/>
      <c r="D11" s="12"/>
      <c r="E11" s="12"/>
      <c r="F11" s="12"/>
      <c r="G11" s="12"/>
      <c r="H11" s="4" t="s">
        <v>10</v>
      </c>
      <c r="I11" s="12"/>
      <c r="J11" s="12"/>
      <c r="K11" s="12"/>
      <c r="L11" s="12"/>
      <c r="M11" s="12"/>
    </row>
    <row r="12" spans="1:13" x14ac:dyDescent="0.2">
      <c r="A12" s="4" t="s">
        <v>197</v>
      </c>
      <c r="B12" s="4" t="s">
        <v>198</v>
      </c>
    </row>
    <row r="13" spans="1:13" x14ac:dyDescent="0.2">
      <c r="A13" s="4">
        <v>1000</v>
      </c>
      <c r="B13" s="4" t="s">
        <v>199</v>
      </c>
    </row>
    <row r="14" spans="1:13" x14ac:dyDescent="0.2">
      <c r="A14" t="s">
        <v>800</v>
      </c>
      <c r="B14" s="1" t="s">
        <v>199</v>
      </c>
      <c r="C14" s="1" t="s">
        <v>801</v>
      </c>
      <c r="D14" s="1" t="s">
        <v>200</v>
      </c>
      <c r="E14" s="1">
        <v>12</v>
      </c>
      <c r="F14" s="1" t="s">
        <v>24</v>
      </c>
      <c r="G14" s="9" t="s">
        <v>784</v>
      </c>
      <c r="H14" s="1">
        <v>0</v>
      </c>
      <c r="I14" s="1"/>
      <c r="J14" s="5">
        <v>128</v>
      </c>
      <c r="K14" s="1" t="s">
        <v>201</v>
      </c>
      <c r="L14" s="1"/>
      <c r="M14" s="1"/>
    </row>
    <row r="15" spans="1:13" x14ac:dyDescent="0.2">
      <c r="A15" t="s">
        <v>802</v>
      </c>
      <c r="B15" s="1" t="s">
        <v>199</v>
      </c>
      <c r="C15" s="1" t="s">
        <v>803</v>
      </c>
      <c r="D15" s="1" t="s">
        <v>200</v>
      </c>
      <c r="E15" s="1">
        <v>12</v>
      </c>
      <c r="F15" s="1" t="s">
        <v>24</v>
      </c>
      <c r="G15" s="1">
        <v>5</v>
      </c>
      <c r="H15" s="1">
        <v>0</v>
      </c>
      <c r="I15" s="1"/>
      <c r="J15" s="5">
        <v>116</v>
      </c>
      <c r="K15" s="1" t="s">
        <v>201</v>
      </c>
      <c r="L15" s="1"/>
      <c r="M15" s="1" t="s">
        <v>63</v>
      </c>
    </row>
    <row r="16" spans="1:13" x14ac:dyDescent="0.2">
      <c r="A16" t="s">
        <v>804</v>
      </c>
      <c r="B16" s="1" t="s">
        <v>199</v>
      </c>
      <c r="C16" s="1" t="s">
        <v>805</v>
      </c>
      <c r="D16" s="1" t="s">
        <v>578</v>
      </c>
      <c r="E16" s="1">
        <v>24</v>
      </c>
      <c r="F16" s="1" t="s">
        <v>202</v>
      </c>
      <c r="G16" s="1">
        <v>173</v>
      </c>
      <c r="H16" s="1">
        <v>0</v>
      </c>
      <c r="I16" s="1"/>
      <c r="J16" s="5">
        <v>56</v>
      </c>
      <c r="K16" s="1" t="s">
        <v>201</v>
      </c>
      <c r="L16" s="1"/>
      <c r="M16" s="1" t="s">
        <v>63</v>
      </c>
    </row>
    <row r="17" spans="1:13" x14ac:dyDescent="0.2">
      <c r="A17" t="s">
        <v>806</v>
      </c>
      <c r="B17" s="1" t="s">
        <v>199</v>
      </c>
      <c r="C17" s="1" t="s">
        <v>807</v>
      </c>
      <c r="D17" s="1" t="s">
        <v>578</v>
      </c>
      <c r="E17" s="1">
        <v>12</v>
      </c>
      <c r="F17" s="1" t="s">
        <v>24</v>
      </c>
      <c r="G17" s="1">
        <v>138</v>
      </c>
      <c r="H17" s="1">
        <v>0</v>
      </c>
      <c r="I17" s="1"/>
      <c r="J17" s="5">
        <v>120</v>
      </c>
      <c r="K17" s="1" t="s">
        <v>248</v>
      </c>
      <c r="L17" s="1"/>
      <c r="M17" s="1"/>
    </row>
    <row r="18" spans="1:13" x14ac:dyDescent="0.2">
      <c r="A18" s="4" t="s">
        <v>360</v>
      </c>
      <c r="B18" s="4" t="s">
        <v>361</v>
      </c>
    </row>
    <row r="19" spans="1:13" x14ac:dyDescent="0.2">
      <c r="A19" s="4">
        <v>1700</v>
      </c>
      <c r="B19" s="4" t="s">
        <v>808</v>
      </c>
    </row>
    <row r="20" spans="1:13" x14ac:dyDescent="0.2">
      <c r="A20" t="s">
        <v>809</v>
      </c>
      <c r="B20" s="1" t="s">
        <v>808</v>
      </c>
      <c r="C20" s="1" t="s">
        <v>810</v>
      </c>
      <c r="D20" s="1" t="s">
        <v>200</v>
      </c>
      <c r="E20" s="1">
        <v>12</v>
      </c>
      <c r="F20" s="1" t="s">
        <v>24</v>
      </c>
      <c r="G20" s="1">
        <v>199</v>
      </c>
      <c r="H20" s="1">
        <v>0</v>
      </c>
      <c r="I20" s="1"/>
      <c r="J20" s="5">
        <v>116</v>
      </c>
      <c r="K20" s="1" t="s">
        <v>503</v>
      </c>
      <c r="L20" s="1" t="s">
        <v>567</v>
      </c>
      <c r="M20" s="1"/>
    </row>
    <row r="21" spans="1:13" x14ac:dyDescent="0.2">
      <c r="A21" s="4">
        <v>1720</v>
      </c>
      <c r="B21" s="4" t="s">
        <v>630</v>
      </c>
    </row>
    <row r="22" spans="1:13" x14ac:dyDescent="0.2">
      <c r="A22" t="s">
        <v>811</v>
      </c>
      <c r="B22" s="1" t="s">
        <v>630</v>
      </c>
      <c r="C22" s="1" t="s">
        <v>812</v>
      </c>
      <c r="D22" s="1" t="s">
        <v>200</v>
      </c>
      <c r="E22" s="1">
        <v>12</v>
      </c>
      <c r="F22" s="1" t="s">
        <v>24</v>
      </c>
      <c r="G22" s="1">
        <v>255</v>
      </c>
      <c r="H22" s="1">
        <v>0</v>
      </c>
      <c r="I22" s="1"/>
      <c r="J22" s="5">
        <v>88</v>
      </c>
      <c r="K22" s="1"/>
      <c r="L22" s="1"/>
      <c r="M22" s="1"/>
    </row>
    <row r="23" spans="1:13" x14ac:dyDescent="0.2">
      <c r="A23" t="s">
        <v>813</v>
      </c>
      <c r="B23" s="1" t="s">
        <v>630</v>
      </c>
      <c r="C23" s="1" t="s">
        <v>814</v>
      </c>
      <c r="D23" s="1" t="s">
        <v>200</v>
      </c>
      <c r="E23" s="1">
        <v>12</v>
      </c>
      <c r="F23" s="1" t="s">
        <v>24</v>
      </c>
      <c r="G23" s="1">
        <v>175</v>
      </c>
      <c r="H23" s="1">
        <v>0</v>
      </c>
      <c r="I23" s="1"/>
      <c r="J23" s="5">
        <v>156</v>
      </c>
      <c r="K23" s="1"/>
      <c r="L23" s="1"/>
      <c r="M23" s="1"/>
    </row>
  </sheetData>
  <mergeCells count="12">
    <mergeCell ref="F9:F11"/>
    <mergeCell ref="A9:A11"/>
    <mergeCell ref="B9:B11"/>
    <mergeCell ref="C9:C11"/>
    <mergeCell ref="D9:D11"/>
    <mergeCell ref="E9:E11"/>
    <mergeCell ref="M9:M11"/>
    <mergeCell ref="G9:G11"/>
    <mergeCell ref="I9:I11"/>
    <mergeCell ref="J9:J11"/>
    <mergeCell ref="K9:K11"/>
    <mergeCell ref="L9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Wine</vt:lpstr>
      <vt:lpstr>NA</vt:lpstr>
      <vt:lpstr>Wine!XStatus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Krupp</dc:creator>
  <cp:lastModifiedBy>Jennifer Sollinger</cp:lastModifiedBy>
  <dcterms:created xsi:type="dcterms:W3CDTF">2026-01-20T13:14:42Z</dcterms:created>
  <dcterms:modified xsi:type="dcterms:W3CDTF">2026-01-26T14:40:34Z</dcterms:modified>
</cp:coreProperties>
</file>