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treystephenson/Desktop/"/>
    </mc:Choice>
  </mc:AlternateContent>
  <xr:revisionPtr revIDLastSave="0" documentId="8_{4D0CE108-A83F-464D-A3E2-9F0F8D87F3A6}" xr6:coauthVersionLast="47" xr6:coauthVersionMax="47" xr10:uidLastSave="{00000000-0000-0000-0000-000000000000}"/>
  <bookViews>
    <workbookView xWindow="0" yWindow="580" windowWidth="29920" windowHeight="17540" xr2:uid="{00000000-000D-0000-FFFF-FFFF00000000}"/>
  </bookViews>
  <sheets>
    <sheet name="Pricebook 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9" i="1" l="1"/>
  <c r="H248" i="1"/>
  <c r="H247" i="1"/>
  <c r="H246" i="1"/>
  <c r="H245" i="1"/>
  <c r="H242" i="1"/>
  <c r="H241" i="1"/>
  <c r="H240" i="1"/>
  <c r="H239" i="1"/>
  <c r="H238" i="1"/>
  <c r="H237" i="1"/>
  <c r="H232" i="1"/>
  <c r="H228" i="1"/>
  <c r="H227" i="1"/>
  <c r="H226" i="1"/>
  <c r="H221" i="1"/>
  <c r="H220" i="1"/>
  <c r="H219" i="1"/>
  <c r="H218" i="1"/>
  <c r="H217" i="1"/>
  <c r="H216" i="1"/>
  <c r="H215" i="1"/>
  <c r="H214" i="1"/>
  <c r="H210" i="1"/>
  <c r="H209" i="1"/>
  <c r="H208" i="1"/>
  <c r="H207" i="1"/>
  <c r="H206" i="1"/>
  <c r="H205" i="1"/>
  <c r="H201" i="1"/>
  <c r="H200" i="1"/>
  <c r="H199" i="1"/>
  <c r="H198" i="1"/>
  <c r="H197" i="1"/>
  <c r="H193" i="1"/>
  <c r="H192" i="1"/>
  <c r="H191" i="1"/>
  <c r="H190" i="1"/>
  <c r="H189" i="1"/>
  <c r="H185" i="1"/>
  <c r="H184" i="1"/>
  <c r="H183" i="1"/>
  <c r="H180" i="1"/>
  <c r="H177" i="1"/>
  <c r="H176" i="1"/>
  <c r="H175" i="1"/>
  <c r="H171" i="1"/>
  <c r="H170" i="1"/>
  <c r="H169" i="1"/>
  <c r="H168" i="1"/>
  <c r="H167" i="1"/>
  <c r="H166" i="1"/>
  <c r="H165" i="1"/>
  <c r="H164" i="1"/>
  <c r="H163" i="1"/>
  <c r="H160" i="1"/>
  <c r="H157" i="1"/>
  <c r="H156" i="1"/>
  <c r="H155" i="1"/>
  <c r="H154" i="1"/>
  <c r="H153" i="1"/>
  <c r="H150" i="1"/>
  <c r="H149" i="1"/>
  <c r="H148" i="1"/>
  <c r="H147" i="1"/>
  <c r="H146" i="1"/>
  <c r="H145" i="1"/>
  <c r="H142" i="1"/>
  <c r="H141" i="1"/>
  <c r="H140" i="1"/>
  <c r="H137" i="1"/>
  <c r="H136" i="1"/>
  <c r="H135" i="1"/>
  <c r="H134" i="1"/>
  <c r="H131" i="1"/>
  <c r="H130" i="1"/>
  <c r="H129" i="1"/>
  <c r="H128" i="1"/>
  <c r="H127" i="1"/>
  <c r="H126" i="1"/>
  <c r="H125" i="1"/>
  <c r="H124" i="1"/>
  <c r="H123" i="1"/>
  <c r="H112" i="1"/>
  <c r="H111" i="1"/>
  <c r="H110" i="1"/>
  <c r="H109" i="1"/>
  <c r="H108" i="1"/>
  <c r="H107" i="1"/>
  <c r="H106" i="1"/>
  <c r="H105" i="1"/>
  <c r="H104" i="1"/>
  <c r="H103" i="1"/>
  <c r="H102" i="1"/>
  <c r="H98" i="1"/>
  <c r="H97" i="1"/>
  <c r="H96" i="1"/>
  <c r="H95" i="1"/>
  <c r="H94" i="1"/>
  <c r="H88" i="1"/>
  <c r="H87" i="1"/>
  <c r="H85" i="1"/>
  <c r="H83" i="1"/>
  <c r="H79" i="1"/>
  <c r="H78" i="1"/>
  <c r="H77" i="1"/>
  <c r="H76" i="1"/>
  <c r="H75" i="1"/>
  <c r="H74" i="1"/>
  <c r="H69" i="1"/>
  <c r="H68" i="1"/>
  <c r="H67" i="1"/>
  <c r="H66" i="1"/>
  <c r="H65" i="1"/>
  <c r="H62" i="1"/>
  <c r="H61" i="1"/>
  <c r="H60" i="1"/>
  <c r="H59" i="1"/>
  <c r="H58" i="1"/>
  <c r="H57" i="1"/>
  <c r="H56" i="1"/>
  <c r="H55" i="1"/>
  <c r="H54" i="1"/>
  <c r="H53" i="1"/>
  <c r="H52" i="1"/>
  <c r="H48" i="1"/>
  <c r="H47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5" i="1"/>
  <c r="H22" i="1"/>
  <c r="H19" i="1"/>
  <c r="H18" i="1"/>
  <c r="H17" i="1"/>
  <c r="H14" i="1"/>
  <c r="H13" i="1"/>
  <c r="H12" i="1"/>
  <c r="H11" i="1"/>
  <c r="H10" i="1"/>
  <c r="H9" i="1"/>
</calcChain>
</file>

<file path=xl/sharedStrings.xml><?xml version="1.0" encoding="utf-8"?>
<sst xmlns="http://schemas.openxmlformats.org/spreadsheetml/2006/main" count="793" uniqueCount="528">
  <si>
    <t>*Crossdock 273CD - Container CLOSED - ETA 1/17*
**Next Crossdock: FEB26 for APR26 arrival**</t>
  </si>
  <si>
    <t>*FOB Order Minimum - 7 cases*</t>
  </si>
  <si>
    <t>Active Tariff Pricing</t>
  </si>
  <si>
    <t>Upcoming Tariff Pricing</t>
  </si>
  <si>
    <t>Wine</t>
  </si>
  <si>
    <t>Varietal(s)</t>
  </si>
  <si>
    <t>Item Code</t>
  </si>
  <si>
    <t>Type</t>
  </si>
  <si>
    <t>Tariff FOB</t>
  </si>
  <si>
    <t>Bottle</t>
  </si>
  <si>
    <t>Status/Notes</t>
  </si>
  <si>
    <t>SLOVENIA</t>
  </si>
  <si>
    <t>`</t>
  </si>
  <si>
    <t>ŠTAJERSKA</t>
  </si>
  <si>
    <r>
      <rPr>
        <b/>
        <sz val="16"/>
        <color theme="1"/>
        <rFont val="Lexend"/>
      </rPr>
      <t xml:space="preserve">Dorcha </t>
    </r>
    <r>
      <rPr>
        <sz val="16"/>
        <color theme="1"/>
        <rFont val="Lexend"/>
      </rPr>
      <t>(Ritoznoj)</t>
    </r>
  </si>
  <si>
    <t>Dorcha Sauvignon Pet Nat 2024</t>
  </si>
  <si>
    <t>Sauvignon Blanc</t>
  </si>
  <si>
    <t>MP4004</t>
  </si>
  <si>
    <t>Pet Nat</t>
  </si>
  <si>
    <t>Dorcha Blaufrankisch Rose Pet Nat 2024</t>
  </si>
  <si>
    <t>Blaufränkisch</t>
  </si>
  <si>
    <t>MP4014</t>
  </si>
  <si>
    <t>Dorcha 'Bistrica' Belo 2023 1L</t>
  </si>
  <si>
    <t>Welschriesling, Sylvaner, Sauvignon</t>
  </si>
  <si>
    <t>MP4023</t>
  </si>
  <si>
    <t>White</t>
  </si>
  <si>
    <t>Dorcha Sauvignon 2024</t>
  </si>
  <si>
    <t>MP3864</t>
  </si>
  <si>
    <t>Dorcha Oranzna 2024</t>
  </si>
  <si>
    <t>Traminer, Gelber Muskateller</t>
  </si>
  <si>
    <t>MP3884</t>
  </si>
  <si>
    <t>Orange</t>
  </si>
  <si>
    <t>Dorcha Carbonic Frankinja 2024</t>
  </si>
  <si>
    <t>MP3874</t>
  </si>
  <si>
    <t>Red</t>
  </si>
  <si>
    <r>
      <rPr>
        <b/>
        <sz val="16"/>
        <color theme="1"/>
        <rFont val="Lexend"/>
      </rPr>
      <t xml:space="preserve">Heaps Good Wine </t>
    </r>
    <r>
      <rPr>
        <sz val="16"/>
        <color theme="1"/>
        <rFont val="Lexend"/>
      </rPr>
      <t>(Ritoznoj)</t>
    </r>
  </si>
  <si>
    <t>Heaps Good Ritoznoj Sivi Pinot 2016</t>
  </si>
  <si>
    <t>Pinot Gris, Pinot Blanc, Chardonnay</t>
  </si>
  <si>
    <t>MP3356</t>
  </si>
  <si>
    <r>
      <rPr>
        <b/>
        <strike/>
        <sz val="11"/>
        <color rgb="FFED7D31"/>
        <rFont val="Lexend"/>
      </rPr>
      <t>$192</t>
    </r>
    <r>
      <rPr>
        <b/>
        <sz val="11"/>
        <color rgb="FFED7D31"/>
        <rFont val="Lexend"/>
      </rPr>
      <t xml:space="preserve"> $138</t>
    </r>
  </si>
  <si>
    <t>discounted</t>
  </si>
  <si>
    <t>Heaps Good Ritoznoj Chardonnay/Sivi 2018</t>
  </si>
  <si>
    <t>Chardonnay, Pinot Gris</t>
  </si>
  <si>
    <t>MP3328</t>
  </si>
  <si>
    <r>
      <rPr>
        <b/>
        <strike/>
        <sz val="11"/>
        <color rgb="FFED7D31"/>
        <rFont val="Lexend"/>
      </rPr>
      <t>$192</t>
    </r>
    <r>
      <rPr>
        <b/>
        <sz val="11"/>
        <color rgb="FFED7D31"/>
        <rFont val="Lexend"/>
      </rPr>
      <t xml:space="preserve"> $138</t>
    </r>
  </si>
  <si>
    <t>Heaps Good Ritoznoj Modri Pinot 2018</t>
  </si>
  <si>
    <t>Pinot Noir</t>
  </si>
  <si>
    <t>MP3308</t>
  </si>
  <si>
    <r>
      <rPr>
        <b/>
        <strike/>
        <sz val="11"/>
        <color rgb="FFED7D31"/>
        <rFont val="Lexend"/>
      </rPr>
      <t>$192</t>
    </r>
    <r>
      <rPr>
        <b/>
        <sz val="11"/>
        <color rgb="FFED7D31"/>
        <rFont val="Lexend"/>
      </rPr>
      <t xml:space="preserve"> $138</t>
    </r>
  </si>
  <si>
    <r>
      <rPr>
        <b/>
        <sz val="16"/>
        <color theme="1"/>
        <rFont val="Lexend"/>
      </rPr>
      <t xml:space="preserve">Joannes Protner </t>
    </r>
    <r>
      <rPr>
        <sz val="16"/>
        <color theme="1"/>
        <rFont val="Lexend"/>
      </rPr>
      <t>(Malečnik)</t>
    </r>
  </si>
  <si>
    <t>Joannes Protner Riesling 2020</t>
  </si>
  <si>
    <t>Riesling</t>
  </si>
  <si>
    <t>MP3460</t>
  </si>
  <si>
    <r>
      <rPr>
        <strike/>
        <sz val="11"/>
        <color rgb="FF000000"/>
        <rFont val="Lexend"/>
      </rPr>
      <t>$120</t>
    </r>
    <r>
      <rPr>
        <sz val="11"/>
        <color rgb="FF000000"/>
        <rFont val="Lexend"/>
      </rPr>
      <t xml:space="preserve"> $99</t>
    </r>
  </si>
  <si>
    <r>
      <rPr>
        <b/>
        <sz val="16"/>
        <color theme="1"/>
        <rFont val="Lexend"/>
      </rPr>
      <t xml:space="preserve">Jure Brumec </t>
    </r>
    <r>
      <rPr>
        <sz val="16"/>
        <color theme="1"/>
        <rFont val="Lexend"/>
      </rPr>
      <t>(Loče)</t>
    </r>
  </si>
  <si>
    <t>Jure Brumec 'Ottokar' 2021</t>
  </si>
  <si>
    <t>Sivi Pinot, Sauvignon Blanc, Traminer</t>
  </si>
  <si>
    <t>MP3671</t>
  </si>
  <si>
    <r>
      <rPr>
        <b/>
        <sz val="16"/>
        <color theme="1"/>
        <rFont val="Lexend"/>
      </rPr>
      <t xml:space="preserve">Kobal </t>
    </r>
    <r>
      <rPr>
        <sz val="16"/>
        <color theme="1"/>
        <rFont val="Lexend"/>
      </rPr>
      <t>(Haloze)</t>
    </r>
  </si>
  <si>
    <t>Kobal 'Bajta' Laški Rizling Pet Nat 2024</t>
  </si>
  <si>
    <t>Welschriesling</t>
  </si>
  <si>
    <t>MP3334</t>
  </si>
  <si>
    <t>Kobal 'Bajta' Laški Rizling Pet Nat 2025</t>
  </si>
  <si>
    <t>MP3335</t>
  </si>
  <si>
    <t>Kobal 'Bajta' Pet Nat Muskat 2025</t>
  </si>
  <si>
    <t>Rumeni Muskat</t>
  </si>
  <si>
    <t>MP2885</t>
  </si>
  <si>
    <t>NEW VINTAGE IN STOCK!</t>
  </si>
  <si>
    <t>Kobal 'Bajta' Pet Nat Rose 2025</t>
  </si>
  <si>
    <t>MP2805</t>
  </si>
  <si>
    <t>Kobal Sparkling Rose NV</t>
  </si>
  <si>
    <t>MP2581</t>
  </si>
  <si>
    <t>Sparkling</t>
  </si>
  <si>
    <t>Kobal Sparkling Rose NV 375mL (20x375mL)</t>
  </si>
  <si>
    <t>MP2700</t>
  </si>
  <si>
    <t>temp. OOS</t>
  </si>
  <si>
    <t>Kobal Sparkling Yellow Muscat NV</t>
  </si>
  <si>
    <t>Yellow Muscat</t>
  </si>
  <si>
    <t>MP2591</t>
  </si>
  <si>
    <t>Kobal Furmint 2025</t>
  </si>
  <si>
    <t>Furmint</t>
  </si>
  <si>
    <t>MP2205</t>
  </si>
  <si>
    <t>new vintage IN STOCK</t>
  </si>
  <si>
    <t>Kobal Sauvignon Blanc 2025</t>
  </si>
  <si>
    <t>MP2105</t>
  </si>
  <si>
    <t>Kobal Pinot Grigio 2025</t>
  </si>
  <si>
    <t>Sivi Pinot</t>
  </si>
  <si>
    <t>MP2005</t>
  </si>
  <si>
    <t>Kobal 'Roots' Furmint 2022</t>
  </si>
  <si>
    <t>MP3152</t>
  </si>
  <si>
    <r>
      <rPr>
        <sz val="11"/>
        <color theme="1"/>
        <rFont val="Lexend"/>
      </rPr>
      <t>White/</t>
    </r>
    <r>
      <rPr>
        <sz val="11"/>
        <color rgb="FFFF9900"/>
        <rFont val="Lexend"/>
      </rPr>
      <t>Skin</t>
    </r>
  </si>
  <si>
    <t>Kobal 'Roots' Sauvignon Blanc 2023</t>
  </si>
  <si>
    <t>MP3143</t>
  </si>
  <si>
    <r>
      <rPr>
        <sz val="11"/>
        <color theme="1"/>
        <rFont val="Lexend"/>
      </rPr>
      <t>White/</t>
    </r>
    <r>
      <rPr>
        <sz val="11"/>
        <color rgb="FFFF9900"/>
        <rFont val="Lexend"/>
      </rPr>
      <t>Skin</t>
    </r>
  </si>
  <si>
    <t>Kobal 'Bajta' Belo 2022</t>
  </si>
  <si>
    <t>Chardonnay, Pinot Gris, Welschriesling, Sauvignon Blanc</t>
  </si>
  <si>
    <t>MP2792</t>
  </si>
  <si>
    <t>Kobal 'Roots' Rožnato 2022</t>
  </si>
  <si>
    <t>Zweigelt</t>
  </si>
  <si>
    <t>MP3372</t>
  </si>
  <si>
    <t>Rose</t>
  </si>
  <si>
    <t>Kobal 'Roots' Blaufrankisch 2024</t>
  </si>
  <si>
    <t>MP1404</t>
  </si>
  <si>
    <t>NOW SHIPPING 2024s</t>
  </si>
  <si>
    <r>
      <rPr>
        <b/>
        <sz val="16"/>
        <color theme="1"/>
        <rFont val="Lexend"/>
      </rPr>
      <t xml:space="preserve">Posestvo Bela Gora </t>
    </r>
    <r>
      <rPr>
        <sz val="16"/>
        <color theme="1"/>
        <rFont val="Lexend"/>
      </rPr>
      <t xml:space="preserve">(Dramlje)   </t>
    </r>
    <r>
      <rPr>
        <b/>
        <sz val="16"/>
        <color theme="1"/>
        <rFont val="Lexend"/>
      </rPr>
      <t xml:space="preserve">                                                      </t>
    </r>
  </si>
  <si>
    <t>Franc Kačičnik Sauvignon Blanc 2022</t>
  </si>
  <si>
    <t>MP3552</t>
  </si>
  <si>
    <r>
      <rPr>
        <strike/>
        <sz val="11"/>
        <color rgb="FF000000"/>
        <rFont val="Lexend"/>
      </rPr>
      <t>$120</t>
    </r>
    <r>
      <rPr>
        <sz val="11"/>
        <color rgb="FF000000"/>
        <rFont val="Lexend"/>
      </rPr>
      <t xml:space="preserve"> $108</t>
    </r>
  </si>
  <si>
    <t>Franc Kačičnik Štilj 2021</t>
  </si>
  <si>
    <t>Sauvignon Blanc, Muscat, Žametna Črnina (aka Blauer Kolner)</t>
  </si>
  <si>
    <t>MP3541</t>
  </si>
  <si>
    <r>
      <rPr>
        <sz val="11"/>
        <color theme="1"/>
        <rFont val="Lexend"/>
      </rPr>
      <t>White/</t>
    </r>
    <r>
      <rPr>
        <sz val="11"/>
        <color rgb="FFFF75CA"/>
        <rFont val="Lexend"/>
      </rPr>
      <t>Ramato</t>
    </r>
  </si>
  <si>
    <r>
      <rPr>
        <strike/>
        <sz val="11"/>
        <color rgb="FF000000"/>
        <rFont val="Lexend"/>
      </rPr>
      <t>$108</t>
    </r>
    <r>
      <rPr>
        <sz val="11"/>
        <color rgb="FF000000"/>
        <rFont val="Lexend"/>
      </rPr>
      <t xml:space="preserve">  $90</t>
    </r>
  </si>
  <si>
    <t>Franc Kačičnik 'Skinzy' 2022</t>
  </si>
  <si>
    <t>Field Blend</t>
  </si>
  <si>
    <t>MP3762</t>
  </si>
  <si>
    <t>low stock - end of vintage</t>
  </si>
  <si>
    <t>Franc Kačičnik 'Skinzy' 2024</t>
  </si>
  <si>
    <t>MP3764</t>
  </si>
  <si>
    <t>new vintage - eta 12/26</t>
  </si>
  <si>
    <t>Franc Kačičnik Frankinja 2022</t>
  </si>
  <si>
    <t>MP3532</t>
  </si>
  <si>
    <r>
      <rPr>
        <strike/>
        <sz val="11"/>
        <color rgb="FF000000"/>
        <rFont val="Lexend"/>
      </rPr>
      <t>$120</t>
    </r>
    <r>
      <rPr>
        <sz val="11"/>
        <color rgb="FF000000"/>
        <rFont val="Lexend"/>
      </rPr>
      <t xml:space="preserve"> $108</t>
    </r>
  </si>
  <si>
    <r>
      <rPr>
        <b/>
        <sz val="16"/>
        <color theme="1"/>
        <rFont val="Lexend"/>
      </rPr>
      <t xml:space="preserve">Ptjuska Klet </t>
    </r>
    <r>
      <rPr>
        <sz val="16"/>
        <color theme="1"/>
        <rFont val="Lexend"/>
      </rPr>
      <t>(Ptuj)</t>
    </r>
  </si>
  <si>
    <t>Haložan White 2024 1L</t>
  </si>
  <si>
    <t>Haloze white field blend</t>
  </si>
  <si>
    <t>MP2554</t>
  </si>
  <si>
    <t>Haložan White 2025 1L</t>
  </si>
  <si>
    <t>MP2555</t>
  </si>
  <si>
    <t>new vintage - eta earlyJAN26</t>
  </si>
  <si>
    <t>Pullus Sauvignon Blanc 2024</t>
  </si>
  <si>
    <t>MP0254</t>
  </si>
  <si>
    <t>Pullus Pinot Grigio 2024</t>
  </si>
  <si>
    <t>MP0274</t>
  </si>
  <si>
    <r>
      <rPr>
        <sz val="11"/>
        <color theme="1"/>
        <rFont val="Lexend"/>
      </rPr>
      <t>White/</t>
    </r>
    <r>
      <rPr>
        <sz val="11"/>
        <color rgb="FFFF75CA"/>
        <rFont val="Lexend"/>
      </rPr>
      <t>Ramato</t>
    </r>
  </si>
  <si>
    <t>Pullus Rose 2022</t>
  </si>
  <si>
    <t>Žametovka, Pinot Noir</t>
  </si>
  <si>
    <t>MP3422</t>
  </si>
  <si>
    <r>
      <rPr>
        <strike/>
        <sz val="11"/>
        <color rgb="FF000000"/>
        <rFont val="Lexend"/>
      </rPr>
      <t>$90</t>
    </r>
    <r>
      <rPr>
        <sz val="11"/>
        <color rgb="FF000000"/>
        <rFont val="Lexend"/>
      </rPr>
      <t xml:space="preserve"> $60</t>
    </r>
  </si>
  <si>
    <t>Pullus Rose 2024</t>
  </si>
  <si>
    <t>MP3424</t>
  </si>
  <si>
    <t>vintage sold out</t>
  </si>
  <si>
    <t>Haložan Orange 2024 1L</t>
  </si>
  <si>
    <t>Welschriesling, Muskat</t>
  </si>
  <si>
    <t>MP3744</t>
  </si>
  <si>
    <t>Haložan Red 2023 1L</t>
  </si>
  <si>
    <t>Haloze red field blend</t>
  </si>
  <si>
    <t>MP3433</t>
  </si>
  <si>
    <t>Haložan Red 2024 1L</t>
  </si>
  <si>
    <t>MP3434</t>
  </si>
  <si>
    <t>Pullus Pinot Noir 2024</t>
  </si>
  <si>
    <t>MP0314</t>
  </si>
  <si>
    <t>new vintage - in stock!</t>
  </si>
  <si>
    <t>Petovia Pelinkovec</t>
  </si>
  <si>
    <t>Pelinkovec (Slovenian amaro/bitter wormwood digestif)</t>
  </si>
  <si>
    <t>MP3980</t>
  </si>
  <si>
    <t>Spirits</t>
  </si>
  <si>
    <r>
      <rPr>
        <b/>
        <sz val="16"/>
        <color theme="1"/>
        <rFont val="Lexend"/>
      </rPr>
      <t xml:space="preserve">Sanctum </t>
    </r>
    <r>
      <rPr>
        <sz val="16"/>
        <color theme="1"/>
        <rFont val="Lexend"/>
      </rPr>
      <t>(Loče)</t>
    </r>
  </si>
  <si>
    <t>Sanctum Medved Chardonnay 2023</t>
  </si>
  <si>
    <t>Chardonnay</t>
  </si>
  <si>
    <t>MP0613</t>
  </si>
  <si>
    <t>Sanctum Leptir 2022</t>
  </si>
  <si>
    <t>MP3012</t>
  </si>
  <si>
    <t>Sanctum Lisica Pinot Noir 2022</t>
  </si>
  <si>
    <t>MP0622</t>
  </si>
  <si>
    <t>Sanctum Lisica Pinot Noir 2023</t>
  </si>
  <si>
    <t>MP0623</t>
  </si>
  <si>
    <t>Sanctum Bubamara 2022</t>
  </si>
  <si>
    <t>Blaufrankisch, Syrah</t>
  </si>
  <si>
    <t>MP3062</t>
  </si>
  <si>
    <t>GORIŠKA BRDA</t>
  </si>
  <si>
    <r>
      <rPr>
        <b/>
        <sz val="16"/>
        <color theme="1"/>
        <rFont val="Lexend"/>
      </rPr>
      <t xml:space="preserve">Blažič </t>
    </r>
    <r>
      <rPr>
        <sz val="16"/>
        <color theme="1"/>
        <rFont val="Lexend"/>
      </rPr>
      <t>(Dobrovo)</t>
    </r>
    <r>
      <rPr>
        <b/>
        <sz val="16"/>
        <color theme="1"/>
        <rFont val="Lexend"/>
      </rPr>
      <t xml:space="preserve">                                                </t>
    </r>
  </si>
  <si>
    <t>Blažič Jakot 2023</t>
  </si>
  <si>
    <t>Tokaj (Friulano)</t>
  </si>
  <si>
    <t>MP3653</t>
  </si>
  <si>
    <t>Blažič Rebula 2023</t>
  </si>
  <si>
    <t>Rebula</t>
  </si>
  <si>
    <t>MP3643</t>
  </si>
  <si>
    <t>Blažič Jakot Plešivo 2021</t>
  </si>
  <si>
    <t>MP3951</t>
  </si>
  <si>
    <t>Blažič Rebula Robida 2020</t>
  </si>
  <si>
    <t>MP4120</t>
  </si>
  <si>
    <t>Blažič 'Eva' 2023</t>
  </si>
  <si>
    <t>Cabernet Sauvignon, Merlot, Cabernet Franc</t>
  </si>
  <si>
    <t>MP4233</t>
  </si>
  <si>
    <t>Red/Rose</t>
  </si>
  <si>
    <t>New wine - in stock</t>
  </si>
  <si>
    <t>Blažič Cabernet Sauvignon 2023</t>
  </si>
  <si>
    <t>Cabernet Sauvignon</t>
  </si>
  <si>
    <t>MP4113</t>
  </si>
  <si>
    <t>VIPAVA VALLEY</t>
  </si>
  <si>
    <r>
      <rPr>
        <b/>
        <sz val="16"/>
        <color theme="1"/>
        <rFont val="Lexend"/>
      </rPr>
      <t xml:space="preserve">Guerila </t>
    </r>
    <r>
      <rPr>
        <sz val="16"/>
        <color theme="1"/>
        <rFont val="Lexend"/>
      </rPr>
      <t>(Ajdovščina)</t>
    </r>
  </si>
  <si>
    <t>Guerila 'Blanc de Nature' Sparkling NV</t>
  </si>
  <si>
    <t>Merlot</t>
  </si>
  <si>
    <t>MP4100NB</t>
  </si>
  <si>
    <t>Guerila Pinela 2022</t>
  </si>
  <si>
    <t>Pinela</t>
  </si>
  <si>
    <t>MP3802</t>
  </si>
  <si>
    <r>
      <rPr>
        <strike/>
        <sz val="11"/>
        <color rgb="FF000000"/>
        <rFont val="Lexend"/>
      </rPr>
      <t>$132</t>
    </r>
    <r>
      <rPr>
        <sz val="11"/>
        <color rgb="FF000000"/>
        <rFont val="Lexend"/>
      </rPr>
      <t xml:space="preserve"> $108</t>
    </r>
  </si>
  <si>
    <t>end of vintage discount</t>
  </si>
  <si>
    <t>Guerila Pinela 2023</t>
  </si>
  <si>
    <t>MP3803</t>
  </si>
  <si>
    <t>Guerila Rebula Selection 2021</t>
  </si>
  <si>
    <t>MP3821</t>
  </si>
  <si>
    <r>
      <rPr>
        <strike/>
        <sz val="11"/>
        <color rgb="FF000000"/>
        <rFont val="Lexend"/>
      </rPr>
      <t>$168</t>
    </r>
    <r>
      <rPr>
        <sz val="11"/>
        <color rgb="FF000000"/>
        <rFont val="Lexend"/>
      </rPr>
      <t xml:space="preserve"> $120</t>
    </r>
  </si>
  <si>
    <t>Guerila Retro White Selection 2021</t>
  </si>
  <si>
    <t>Vipavec Field Blend (Pinela, Zelen, Malvasia, Rebula)</t>
  </si>
  <si>
    <t>MP3831</t>
  </si>
  <si>
    <t>Guerila Retro Red 2020</t>
  </si>
  <si>
    <t>Barbera, Cabernet Franc, Merlot</t>
  </si>
  <si>
    <t>MP3840</t>
  </si>
  <si>
    <r>
      <rPr>
        <b/>
        <sz val="16"/>
        <color theme="1"/>
        <rFont val="Lexend"/>
      </rPr>
      <t xml:space="preserve">Mansus </t>
    </r>
    <r>
      <rPr>
        <sz val="16"/>
        <color theme="1"/>
        <rFont val="Lexend"/>
      </rPr>
      <t>(Brje)</t>
    </r>
  </si>
  <si>
    <t>Mansus Pinot Grigio 2021</t>
  </si>
  <si>
    <t>MP1951</t>
  </si>
  <si>
    <t>back in stock</t>
  </si>
  <si>
    <r>
      <rPr>
        <b/>
        <sz val="16"/>
        <color theme="1"/>
        <rFont val="Lexend"/>
      </rPr>
      <t xml:space="preserve">Pikasi </t>
    </r>
    <r>
      <rPr>
        <sz val="16"/>
        <color theme="1"/>
        <rFont val="Lexend"/>
      </rPr>
      <t>(Brje)</t>
    </r>
  </si>
  <si>
    <t>Pikasi Pinela 2024</t>
  </si>
  <si>
    <t>MP2854</t>
  </si>
  <si>
    <t>Pikasi Zelen 2021</t>
  </si>
  <si>
    <t>Zelen</t>
  </si>
  <si>
    <t>MP2871</t>
  </si>
  <si>
    <t>Pikasi Rebula 2023</t>
  </si>
  <si>
    <t>MP2863</t>
  </si>
  <si>
    <t>Pikasi Rose 2024</t>
  </si>
  <si>
    <t>Barbera</t>
  </si>
  <si>
    <t>MP2904</t>
  </si>
  <si>
    <t>VINTAGE SOLD OUT</t>
  </si>
  <si>
    <t>Pikasi Barbera 2022</t>
  </si>
  <si>
    <t>MP2912</t>
  </si>
  <si>
    <t>ISTRIA</t>
  </si>
  <si>
    <r>
      <rPr>
        <b/>
        <sz val="16"/>
        <color theme="1"/>
        <rFont val="Lexend"/>
      </rPr>
      <t xml:space="preserve">Rodica </t>
    </r>
    <r>
      <rPr>
        <sz val="16"/>
        <color theme="1"/>
        <rFont val="Lexend"/>
      </rPr>
      <t>(Truške)</t>
    </r>
  </si>
  <si>
    <t>Rodica Sparkling Malvasia Col Fondo 2022</t>
  </si>
  <si>
    <t>Malvasia Istriana</t>
  </si>
  <si>
    <t>MP2712</t>
  </si>
  <si>
    <t>Rodica Saignee Sparkling Refošk 2023</t>
  </si>
  <si>
    <t>Refošk</t>
  </si>
  <si>
    <t>MP3043</t>
  </si>
  <si>
    <t>new vintage in stock</t>
  </si>
  <si>
    <t>Rodica Col Fondo Sparkling Refosk 2023</t>
  </si>
  <si>
    <t>MP2753</t>
  </si>
  <si>
    <t>Rodica Malvadiesel 2024</t>
  </si>
  <si>
    <t>MP3264</t>
  </si>
  <si>
    <t>Rodica Malvasia 2024</t>
  </si>
  <si>
    <t>MP2474</t>
  </si>
  <si>
    <t>Rodica Malvasia Selection 2022</t>
  </si>
  <si>
    <t>MP2482</t>
  </si>
  <si>
    <t>Rodica Sivi Pinot 2020</t>
  </si>
  <si>
    <t>MP3250</t>
  </si>
  <si>
    <t>Rodica Refosk 2023</t>
  </si>
  <si>
    <t>MP2503</t>
  </si>
  <si>
    <t>Rodica Refosk 2022 1.5L (6x1500mL)</t>
  </si>
  <si>
    <t>MP2502M</t>
  </si>
  <si>
    <t>Rodica Truske Rdece 2008</t>
  </si>
  <si>
    <t>Refošk, Cabernet Sauvignon, Merlot</t>
  </si>
  <si>
    <t>MP12528</t>
  </si>
  <si>
    <t>Rodica Yellow Muscat 2022 (12/500mL)</t>
  </si>
  <si>
    <t>MP2762</t>
  </si>
  <si>
    <t>Sweet</t>
  </si>
  <si>
    <t>vintage SOLD OUT, 2023 eta FEB26</t>
  </si>
  <si>
    <t>DOLENJSKA</t>
  </si>
  <si>
    <r>
      <rPr>
        <b/>
        <sz val="16"/>
        <color theme="1"/>
        <rFont val="Lexend"/>
      </rPr>
      <t xml:space="preserve">Zajc </t>
    </r>
    <r>
      <rPr>
        <sz val="16"/>
        <color theme="1"/>
        <rFont val="Lexend"/>
      </rPr>
      <t>(Novo Mesto)</t>
    </r>
  </si>
  <si>
    <t>Zajc Cvicek Pet Nat 2022</t>
  </si>
  <si>
    <t>Blaur Koelner, Blaufrankisch, Kraljevina, Welschriesling</t>
  </si>
  <si>
    <t>MP3942</t>
  </si>
  <si>
    <r>
      <rPr>
        <strike/>
        <sz val="11"/>
        <color rgb="FF000000"/>
        <rFont val="Lexend"/>
      </rPr>
      <t>$120</t>
    </r>
    <r>
      <rPr>
        <sz val="11"/>
        <color rgb="FF000000"/>
        <rFont val="Lexend"/>
      </rPr>
      <t xml:space="preserve"> $108</t>
    </r>
  </si>
  <si>
    <t>Zajc Cvicek 2024 1L</t>
  </si>
  <si>
    <t>MP2454</t>
  </si>
  <si>
    <t>Coferment/Red</t>
  </si>
  <si>
    <t>back in stock!</t>
  </si>
  <si>
    <t>CROATIA</t>
  </si>
  <si>
    <t>DALMATIA</t>
  </si>
  <si>
    <r>
      <rPr>
        <b/>
        <sz val="16"/>
        <color theme="1"/>
        <rFont val="Lexend"/>
      </rPr>
      <t>Bura-Mrgudić</t>
    </r>
    <r>
      <rPr>
        <sz val="16"/>
        <color theme="1"/>
        <rFont val="Lexend"/>
      </rPr>
      <t xml:space="preserve"> (Pelješac) </t>
    </r>
  </si>
  <si>
    <t>Basina Bjanko 2024</t>
  </si>
  <si>
    <t>Rukatac, Pošip, Zlatarica</t>
  </si>
  <si>
    <t>MP3934</t>
  </si>
  <si>
    <t>Bura Rukatac 2024</t>
  </si>
  <si>
    <t>Rukatac</t>
  </si>
  <si>
    <t>MP1204</t>
  </si>
  <si>
    <t>vintage sold out ETA APRIL</t>
  </si>
  <si>
    <t>Bura Plavac Mali Sivi 2024</t>
  </si>
  <si>
    <t>Plavac Mali Sivi</t>
  </si>
  <si>
    <t>MP2844</t>
  </si>
  <si>
    <t>Bura Plavac 'Fresh' 2024</t>
  </si>
  <si>
    <t>Plavac Mali</t>
  </si>
  <si>
    <t>MP1034</t>
  </si>
  <si>
    <t>vintage sold out - 2025 ETA APRIL</t>
  </si>
  <si>
    <t>Basina Plavac 2022</t>
  </si>
  <si>
    <t>MP3192</t>
  </si>
  <si>
    <t>Basina Plavac 2023</t>
  </si>
  <si>
    <t>MP3193</t>
  </si>
  <si>
    <t>2023 vintage - eta MAR26</t>
  </si>
  <si>
    <t>Bura Galeria 2022</t>
  </si>
  <si>
    <t>Plavac Mali, Marselan</t>
  </si>
  <si>
    <t>MP10022</t>
  </si>
  <si>
    <t>2022 SOLD OUT 2023 vintage - eta MAR26</t>
  </si>
  <si>
    <t>Mare Postup Plavac Mali 2020</t>
  </si>
  <si>
    <t>MP4040</t>
  </si>
  <si>
    <t>Bura Dingač 2022</t>
  </si>
  <si>
    <t>MP0082</t>
  </si>
  <si>
    <r>
      <rPr>
        <b/>
        <sz val="16"/>
        <color theme="1"/>
        <rFont val="Lexend"/>
      </rPr>
      <t xml:space="preserve">Vukušič </t>
    </r>
    <r>
      <rPr>
        <sz val="16"/>
        <color theme="1"/>
        <rFont val="Lexend"/>
      </rPr>
      <t>(Poježerje)</t>
    </r>
  </si>
  <si>
    <t>Vukušić Zlatarica 2023</t>
  </si>
  <si>
    <t>Zlatarica</t>
  </si>
  <si>
    <t>MP4143</t>
  </si>
  <si>
    <t>Vukušić 'Zlato' 2023</t>
  </si>
  <si>
    <t>MP4152</t>
  </si>
  <si>
    <t>Vukušić 'BonBon' 2023</t>
  </si>
  <si>
    <t>Plavac Mali, Plavka (aka Plavina)</t>
  </si>
  <si>
    <t>MP4163</t>
  </si>
  <si>
    <t>Vukušić 'Jezero' 2023</t>
  </si>
  <si>
    <t>Plavac Mali, Plavka (aka Plavina), Vranac, Trnjak</t>
  </si>
  <si>
    <t>MP4172</t>
  </si>
  <si>
    <r>
      <rPr>
        <b/>
        <sz val="16"/>
        <color theme="1"/>
        <rFont val="Lexend"/>
      </rPr>
      <t xml:space="preserve">Piližota </t>
    </r>
    <r>
      <rPr>
        <sz val="16"/>
        <color theme="1"/>
        <rFont val="Lexend"/>
      </rPr>
      <t>(Šibenik)</t>
    </r>
  </si>
  <si>
    <t>Pilizota Plavina 2023</t>
  </si>
  <si>
    <t>Plavina</t>
  </si>
  <si>
    <t>MP1703</t>
  </si>
  <si>
    <t>Pilizota Babic 2019</t>
  </si>
  <si>
    <t>Babić</t>
  </si>
  <si>
    <t>MP0729</t>
  </si>
  <si>
    <t>Pilizota Babic Reserve 2018</t>
  </si>
  <si>
    <t>MP0738</t>
  </si>
  <si>
    <r>
      <rPr>
        <b/>
        <sz val="16"/>
        <color theme="1"/>
        <rFont val="Lexend"/>
      </rPr>
      <t xml:space="preserve">Pomalo Wine Co. </t>
    </r>
    <r>
      <rPr>
        <sz val="16"/>
        <color theme="1"/>
        <rFont val="Lexend"/>
      </rPr>
      <t>(Drinovci, Dalmatia + Feričanci, Slavonia)</t>
    </r>
  </si>
  <si>
    <t>Pomalo Debit Pet Nat 2024</t>
  </si>
  <si>
    <t>Debit</t>
  </si>
  <si>
    <t>MP3184</t>
  </si>
  <si>
    <t>Pomalo Plavina Rose Pet Nat 2024</t>
  </si>
  <si>
    <t>MP3364</t>
  </si>
  <si>
    <t>VINTAGE SOLD OUT - ETA APR26</t>
  </si>
  <si>
    <t>Pomalo Debit 2024</t>
  </si>
  <si>
    <t>MP3784</t>
  </si>
  <si>
    <t>Pomalo Rose 2025</t>
  </si>
  <si>
    <t>Frankovka (aka Blaufrankisch)</t>
  </si>
  <si>
    <t>MP3755</t>
  </si>
  <si>
    <t>new vintage - eta mid-March</t>
  </si>
  <si>
    <t>Pomalo Frankovka 2024</t>
  </si>
  <si>
    <t>MP3774</t>
  </si>
  <si>
    <t>Pomalo Plavina 2024</t>
  </si>
  <si>
    <t>MP3404</t>
  </si>
  <si>
    <r>
      <rPr>
        <b/>
        <sz val="16"/>
        <color theme="1"/>
        <rFont val="Lexend"/>
      </rPr>
      <t xml:space="preserve">Vina Skaramuča </t>
    </r>
    <r>
      <rPr>
        <sz val="16"/>
        <color theme="1"/>
        <rFont val="Lexend"/>
      </rPr>
      <t>(Dingač)</t>
    </r>
  </si>
  <si>
    <t>Skaramuča Posip 2024</t>
  </si>
  <si>
    <t>Pošip</t>
  </si>
  <si>
    <t>MP2894</t>
  </si>
  <si>
    <t>Vintage SOLD OUT, 2025 ETA TBD</t>
  </si>
  <si>
    <t>Skaramuča Rukatac 2022</t>
  </si>
  <si>
    <t>MP3692</t>
  </si>
  <si>
    <t>Skaramuča Plavac 2024</t>
  </si>
  <si>
    <t>MP2614</t>
  </si>
  <si>
    <t>Skaramuča Dingac Plavac Mali 2022</t>
  </si>
  <si>
    <t>MP0072</t>
  </si>
  <si>
    <t>Skaramuča Dingac Plavac Mali 2023</t>
  </si>
  <si>
    <t>MP0073</t>
  </si>
  <si>
    <r>
      <rPr>
        <b/>
        <sz val="16"/>
        <color theme="1"/>
        <rFont val="Lexend"/>
      </rPr>
      <t xml:space="preserve">Dražen Zanchi </t>
    </r>
    <r>
      <rPr>
        <sz val="16"/>
        <color theme="1"/>
        <rFont val="Lexend"/>
      </rPr>
      <t>(Kruzine)</t>
    </r>
  </si>
  <si>
    <t>Zanchi Dobričić 2018</t>
  </si>
  <si>
    <t>Dobričić</t>
  </si>
  <si>
    <t>MP3209</t>
  </si>
  <si>
    <r>
      <rPr>
        <b/>
        <sz val="16"/>
        <color theme="1"/>
        <rFont val="Lexend"/>
      </rPr>
      <t xml:space="preserve">Zlatan Otok </t>
    </r>
    <r>
      <rPr>
        <sz val="16"/>
        <color theme="1"/>
        <rFont val="Lexend"/>
      </rPr>
      <t>(Hvar)</t>
    </r>
  </si>
  <si>
    <t>Zlatan 'Bilo Idro' Marina Cuvee 2023</t>
  </si>
  <si>
    <t>Dalmatian blend (Maraština, Pošip, Bôdanuša, Prć, Trebbiano)</t>
  </si>
  <si>
    <t>MP3273</t>
  </si>
  <si>
    <t>Zlatan Otok White Cuvee 2023</t>
  </si>
  <si>
    <t>Maraština, Pošip, Bôdanuša, Prć</t>
  </si>
  <si>
    <t>MP2443</t>
  </si>
  <si>
    <t>Zlatan Posip 2023</t>
  </si>
  <si>
    <t>MP0363</t>
  </si>
  <si>
    <t>Zlatan 'Bilo Idro' Plavac 2022</t>
  </si>
  <si>
    <t>MP3282</t>
  </si>
  <si>
    <t>TEMP OOS ETA 01/30</t>
  </si>
  <si>
    <t>Zlatan Plavac 2020</t>
  </si>
  <si>
    <t>MP1600</t>
  </si>
  <si>
    <t>Zlatan Plavac Hvar 2021</t>
  </si>
  <si>
    <t>MP0191</t>
  </si>
  <si>
    <t>Zlatan Plavac Plavac Mali Grand Cru 2018</t>
  </si>
  <si>
    <t>MP0098</t>
  </si>
  <si>
    <t>Zlatan Plavac Plavac Mali Grand Cru 2020</t>
  </si>
  <si>
    <t>MP0090</t>
  </si>
  <si>
    <t>Zlatan Crljenak 2020</t>
  </si>
  <si>
    <t>Crljenak Castelanski (aka Zinfandel)</t>
  </si>
  <si>
    <t>MP0590</t>
  </si>
  <si>
    <t>sold out/restock ETA TBD</t>
  </si>
  <si>
    <t>SLAVONIA</t>
  </si>
  <si>
    <r>
      <rPr>
        <b/>
        <sz val="16"/>
        <color theme="1"/>
        <rFont val="Lexend"/>
      </rPr>
      <t xml:space="preserve">Enjingi </t>
    </r>
    <r>
      <rPr>
        <sz val="16"/>
        <color theme="1"/>
        <rFont val="Lexend"/>
      </rPr>
      <t>(Kutjevo)</t>
    </r>
  </si>
  <si>
    <t>Enjingi Grasevina 2023</t>
  </si>
  <si>
    <t>Graševina</t>
  </si>
  <si>
    <t>MP1933</t>
  </si>
  <si>
    <t>Enjingi Rhein Riesling 2015</t>
  </si>
  <si>
    <t>MP4075</t>
  </si>
  <si>
    <t>Enjingi Zweigelt 2018</t>
  </si>
  <si>
    <t>MP0358</t>
  </si>
  <si>
    <r>
      <rPr>
        <b/>
        <sz val="16"/>
        <color theme="1"/>
        <rFont val="Lexend"/>
      </rPr>
      <t xml:space="preserve">Krauthaker </t>
    </r>
    <r>
      <rPr>
        <sz val="16"/>
        <color theme="1"/>
        <rFont val="Lexend"/>
      </rPr>
      <t>(Kutjevo)</t>
    </r>
  </si>
  <si>
    <t>Krauthaker Graševina Mitrovac 2024</t>
  </si>
  <si>
    <t>MP1964</t>
  </si>
  <si>
    <t>new vintage!</t>
  </si>
  <si>
    <r>
      <rPr>
        <b/>
        <sz val="16"/>
        <color theme="1"/>
        <rFont val="Lexend"/>
      </rPr>
      <t xml:space="preserve">SoHu </t>
    </r>
    <r>
      <rPr>
        <sz val="16"/>
        <color theme="1"/>
        <rFont val="Lexend"/>
      </rPr>
      <t>(Fericanci)</t>
    </r>
  </si>
  <si>
    <t>SoHu Sparkling Graševina NV</t>
  </si>
  <si>
    <t>MP4200</t>
  </si>
  <si>
    <t>SoHu Graševina 2024</t>
  </si>
  <si>
    <t>MP3564</t>
  </si>
  <si>
    <t>SoHu Orange 2024</t>
  </si>
  <si>
    <t>MP3994</t>
  </si>
  <si>
    <r>
      <rPr>
        <b/>
        <sz val="16"/>
        <color theme="1"/>
        <rFont val="Lexend"/>
      </rPr>
      <t xml:space="preserve">Kozlović </t>
    </r>
    <r>
      <rPr>
        <sz val="16"/>
        <color theme="1"/>
        <rFont val="Lexend"/>
      </rPr>
      <t>(Buje)</t>
    </r>
  </si>
  <si>
    <t>Kozlović Malvasia 2023</t>
  </si>
  <si>
    <t>MP2543</t>
  </si>
  <si>
    <t>vintage sold out!</t>
  </si>
  <si>
    <t>Kozlović Malvasia 2024</t>
  </si>
  <si>
    <t>MP2544</t>
  </si>
  <si>
    <t>will be 152 t.FOB FEB</t>
  </si>
  <si>
    <t>Kozlović Malvasia Santa Lucia 2018</t>
  </si>
  <si>
    <t>MP4138</t>
  </si>
  <si>
    <t>restock ETA 01/26</t>
  </si>
  <si>
    <t>Kozlović Santa Lucia Noir 2017</t>
  </si>
  <si>
    <t>Teran</t>
  </si>
  <si>
    <t>MP4267</t>
  </si>
  <si>
    <t>new wine ETA 01/26</t>
  </si>
  <si>
    <t>Kozlović Teran 2023</t>
  </si>
  <si>
    <t>MP1103</t>
  </si>
  <si>
    <t>Vintage SOLD OUT 2024 will be 152 t.FOB</t>
  </si>
  <si>
    <t>MOSLAVINA</t>
  </si>
  <si>
    <r>
      <rPr>
        <b/>
        <sz val="16"/>
        <color theme="1"/>
        <rFont val="Lexend"/>
      </rPr>
      <t xml:space="preserve">Voštinić-Klasnić </t>
    </r>
    <r>
      <rPr>
        <sz val="16"/>
        <color theme="1"/>
        <rFont val="Lexend"/>
      </rPr>
      <t>(Ivanić-Grad)</t>
    </r>
  </si>
  <si>
    <t>VK Ikons 2024</t>
  </si>
  <si>
    <t>Graševina, Škrlet</t>
  </si>
  <si>
    <t>MP3894</t>
  </si>
  <si>
    <t>VK Škrlet 2024</t>
  </si>
  <si>
    <t>Škrlet</t>
  </si>
  <si>
    <t>MP3134</t>
  </si>
  <si>
    <t>VINTAGE SOLD OUT!</t>
  </si>
  <si>
    <t>VK Škrlet 2025</t>
  </si>
  <si>
    <t>MP3135</t>
  </si>
  <si>
    <t>new vintage - eta FEB26!</t>
  </si>
  <si>
    <t>VK Unikat 2023</t>
  </si>
  <si>
    <t>MP3913</t>
  </si>
  <si>
    <t>VK Epitet 2023</t>
  </si>
  <si>
    <t>Cabernet Franc, Cabernet Sauvignon, Merlot</t>
  </si>
  <si>
    <t>MP3903</t>
  </si>
  <si>
    <t>VINTAGE SOLD OUT! ETA TBD</t>
  </si>
  <si>
    <r>
      <rPr>
        <b/>
        <sz val="16"/>
        <color theme="1"/>
        <rFont val="Lexend"/>
      </rPr>
      <t xml:space="preserve">Kosovec </t>
    </r>
    <r>
      <rPr>
        <sz val="16"/>
        <color theme="1"/>
        <rFont val="Lexend"/>
      </rPr>
      <t>(Ivanić-Grad)</t>
    </r>
  </si>
  <si>
    <t>Kosovec Škrlet 2021</t>
  </si>
  <si>
    <t>MP4071</t>
  </si>
  <si>
    <t>Kosovec Škrlet 2024</t>
  </si>
  <si>
    <t>MP4074</t>
  </si>
  <si>
    <t>New Vintage - In stock!</t>
  </si>
  <si>
    <t>Kosovec 'Ovnek' Škrlet 2022</t>
  </si>
  <si>
    <t>MP4082</t>
  </si>
  <si>
    <t>Kosovec Škrlet Selection 2019</t>
  </si>
  <si>
    <t>MP4259</t>
  </si>
  <si>
    <t>New Wine - in stock!</t>
  </si>
  <si>
    <t>Kosovec Frankovka 2021</t>
  </si>
  <si>
    <t>Frankovka</t>
  </si>
  <si>
    <t>MP4091</t>
  </si>
  <si>
    <t>Kosovec Pet Nat 2024</t>
  </si>
  <si>
    <t>Pinot Noir, Chardonnay</t>
  </si>
  <si>
    <t>MP4244</t>
  </si>
  <si>
    <t>PLEŠIVICA</t>
  </si>
  <si>
    <r>
      <rPr>
        <b/>
        <sz val="16"/>
        <color theme="1"/>
        <rFont val="Lexend"/>
      </rPr>
      <t xml:space="preserve">TOMAC </t>
    </r>
    <r>
      <rPr>
        <sz val="16"/>
        <color theme="1"/>
        <rFont val="Lexend"/>
      </rPr>
      <t>(Donja Reka)</t>
    </r>
  </si>
  <si>
    <t>Tomac Diplomat Brut Nature NV</t>
  </si>
  <si>
    <t>Chardonnay, Žuti Plavec</t>
  </si>
  <si>
    <t>MP3490</t>
  </si>
  <si>
    <t>Tomac Blanc de Noir Brut Nature NV</t>
  </si>
  <si>
    <t>MP4080</t>
  </si>
  <si>
    <t>low stock</t>
  </si>
  <si>
    <t>Tomac Sparkling Rose Extra Brut NV</t>
  </si>
  <si>
    <t>MP3960</t>
  </si>
  <si>
    <t>Tomac Rockstar 2022</t>
  </si>
  <si>
    <t>MP3922</t>
  </si>
  <si>
    <t>White/Orange</t>
  </si>
  <si>
    <t>Tomac Marany White 2021</t>
  </si>
  <si>
    <t>Roter Veltliner, Traminer, Sauvignon Blanc, Pinot Blanc</t>
  </si>
  <si>
    <t>MP3471</t>
  </si>
  <si>
    <t>Tomac Marany White 2022</t>
  </si>
  <si>
    <t>MP3472</t>
  </si>
  <si>
    <t>Tomac Marany Sivi 2022</t>
  </si>
  <si>
    <t>Sivi Pinot (Pinot Gris)</t>
  </si>
  <si>
    <t>MP4092</t>
  </si>
  <si>
    <t>Tomac Marany Red 2021</t>
  </si>
  <si>
    <t>MP3481</t>
  </si>
  <si>
    <t>vintage sold out - ETA TBD</t>
  </si>
  <si>
    <t>BOSNIA &amp; HERZEGOVINA</t>
  </si>
  <si>
    <t>MOSTAR</t>
  </si>
  <si>
    <r>
      <rPr>
        <b/>
        <sz val="16"/>
        <color theme="1"/>
        <rFont val="Lexend"/>
      </rPr>
      <t xml:space="preserve">Škegro Family Winery </t>
    </r>
    <r>
      <rPr>
        <sz val="16"/>
        <color theme="1"/>
        <rFont val="Lexend"/>
      </rPr>
      <t>(Radišiči)</t>
    </r>
  </si>
  <si>
    <t>Skegro Zilavka 2022</t>
  </si>
  <si>
    <t>Žilavka</t>
  </si>
  <si>
    <t>MP3112</t>
  </si>
  <si>
    <t>Skegro Orange Zilavka 2022</t>
  </si>
  <si>
    <t>MP3122</t>
  </si>
  <si>
    <t>Skegro Blatina 2022</t>
  </si>
  <si>
    <t>Blatina</t>
  </si>
  <si>
    <t>MP3172</t>
  </si>
  <si>
    <r>
      <rPr>
        <b/>
        <sz val="16"/>
        <color theme="1"/>
        <rFont val="Lexend"/>
      </rPr>
      <t xml:space="preserve">Brkić </t>
    </r>
    <r>
      <rPr>
        <sz val="16"/>
        <color theme="1"/>
        <rFont val="Lexend"/>
      </rPr>
      <t>(Čitluk)</t>
    </r>
  </si>
  <si>
    <t>Brkic Zilavka 2021</t>
  </si>
  <si>
    <t>MP3101</t>
  </si>
  <si>
    <r>
      <rPr>
        <strike/>
        <sz val="11"/>
        <color rgb="FF000000"/>
        <rFont val="Lexend"/>
      </rPr>
      <t>$120</t>
    </r>
    <r>
      <rPr>
        <sz val="11"/>
        <color rgb="FF000000"/>
        <rFont val="Lexend"/>
      </rPr>
      <t xml:space="preserve"> $108</t>
    </r>
  </si>
  <si>
    <t>closeout</t>
  </si>
  <si>
    <t>Brkić Plava Greda 2018</t>
  </si>
  <si>
    <t>MP3228</t>
  </si>
  <si>
    <r>
      <rPr>
        <strike/>
        <sz val="11"/>
        <color rgb="FF000000"/>
        <rFont val="Lexend"/>
      </rPr>
      <t>$180</t>
    </r>
    <r>
      <rPr>
        <sz val="11"/>
        <color rgb="FF000000"/>
        <rFont val="Lexend"/>
      </rPr>
      <t xml:space="preserve"> $132</t>
    </r>
  </si>
  <si>
    <t>SERBIA</t>
  </si>
  <si>
    <t>NEGOTINSKA KRAJINA</t>
  </si>
  <si>
    <r>
      <rPr>
        <b/>
        <sz val="16"/>
        <color theme="1"/>
        <rFont val="Lexend"/>
      </rPr>
      <t xml:space="preserve">Vinarija Dalia </t>
    </r>
    <r>
      <rPr>
        <sz val="16"/>
        <color theme="1"/>
        <rFont val="Lexend"/>
      </rPr>
      <t>(Smedovac)</t>
    </r>
  </si>
  <si>
    <t>Dalia Trač 2022</t>
  </si>
  <si>
    <t>Traminer</t>
  </si>
  <si>
    <t>MP4052</t>
  </si>
  <si>
    <t>Dalia Trač 2023</t>
  </si>
  <si>
    <t>MP4053</t>
  </si>
  <si>
    <t>Dalia Trač 2024</t>
  </si>
  <si>
    <t>MP4054</t>
  </si>
  <si>
    <t>coming soon</t>
  </si>
  <si>
    <t>Dalia 'Gaamez' 2023</t>
  </si>
  <si>
    <t>Gamay (carbonic)</t>
  </si>
  <si>
    <t>MP4213</t>
  </si>
  <si>
    <t>LOW STOCK- 2024 ETA January</t>
  </si>
  <si>
    <t>Dalia 'Gaamez' 2024</t>
  </si>
  <si>
    <t>MP4214</t>
  </si>
  <si>
    <t>Dalia Splet 2023</t>
  </si>
  <si>
    <t>Gamay, Vranac</t>
  </si>
  <si>
    <t>MP4063</t>
  </si>
  <si>
    <r>
      <rPr>
        <b/>
        <sz val="16"/>
        <color theme="1"/>
        <rFont val="Lexend"/>
      </rPr>
      <t xml:space="preserve">Tenuta Est </t>
    </r>
    <r>
      <rPr>
        <sz val="16"/>
        <color theme="1"/>
        <rFont val="Lexend"/>
      </rPr>
      <t>(Smedovac)</t>
    </r>
  </si>
  <si>
    <t>Tenuta Est Stara Ružica 2023</t>
  </si>
  <si>
    <t>Field Blend (Prokupac, Frankovka, Zacinjak, Vranac, Crna Tamjanika, Pinot Noir, Cabernet Franc, Cabernet Sauvignon, Merlot, Chardonnay, Riesling)</t>
  </si>
  <si>
    <t>MP4223</t>
  </si>
  <si>
    <t>Coferment</t>
  </si>
  <si>
    <t>Tenuta Est Stara Ružica 2024</t>
  </si>
  <si>
    <t>MP4224</t>
  </si>
  <si>
    <t>new vintage - eta late-JAN</t>
  </si>
  <si>
    <t>Tenuta Est Stara Kupaža 2022</t>
  </si>
  <si>
    <t>MP4182</t>
  </si>
  <si>
    <t>Tenuta Est Stara Kupaža 2024</t>
  </si>
  <si>
    <t>MP4184</t>
  </si>
  <si>
    <t>Tenuta Est 'Nera' Crna Tamjanika 2019</t>
  </si>
  <si>
    <t>Crna Tamjanika (Black Muscat)</t>
  </si>
  <si>
    <t>MP4199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</si>
</sst>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"/>
    <numFmt numFmtId="165" formatCode="&quot;$&quot;#,##0"/>
  </numFmts>
  <fonts count="47">
    <font>
      <sz val="10"/>
      <color rgb="FF000000"/>
      <name val="Arial"/>
      <scheme val="minor"/>
    </font>
    <font>
      <sz val="10"/>
      <color rgb="FF000000"/>
      <name val="Lexend"/>
    </font>
    <font>
      <sz val="10"/>
      <color theme="1"/>
      <name val="Lexend"/>
    </font>
    <font>
      <sz val="11"/>
      <color theme="1"/>
      <name val="Lexend"/>
    </font>
    <font>
      <sz val="10"/>
      <color theme="1"/>
      <name val="Lexend"/>
    </font>
    <font>
      <b/>
      <sz val="10"/>
      <color rgb="FF000000"/>
      <name val="Lexend"/>
    </font>
    <font>
      <b/>
      <sz val="9"/>
      <color rgb="FF000000"/>
      <name val="Lexend"/>
    </font>
    <font>
      <sz val="10"/>
      <color rgb="FFFF0000"/>
      <name val="Lexend"/>
    </font>
    <font>
      <sz val="9"/>
      <color theme="1"/>
      <name val="Lexend"/>
    </font>
    <font>
      <b/>
      <i/>
      <sz val="9"/>
      <color theme="1"/>
      <name val="Lexend"/>
    </font>
    <font>
      <b/>
      <sz val="11"/>
      <color theme="1"/>
      <name val="Lexend"/>
    </font>
    <font>
      <b/>
      <sz val="10"/>
      <color theme="1"/>
      <name val="Lexend"/>
    </font>
    <font>
      <b/>
      <sz val="11"/>
      <color rgb="FF000000"/>
      <name val="Lexend"/>
    </font>
    <font>
      <sz val="18"/>
      <color theme="1"/>
      <name val="Lexend"/>
    </font>
    <font>
      <sz val="11"/>
      <color rgb="FF000000"/>
      <name val="Lexend"/>
    </font>
    <font>
      <sz val="9"/>
      <color rgb="FF000000"/>
      <name val="Lexend"/>
    </font>
    <font>
      <sz val="16"/>
      <color theme="1"/>
      <name val="Lexend"/>
    </font>
    <font>
      <i/>
      <sz val="11"/>
      <color rgb="FF000000"/>
      <name val="Lexend"/>
    </font>
    <font>
      <sz val="8"/>
      <color theme="1"/>
      <name val="Lexend"/>
    </font>
    <font>
      <b/>
      <sz val="9"/>
      <color rgb="FF7030A0"/>
      <name val="Lexend"/>
    </font>
    <font>
      <sz val="9"/>
      <color rgb="FF00CC00"/>
      <name val="Lexend"/>
    </font>
    <font>
      <b/>
      <sz val="16"/>
      <color theme="1"/>
      <name val="Lexend"/>
    </font>
    <font>
      <sz val="11"/>
      <color rgb="FF0B5394"/>
      <name val="Lexend"/>
    </font>
    <font>
      <b/>
      <sz val="11"/>
      <color rgb="FFED7D31"/>
      <name val="Lexend"/>
    </font>
    <font>
      <b/>
      <sz val="9"/>
      <color rgb="FFED7D31"/>
      <name val="Lexend"/>
    </font>
    <font>
      <sz val="10"/>
      <color theme="1"/>
      <name val="Arial"/>
      <family val="2"/>
      <scheme val="minor"/>
    </font>
    <font>
      <sz val="11"/>
      <color rgb="FF1F1F1F"/>
      <name val="Lexend"/>
    </font>
    <font>
      <sz val="9"/>
      <color rgb="FF93C47D"/>
      <name val="Lexend"/>
    </font>
    <font>
      <sz val="11"/>
      <color rgb="FF404040"/>
      <name val="Lexend"/>
    </font>
    <font>
      <b/>
      <sz val="9"/>
      <color rgb="FFC26AFC"/>
      <name val="Lexend"/>
    </font>
    <font>
      <b/>
      <sz val="16"/>
      <color rgb="FF000000"/>
      <name val="Lexend"/>
    </font>
    <font>
      <b/>
      <sz val="9"/>
      <color rgb="FF9900FF"/>
      <name val="Lexend"/>
    </font>
    <font>
      <sz val="10"/>
      <color rgb="FFE06666"/>
      <name val="Lexend"/>
    </font>
    <font>
      <sz val="9"/>
      <color rgb="FF404040"/>
      <name val="Lexend"/>
    </font>
    <font>
      <b/>
      <sz val="9"/>
      <color rgb="FF00CC00"/>
      <name val="Lexend"/>
    </font>
    <font>
      <b/>
      <sz val="9"/>
      <color rgb="FF00B050"/>
      <name val="Lexend"/>
    </font>
    <font>
      <sz val="11"/>
      <color rgb="FF052422"/>
      <name val="Lexend"/>
    </font>
    <font>
      <sz val="10"/>
      <color rgb="FF404040"/>
      <name val="Lexend"/>
    </font>
    <font>
      <sz val="8"/>
      <color rgb="FF000000"/>
      <name val="Lexend"/>
    </font>
    <font>
      <sz val="16"/>
      <color rgb="FF000000"/>
      <name val="Lexend"/>
    </font>
    <font>
      <sz val="14"/>
      <color theme="1"/>
      <name val="Lexend"/>
    </font>
    <font>
      <sz val="10"/>
      <color rgb="FF222222"/>
      <name val="Lexend"/>
    </font>
    <font>
      <sz val="10"/>
      <color theme="1"/>
      <name val="Arial"/>
      <family val="2"/>
    </font>
    <font>
      <b/>
      <strike/>
      <sz val="11"/>
      <color rgb="FFED7D31"/>
      <name val="Lexend"/>
    </font>
    <font>
      <strike/>
      <sz val="11"/>
      <color rgb="FF000000"/>
      <name val="Lexend"/>
    </font>
    <font>
      <sz val="11"/>
      <color rgb="FFFF9900"/>
      <name val="Lexend"/>
    </font>
    <font>
      <sz val="11"/>
      <color rgb="FFFF75CA"/>
      <name val="Lexend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1C232"/>
        <bgColor rgb="FFF1C232"/>
      </patternFill>
    </fill>
    <fill>
      <patternFill patternType="solid">
        <fgColor rgb="FF95DBDA"/>
        <bgColor rgb="FF95DBDA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B7B7B7"/>
        <bgColor rgb="FFB7B7B7"/>
      </patternFill>
    </fill>
    <fill>
      <patternFill patternType="solid">
        <fgColor rgb="FFE06666"/>
        <bgColor rgb="FFE06666"/>
      </patternFill>
    </fill>
    <fill>
      <patternFill patternType="solid">
        <fgColor rgb="FF5D91E4"/>
        <bgColor rgb="FF5D91E4"/>
      </patternFill>
    </fill>
    <fill>
      <patternFill patternType="solid">
        <fgColor rgb="FFFBA0D8"/>
        <bgColor rgb="FFFBA0D8"/>
      </patternFill>
    </fill>
    <fill>
      <patternFill patternType="solid">
        <fgColor rgb="FF6D9EEB"/>
        <bgColor rgb="FF6D9EEB"/>
      </patternFill>
    </fill>
    <fill>
      <patternFill patternType="solid">
        <fgColor rgb="FFF6D908"/>
        <bgColor rgb="FFF6D908"/>
      </patternFill>
    </fill>
    <fill>
      <patternFill patternType="solid">
        <fgColor rgb="FFC26AFC"/>
        <bgColor rgb="FFC26AFC"/>
      </patternFill>
    </fill>
    <fill>
      <patternFill patternType="solid">
        <fgColor theme="0"/>
        <bgColor theme="0"/>
      </patternFill>
    </fill>
    <fill>
      <patternFill patternType="solid">
        <fgColor rgb="FFD540A8"/>
        <bgColor rgb="FFD540A8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7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8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8" fillId="5" borderId="0" xfId="0" applyNumberFormat="1" applyFont="1" applyFill="1" applyAlignment="1">
      <alignment horizontal="left"/>
    </xf>
    <xf numFmtId="0" fontId="2" fillId="0" borderId="1" xfId="0" applyFont="1" applyBorder="1"/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0" fillId="0" borderId="0" xfId="0" applyFont="1"/>
    <xf numFmtId="0" fontId="13" fillId="6" borderId="2" xfId="0" applyFont="1" applyFill="1" applyBorder="1"/>
    <xf numFmtId="0" fontId="2" fillId="6" borderId="1" xfId="0" applyFont="1" applyFill="1" applyBorder="1"/>
    <xf numFmtId="0" fontId="3" fillId="6" borderId="1" xfId="0" applyFont="1" applyFill="1" applyBorder="1"/>
    <xf numFmtId="0" fontId="4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14" fillId="6" borderId="1" xfId="0" applyFont="1" applyFill="1" applyBorder="1" applyAlignment="1">
      <alignment horizontal="center"/>
    </xf>
    <xf numFmtId="0" fontId="15" fillId="6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16" fillId="7" borderId="3" xfId="0" applyFont="1" applyFill="1" applyBorder="1"/>
    <xf numFmtId="0" fontId="10" fillId="7" borderId="3" xfId="0" applyFont="1" applyFill="1" applyBorder="1"/>
    <xf numFmtId="0" fontId="4" fillId="7" borderId="3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164" fontId="3" fillId="7" borderId="3" xfId="0" applyNumberFormat="1" applyFont="1" applyFill="1" applyBorder="1" applyAlignment="1">
      <alignment horizontal="center"/>
    </xf>
    <xf numFmtId="0" fontId="14" fillId="7" borderId="3" xfId="0" applyFont="1" applyFill="1" applyBorder="1" applyAlignment="1">
      <alignment horizontal="center"/>
    </xf>
    <xf numFmtId="0" fontId="15" fillId="7" borderId="3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/>
    <xf numFmtId="0" fontId="16" fillId="0" borderId="0" xfId="0" applyFont="1"/>
    <xf numFmtId="0" fontId="18" fillId="0" borderId="1" xfId="0" applyFont="1" applyBorder="1"/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164" fontId="14" fillId="0" borderId="0" xfId="0" applyNumberFormat="1" applyFont="1" applyAlignment="1">
      <alignment horizontal="center" wrapText="1"/>
    </xf>
    <xf numFmtId="0" fontId="14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3" fillId="0" borderId="3" xfId="0" applyFont="1" applyBorder="1"/>
    <xf numFmtId="0" fontId="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164" fontId="3" fillId="4" borderId="3" xfId="0" applyNumberFormat="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164" fontId="3" fillId="4" borderId="0" xfId="0" applyNumberFormat="1" applyFont="1" applyFill="1" applyAlignment="1">
      <alignment horizontal="center"/>
    </xf>
    <xf numFmtId="164" fontId="15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14" fillId="0" borderId="0" xfId="0" applyFont="1"/>
    <xf numFmtId="164" fontId="20" fillId="0" borderId="0" xfId="0" applyNumberFormat="1" applyFont="1" applyAlignment="1">
      <alignment horizontal="center" wrapText="1"/>
    </xf>
    <xf numFmtId="0" fontId="14" fillId="0" borderId="0" xfId="0" applyFont="1" applyAlignment="1">
      <alignment horizontal="center" wrapText="1"/>
    </xf>
    <xf numFmtId="0" fontId="15" fillId="0" borderId="0" xfId="0" applyFont="1" applyAlignment="1">
      <alignment horizontal="center" wrapText="1"/>
    </xf>
    <xf numFmtId="0" fontId="21" fillId="0" borderId="0" xfId="0" applyFont="1"/>
    <xf numFmtId="0" fontId="3" fillId="0" borderId="1" xfId="0" applyFont="1" applyBorder="1"/>
    <xf numFmtId="0" fontId="1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2" fillId="0" borderId="0" xfId="0" applyFont="1"/>
    <xf numFmtId="0" fontId="14" fillId="0" borderId="0" xfId="0" applyFont="1" applyAlignment="1">
      <alignment horizontal="left"/>
    </xf>
    <xf numFmtId="164" fontId="23" fillId="0" borderId="0" xfId="0" applyNumberFormat="1" applyFont="1" applyAlignment="1">
      <alignment horizontal="right"/>
    </xf>
    <xf numFmtId="0" fontId="24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164" fontId="14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0" fillId="0" borderId="3" xfId="0" applyFont="1" applyBorder="1"/>
    <xf numFmtId="0" fontId="14" fillId="0" borderId="3" xfId="0" applyFont="1" applyBorder="1"/>
    <xf numFmtId="0" fontId="14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wrapText="1"/>
    </xf>
    <xf numFmtId="0" fontId="3" fillId="0" borderId="3" xfId="0" applyFont="1" applyBorder="1" applyAlignment="1">
      <alignment horizontal="center"/>
    </xf>
    <xf numFmtId="164" fontId="14" fillId="0" borderId="3" xfId="0" applyNumberFormat="1" applyFont="1" applyBorder="1" applyAlignment="1">
      <alignment horizontal="center" wrapText="1"/>
    </xf>
    <xf numFmtId="0" fontId="15" fillId="0" borderId="3" xfId="0" applyFont="1" applyBorder="1" applyAlignment="1">
      <alignment horizontal="center" wrapText="1"/>
    </xf>
    <xf numFmtId="0" fontId="3" fillId="0" borderId="0" xfId="0" applyFont="1" applyAlignment="1">
      <alignment wrapText="1"/>
    </xf>
    <xf numFmtId="0" fontId="14" fillId="0" borderId="3" xfId="0" applyFont="1" applyBorder="1" applyAlignment="1">
      <alignment horizontal="center"/>
    </xf>
    <xf numFmtId="0" fontId="14" fillId="0" borderId="3" xfId="0" applyFont="1" applyBorder="1" applyAlignment="1">
      <alignment horizontal="left"/>
    </xf>
    <xf numFmtId="0" fontId="25" fillId="0" borderId="3" xfId="0" applyFont="1" applyBorder="1"/>
    <xf numFmtId="0" fontId="24" fillId="0" borderId="0" xfId="0" applyFont="1"/>
    <xf numFmtId="164" fontId="3" fillId="0" borderId="0" xfId="0" applyNumberFormat="1" applyFont="1" applyAlignment="1">
      <alignment horizontal="center"/>
    </xf>
    <xf numFmtId="0" fontId="19" fillId="0" borderId="0" xfId="0" applyFont="1"/>
    <xf numFmtId="164" fontId="3" fillId="5" borderId="0" xfId="0" applyNumberFormat="1" applyFont="1" applyFill="1" applyAlignment="1">
      <alignment horizontal="center"/>
    </xf>
    <xf numFmtId="0" fontId="21" fillId="0" borderId="3" xfId="0" applyFont="1" applyBorder="1"/>
    <xf numFmtId="0" fontId="4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164" fontId="1" fillId="0" borderId="3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164" fontId="1" fillId="0" borderId="0" xfId="0" applyNumberFormat="1" applyFont="1" applyAlignment="1">
      <alignment horizontal="center" wrapText="1"/>
    </xf>
    <xf numFmtId="164" fontId="14" fillId="5" borderId="0" xfId="0" applyNumberFormat="1" applyFont="1" applyFill="1" applyAlignment="1">
      <alignment horizontal="center" wrapText="1"/>
    </xf>
    <xf numFmtId="0" fontId="21" fillId="0" borderId="1" xfId="0" applyFont="1" applyBorder="1"/>
    <xf numFmtId="164" fontId="14" fillId="4" borderId="0" xfId="0" applyNumberFormat="1" applyFont="1" applyFill="1" applyAlignment="1">
      <alignment horizontal="center" wrapText="1"/>
    </xf>
    <xf numFmtId="0" fontId="6" fillId="0" borderId="0" xfId="0" applyFont="1" applyAlignment="1">
      <alignment horizontal="center" wrapText="1"/>
    </xf>
    <xf numFmtId="0" fontId="26" fillId="2" borderId="0" xfId="0" applyFont="1" applyFill="1"/>
    <xf numFmtId="0" fontId="27" fillId="0" borderId="0" xfId="0" applyFont="1" applyAlignment="1">
      <alignment horizontal="center" wrapText="1"/>
    </xf>
    <xf numFmtId="0" fontId="2" fillId="0" borderId="3" xfId="0" applyFont="1" applyBorder="1"/>
    <xf numFmtId="0" fontId="26" fillId="2" borderId="3" xfId="0" applyFont="1" applyFill="1" applyBorder="1"/>
    <xf numFmtId="0" fontId="1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 wrapText="1"/>
    </xf>
    <xf numFmtId="164" fontId="14" fillId="4" borderId="3" xfId="0" applyNumberFormat="1" applyFont="1" applyFill="1" applyBorder="1" applyAlignment="1">
      <alignment horizontal="center" wrapText="1"/>
    </xf>
    <xf numFmtId="0" fontId="28" fillId="0" borderId="0" xfId="0" applyFont="1" applyAlignment="1">
      <alignment horizontal="center" wrapText="1"/>
    </xf>
    <xf numFmtId="0" fontId="1" fillId="2" borderId="0" xfId="0" applyFont="1" applyFill="1" applyAlignment="1">
      <alignment horizontal="center"/>
    </xf>
    <xf numFmtId="0" fontId="26" fillId="0" borderId="0" xfId="0" applyFont="1" applyAlignment="1">
      <alignment horizontal="center"/>
    </xf>
    <xf numFmtId="0" fontId="3" fillId="8" borderId="0" xfId="0" applyFont="1" applyFill="1" applyAlignment="1">
      <alignment horizontal="center"/>
    </xf>
    <xf numFmtId="0" fontId="29" fillId="0" borderId="0" xfId="0" applyFont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30" fillId="0" borderId="0" xfId="0" applyFont="1" applyAlignment="1">
      <alignment horizontal="left"/>
    </xf>
    <xf numFmtId="165" fontId="3" fillId="0" borderId="1" xfId="0" applyNumberFormat="1" applyFont="1" applyBorder="1" applyAlignment="1">
      <alignment horizontal="center"/>
    </xf>
    <xf numFmtId="0" fontId="3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8" fillId="0" borderId="0" xfId="0" applyFont="1"/>
    <xf numFmtId="164" fontId="32" fillId="0" borderId="0" xfId="0" applyNumberFormat="1" applyFont="1" applyAlignment="1">
      <alignment horizontal="center"/>
    </xf>
    <xf numFmtId="164" fontId="8" fillId="0" borderId="0" xfId="0" applyNumberFormat="1" applyFont="1"/>
    <xf numFmtId="0" fontId="33" fillId="0" borderId="0" xfId="0" applyFont="1" applyAlignment="1">
      <alignment horizontal="center" wrapText="1"/>
    </xf>
    <xf numFmtId="0" fontId="13" fillId="9" borderId="2" xfId="0" applyFont="1" applyFill="1" applyBorder="1"/>
    <xf numFmtId="0" fontId="2" fillId="9" borderId="1" xfId="0" applyFont="1" applyFill="1" applyBorder="1"/>
    <xf numFmtId="0" fontId="3" fillId="9" borderId="1" xfId="0" applyFont="1" applyFill="1" applyBorder="1"/>
    <xf numFmtId="0" fontId="4" fillId="9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164" fontId="14" fillId="9" borderId="1" xfId="0" applyNumberFormat="1" applyFont="1" applyFill="1" applyBorder="1" applyAlignment="1">
      <alignment horizontal="center" wrapText="1"/>
    </xf>
    <xf numFmtId="0" fontId="1" fillId="9" borderId="1" xfId="0" applyFont="1" applyFill="1" applyBorder="1" applyAlignment="1">
      <alignment horizontal="center" wrapText="1"/>
    </xf>
    <xf numFmtId="0" fontId="15" fillId="9" borderId="1" xfId="0" applyFont="1" applyFill="1" applyBorder="1" applyAlignment="1">
      <alignment horizontal="center" wrapText="1"/>
    </xf>
    <xf numFmtId="0" fontId="3" fillId="0" borderId="0" xfId="0" applyFont="1" applyAlignment="1">
      <alignment horizontal="left"/>
    </xf>
    <xf numFmtId="0" fontId="19" fillId="2" borderId="0" xfId="0" applyFont="1" applyFill="1"/>
    <xf numFmtId="0" fontId="34" fillId="0" borderId="0" xfId="0" applyFont="1"/>
    <xf numFmtId="0" fontId="35" fillId="0" borderId="0" xfId="0" applyFont="1"/>
    <xf numFmtId="0" fontId="4" fillId="0" borderId="0" xfId="0" applyFont="1"/>
    <xf numFmtId="0" fontId="34" fillId="0" borderId="3" xfId="0" applyFont="1" applyBorder="1"/>
    <xf numFmtId="0" fontId="31" fillId="0" borderId="0" xfId="0" applyFont="1"/>
    <xf numFmtId="0" fontId="36" fillId="2" borderId="0" xfId="0" applyFont="1" applyFill="1" applyAlignment="1">
      <alignment horizontal="center"/>
    </xf>
    <xf numFmtId="0" fontId="26" fillId="10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6" fillId="0" borderId="3" xfId="0" applyFont="1" applyBorder="1" applyAlignment="1">
      <alignment horizontal="center" wrapText="1"/>
    </xf>
    <xf numFmtId="0" fontId="26" fillId="11" borderId="0" xfId="0" applyFont="1" applyFill="1" applyAlignment="1">
      <alignment horizontal="center"/>
    </xf>
    <xf numFmtId="0" fontId="37" fillId="0" borderId="0" xfId="0" applyFont="1" applyAlignment="1">
      <alignment horizontal="center" wrapText="1"/>
    </xf>
    <xf numFmtId="0" fontId="38" fillId="0" borderId="0" xfId="0" applyFont="1" applyAlignment="1">
      <alignment horizontal="left"/>
    </xf>
    <xf numFmtId="0" fontId="16" fillId="7" borderId="0" xfId="0" applyFont="1" applyFill="1"/>
    <xf numFmtId="0" fontId="4" fillId="7" borderId="0" xfId="0" applyFont="1" applyFill="1" applyAlignment="1">
      <alignment horizontal="center"/>
    </xf>
    <xf numFmtId="0" fontId="39" fillId="7" borderId="0" xfId="0" applyFont="1" applyFill="1" applyAlignment="1">
      <alignment horizontal="center"/>
    </xf>
    <xf numFmtId="0" fontId="16" fillId="7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13" fillId="12" borderId="2" xfId="0" applyFont="1" applyFill="1" applyBorder="1"/>
    <xf numFmtId="0" fontId="2" fillId="12" borderId="1" xfId="0" applyFont="1" applyFill="1" applyBorder="1"/>
    <xf numFmtId="0" fontId="3" fillId="12" borderId="1" xfId="0" applyFont="1" applyFill="1" applyBorder="1"/>
    <xf numFmtId="0" fontId="4" fillId="12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1" fillId="12" borderId="0" xfId="0" applyFont="1" applyFill="1" applyAlignment="1">
      <alignment horizontal="center" wrapText="1"/>
    </xf>
    <xf numFmtId="0" fontId="15" fillId="12" borderId="0" xfId="0" applyFont="1" applyFill="1" applyAlignment="1">
      <alignment horizontal="center" wrapText="1"/>
    </xf>
    <xf numFmtId="0" fontId="16" fillId="7" borderId="3" xfId="0" applyFont="1" applyFill="1" applyBorder="1" applyAlignment="1">
      <alignment horizontal="center"/>
    </xf>
    <xf numFmtId="0" fontId="8" fillId="7" borderId="3" xfId="0" applyFont="1" applyFill="1" applyBorder="1" applyAlignment="1">
      <alignment horizontal="center"/>
    </xf>
    <xf numFmtId="0" fontId="13" fillId="13" borderId="2" xfId="0" applyFont="1" applyFill="1" applyBorder="1"/>
    <xf numFmtId="0" fontId="2" fillId="13" borderId="1" xfId="0" applyFont="1" applyFill="1" applyBorder="1"/>
    <xf numFmtId="0" fontId="3" fillId="13" borderId="1" xfId="0" applyFont="1" applyFill="1" applyBorder="1"/>
    <xf numFmtId="0" fontId="4" fillId="13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164" fontId="14" fillId="13" borderId="1" xfId="0" applyNumberFormat="1" applyFont="1" applyFill="1" applyBorder="1" applyAlignment="1">
      <alignment horizontal="center" wrapText="1"/>
    </xf>
    <xf numFmtId="0" fontId="1" fillId="13" borderId="0" xfId="0" applyFont="1" applyFill="1" applyAlignment="1">
      <alignment horizontal="center" wrapText="1"/>
    </xf>
    <xf numFmtId="0" fontId="15" fillId="13" borderId="0" xfId="0" applyFont="1" applyFill="1" applyAlignment="1">
      <alignment horizontal="center" wrapText="1"/>
    </xf>
    <xf numFmtId="0" fontId="41" fillId="2" borderId="0" xfId="0" applyFont="1" applyFill="1"/>
    <xf numFmtId="0" fontId="3" fillId="14" borderId="0" xfId="0" applyFont="1" applyFill="1" applyAlignment="1">
      <alignment horizontal="center"/>
    </xf>
    <xf numFmtId="0" fontId="42" fillId="0" borderId="0" xfId="0" applyFont="1"/>
    <xf numFmtId="0" fontId="42" fillId="0" borderId="3" xfId="0" applyFont="1" applyBorder="1"/>
    <xf numFmtId="0" fontId="2" fillId="0" borderId="0" xfId="0" applyFont="1" applyAlignment="1">
      <alignment horizontal="center" wrapText="1"/>
    </xf>
    <xf numFmtId="0" fontId="3" fillId="15" borderId="0" xfId="0" applyFont="1" applyFill="1" applyAlignment="1">
      <alignment horizontal="center"/>
    </xf>
    <xf numFmtId="164" fontId="2" fillId="0" borderId="3" xfId="0" applyNumberFormat="1" applyFont="1" applyBorder="1" applyAlignment="1">
      <alignment horizontal="center" wrapText="1"/>
    </xf>
    <xf numFmtId="0" fontId="31" fillId="0" borderId="3" xfId="0" applyFont="1" applyBorder="1" applyAlignment="1">
      <alignment horizontal="center" wrapText="1"/>
    </xf>
    <xf numFmtId="0" fontId="15" fillId="0" borderId="0" xfId="0" applyFont="1" applyAlignment="1">
      <alignment horizontal="center"/>
    </xf>
    <xf numFmtId="0" fontId="6" fillId="3" borderId="0" xfId="0" applyFont="1" applyFill="1" applyAlignment="1">
      <alignment horizontal="center"/>
    </xf>
    <xf numFmtId="0" fontId="0" fillId="0" borderId="0" xfId="0"/>
    <xf numFmtId="164" fontId="8" fillId="3" borderId="0" xfId="0" applyNumberFormat="1" applyFont="1" applyFill="1" applyAlignment="1">
      <alignment horizontal="left"/>
    </xf>
    <xf numFmtId="164" fontId="9" fillId="3" borderId="0" xfId="0" applyNumberFormat="1" applyFont="1" applyFill="1" applyAlignment="1">
      <alignment horizontal="left"/>
    </xf>
    <xf numFmtId="164" fontId="8" fillId="4" borderId="0" xfId="0" applyNumberFormat="1" applyFont="1" applyFill="1" applyAlignment="1">
      <alignment horizontal="left"/>
    </xf>
  </cellXfs>
  <cellStyles count="1">
    <cellStyle name="Normal" xfId="0" builtinId="0"/>
  </cellStyles>
  <dxfs count="26">
    <dxf>
      <font>
        <b/>
        <color rgb="FFFF6D01"/>
      </font>
      <fill>
        <patternFill patternType="solid">
          <fgColor rgb="FFFFFFFF"/>
          <bgColor rgb="FFFFFFFF"/>
        </patternFill>
      </fill>
    </dxf>
    <dxf>
      <font>
        <b/>
        <color rgb="FF00CC00"/>
      </font>
      <fill>
        <patternFill patternType="solid">
          <fgColor rgb="FFD9EAD3"/>
          <bgColor rgb="FFD9EAD3"/>
        </patternFill>
      </fill>
    </dxf>
    <dxf>
      <font>
        <b/>
        <color rgb="FF9900FF"/>
      </font>
      <fill>
        <patternFill patternType="solid">
          <fgColor rgb="FFFFFFFF"/>
          <bgColor rgb="FFFFFFFF"/>
        </patternFill>
      </fill>
    </dxf>
    <dxf>
      <font>
        <b/>
        <color rgb="FF00CC00"/>
      </font>
      <fill>
        <patternFill patternType="solid">
          <fgColor rgb="FFD9EAD3"/>
          <bgColor rgb="FFD9EAD3"/>
        </patternFill>
      </fill>
    </dxf>
    <dxf>
      <font>
        <b/>
        <color rgb="FFFF6D01"/>
      </font>
      <fill>
        <patternFill patternType="solid">
          <fgColor rgb="FFFFFFFF"/>
          <bgColor rgb="FFFFFFFF"/>
        </patternFill>
      </fill>
    </dxf>
    <dxf>
      <font>
        <b/>
        <color rgb="FFFF6D01"/>
      </font>
      <fill>
        <patternFill patternType="solid">
          <fgColor rgb="FFFFFFFF"/>
          <bgColor rgb="FFFFFFFF"/>
        </patternFill>
      </fill>
    </dxf>
    <dxf>
      <font>
        <b/>
        <color rgb="FF9900FF"/>
      </font>
      <fill>
        <patternFill patternType="solid">
          <fgColor rgb="FFFFFFFF"/>
          <bgColor rgb="FFFFFFFF"/>
        </patternFill>
      </fill>
    </dxf>
    <dxf>
      <font>
        <b/>
        <color rgb="FF00CC00"/>
      </font>
      <fill>
        <patternFill patternType="solid">
          <fgColor rgb="FFD9EAD3"/>
          <bgColor rgb="FFD9EAD3"/>
        </patternFill>
      </fill>
    </dxf>
    <dxf>
      <font>
        <b/>
        <color rgb="FF9900FF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E06666"/>
          <bgColor rgb="FFE06666"/>
        </patternFill>
      </fill>
    </dxf>
    <dxf>
      <font>
        <color rgb="FF1F1F1F"/>
      </font>
      <fill>
        <patternFill patternType="solid">
          <fgColor rgb="FFB7B7B7"/>
          <bgColor rgb="FFB7B7B7"/>
        </patternFill>
      </fill>
    </dxf>
    <dxf>
      <font>
        <color rgb="FF1F1F1F"/>
      </font>
      <fill>
        <patternFill patternType="solid">
          <fgColor rgb="FFF1C232"/>
          <bgColor rgb="FFF1C232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8A1A1"/>
          <bgColor rgb="FFE8A1A1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1F1F1F"/>
      </font>
      <fill>
        <patternFill patternType="solid">
          <fgColor rgb="FFFBA0D8"/>
          <bgColor rgb="FFFBA0D8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>
    <tableStyle name="Pricebook 2025-style" pivot="0" count="3" xr9:uid="{00000000-0011-0000-FFFF-FFFF00000000}">
      <tableStyleElement type="headerRow" dxfId="25"/>
      <tableStyleElement type="firstRowStripe" dxfId="24"/>
      <tableStyleElement type="secondRowStripe" dxfId="23"/>
    </tableStyle>
    <tableStyle name="Pricebook 2025-style 2" pivot="0" count="3" xr9:uid="{00000000-0011-0000-FFFF-FFFF01000000}">
      <tableStyleElement type="headerRow" dxfId="22"/>
      <tableStyleElement type="firstRowStripe" dxfId="21"/>
      <tableStyleElement type="secondRowStripe" dxfId="2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209550</xdr:colOff>
      <xdr:row>0</xdr:row>
      <xdr:rowOff>19050</xdr:rowOff>
    </xdr:from>
    <xdr:ext cx="2771775" cy="9048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23:I223" headerRowCount="0">
  <tableColumns count="9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</tableColumns>
  <tableStyleInfo name="Pricebook 2025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34:I234" headerRowCount="0">
  <tableColumns count="9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</tableColumns>
  <tableStyleInfo name="Pricebook 2025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L394"/>
  <sheetViews>
    <sheetView tabSelected="1" workbookViewId="0">
      <pane ySplit="5" topLeftCell="A6" activePane="bottomLeft" state="frozen"/>
      <selection pane="bottomLeft" activeCell="B7" sqref="B7"/>
    </sheetView>
  </sheetViews>
  <sheetFormatPr baseColWidth="10" defaultColWidth="12.6640625" defaultRowHeight="15.75" customHeight="1"/>
  <cols>
    <col min="1" max="1" width="2" customWidth="1"/>
    <col min="2" max="2" width="2.6640625" customWidth="1"/>
    <col min="3" max="3" width="47.5" customWidth="1"/>
    <col min="4" max="4" width="31.1640625" customWidth="1"/>
    <col min="5" max="5" width="12.6640625" customWidth="1"/>
    <col min="6" max="6" width="14.33203125" customWidth="1"/>
    <col min="7" max="7" width="10.83203125" customWidth="1"/>
    <col min="8" max="8" width="11.6640625" customWidth="1"/>
    <col min="9" max="9" width="31" customWidth="1"/>
    <col min="10" max="12" width="17.6640625" customWidth="1"/>
  </cols>
  <sheetData>
    <row r="1" spans="1:12" ht="14">
      <c r="A1" s="1"/>
      <c r="B1" s="2"/>
      <c r="C1" s="3"/>
      <c r="D1" s="4"/>
      <c r="E1" s="5"/>
      <c r="G1" s="172"/>
      <c r="H1" s="173"/>
      <c r="I1" s="173"/>
    </row>
    <row r="2" spans="1:12" ht="14">
      <c r="A2" s="2"/>
      <c r="B2" s="2"/>
      <c r="C2" s="3"/>
      <c r="D2" s="6"/>
      <c r="E2" s="7"/>
      <c r="G2" s="174" t="s">
        <v>0</v>
      </c>
      <c r="H2" s="173"/>
      <c r="I2" s="173"/>
    </row>
    <row r="3" spans="1:12" ht="14">
      <c r="A3" s="2"/>
      <c r="B3" s="2"/>
      <c r="C3" s="3"/>
      <c r="D3" s="4"/>
      <c r="E3" s="8"/>
      <c r="G3" s="175" t="s">
        <v>1</v>
      </c>
      <c r="H3" s="173"/>
      <c r="I3" s="173"/>
    </row>
    <row r="4" spans="1:12" ht="14">
      <c r="A4" s="2"/>
      <c r="B4" s="2"/>
      <c r="C4" s="3"/>
      <c r="D4" s="4"/>
      <c r="E4" s="8"/>
      <c r="G4" s="176" t="s">
        <v>2</v>
      </c>
      <c r="H4" s="173"/>
      <c r="I4" s="9" t="s">
        <v>3</v>
      </c>
    </row>
    <row r="5" spans="1:12" ht="15">
      <c r="A5" s="10"/>
      <c r="B5" s="10"/>
      <c r="C5" s="11" t="s">
        <v>4</v>
      </c>
      <c r="D5" s="12" t="s">
        <v>5</v>
      </c>
      <c r="E5" s="13" t="s">
        <v>6</v>
      </c>
      <c r="F5" s="11" t="s">
        <v>7</v>
      </c>
      <c r="G5" s="11" t="s">
        <v>8</v>
      </c>
      <c r="H5" s="13" t="s">
        <v>9</v>
      </c>
      <c r="I5" s="13" t="s">
        <v>10</v>
      </c>
      <c r="J5" s="14"/>
      <c r="K5" s="14"/>
      <c r="L5" s="14"/>
    </row>
    <row r="6" spans="1:12" ht="23">
      <c r="A6" s="15" t="s">
        <v>11</v>
      </c>
      <c r="B6" s="16"/>
      <c r="C6" s="17"/>
      <c r="D6" s="18" t="s">
        <v>12</v>
      </c>
      <c r="E6" s="19"/>
      <c r="F6" s="20"/>
      <c r="G6" s="20"/>
      <c r="H6" s="21"/>
      <c r="I6" s="22"/>
      <c r="J6" s="23"/>
      <c r="K6" s="23"/>
      <c r="L6" s="23"/>
    </row>
    <row r="7" spans="1:12" ht="20">
      <c r="A7" s="24"/>
      <c r="B7" s="24" t="s">
        <v>13</v>
      </c>
      <c r="C7" s="25"/>
      <c r="D7" s="26"/>
      <c r="E7" s="27"/>
      <c r="F7" s="28"/>
      <c r="G7" s="29"/>
      <c r="H7" s="30"/>
      <c r="I7" s="31"/>
      <c r="J7" s="32"/>
      <c r="K7" s="32"/>
      <c r="L7" s="32"/>
    </row>
    <row r="8" spans="1:12" ht="21">
      <c r="A8" s="33"/>
      <c r="B8" s="34" t="s">
        <v>14</v>
      </c>
      <c r="C8" s="35"/>
      <c r="D8" s="36"/>
      <c r="E8" s="37"/>
      <c r="F8" s="38"/>
      <c r="G8" s="39"/>
      <c r="H8" s="40"/>
      <c r="I8" s="41"/>
      <c r="J8" s="42"/>
      <c r="K8" s="42"/>
      <c r="L8" s="42"/>
    </row>
    <row r="9" spans="1:12" ht="24" customHeight="1">
      <c r="A9" s="33"/>
      <c r="B9" s="43"/>
      <c r="C9" s="3" t="s">
        <v>15</v>
      </c>
      <c r="D9" s="44" t="s">
        <v>16</v>
      </c>
      <c r="E9" s="45" t="s">
        <v>17</v>
      </c>
      <c r="F9" s="44" t="s">
        <v>18</v>
      </c>
      <c r="G9" s="46">
        <v>118</v>
      </c>
      <c r="H9" s="39">
        <f t="shared" ref="H9:H10" si="0">G9/12</f>
        <v>9.8333333333333339</v>
      </c>
      <c r="I9" s="47"/>
      <c r="J9" s="42"/>
      <c r="K9" s="42"/>
      <c r="L9" s="42"/>
    </row>
    <row r="10" spans="1:12" ht="14">
      <c r="A10" s="33"/>
      <c r="B10" s="3"/>
      <c r="C10" s="3" t="s">
        <v>19</v>
      </c>
      <c r="D10" s="44" t="s">
        <v>20</v>
      </c>
      <c r="E10" s="45" t="s">
        <v>21</v>
      </c>
      <c r="F10" s="44" t="s">
        <v>18</v>
      </c>
      <c r="G10" s="48">
        <v>118</v>
      </c>
      <c r="H10" s="39">
        <f t="shared" si="0"/>
        <v>9.8333333333333339</v>
      </c>
      <c r="I10" s="49"/>
      <c r="J10" s="42"/>
      <c r="K10" s="42"/>
      <c r="L10" s="42"/>
    </row>
    <row r="11" spans="1:12" ht="15">
      <c r="A11" s="33"/>
      <c r="B11" s="3"/>
      <c r="C11" s="3" t="s">
        <v>22</v>
      </c>
      <c r="D11" s="50" t="s">
        <v>23</v>
      </c>
      <c r="E11" s="45" t="s">
        <v>24</v>
      </c>
      <c r="F11" s="44" t="s">
        <v>25</v>
      </c>
      <c r="G11" s="48">
        <v>114</v>
      </c>
      <c r="H11" s="39">
        <f>99/12</f>
        <v>8.25</v>
      </c>
      <c r="I11" s="49"/>
      <c r="J11" s="42"/>
      <c r="K11" s="42"/>
      <c r="L11" s="42"/>
    </row>
    <row r="12" spans="1:12" ht="15" customHeight="1">
      <c r="A12" s="33"/>
      <c r="B12" s="3"/>
      <c r="C12" s="51" t="s">
        <v>26</v>
      </c>
      <c r="D12" s="44" t="s">
        <v>16</v>
      </c>
      <c r="E12" s="45" t="s">
        <v>27</v>
      </c>
      <c r="F12" s="44" t="s">
        <v>25</v>
      </c>
      <c r="G12" s="48">
        <v>112</v>
      </c>
      <c r="H12" s="39">
        <f t="shared" ref="H12:H14" si="1">G12/12</f>
        <v>9.3333333333333339</v>
      </c>
      <c r="I12" s="52"/>
      <c r="J12" s="44"/>
      <c r="K12" s="42"/>
      <c r="L12" s="42"/>
    </row>
    <row r="13" spans="1:12" ht="15" customHeight="1">
      <c r="A13" s="33"/>
      <c r="B13" s="3"/>
      <c r="C13" s="51" t="s">
        <v>28</v>
      </c>
      <c r="D13" s="45" t="s">
        <v>29</v>
      </c>
      <c r="E13" s="45" t="s">
        <v>30</v>
      </c>
      <c r="F13" s="44" t="s">
        <v>31</v>
      </c>
      <c r="G13" s="48">
        <v>114</v>
      </c>
      <c r="H13" s="39">
        <f t="shared" si="1"/>
        <v>9.5</v>
      </c>
      <c r="J13" s="44"/>
      <c r="K13" s="42"/>
      <c r="L13" s="42"/>
    </row>
    <row r="14" spans="1:12" ht="16.5" customHeight="1">
      <c r="A14" s="33"/>
      <c r="B14" s="3"/>
      <c r="C14" s="51" t="s">
        <v>32</v>
      </c>
      <c r="D14" s="44" t="s">
        <v>20</v>
      </c>
      <c r="E14" s="45" t="s">
        <v>33</v>
      </c>
      <c r="F14" s="44" t="s">
        <v>34</v>
      </c>
      <c r="G14" s="48">
        <v>114</v>
      </c>
      <c r="H14" s="39">
        <f t="shared" si="1"/>
        <v>9.5</v>
      </c>
      <c r="I14" s="52"/>
      <c r="J14" s="44"/>
      <c r="K14" s="42"/>
      <c r="L14" s="42"/>
    </row>
    <row r="15" spans="1:12" ht="14">
      <c r="A15" s="33"/>
      <c r="B15" s="3"/>
      <c r="C15" s="3"/>
      <c r="D15" s="8"/>
      <c r="E15" s="45"/>
      <c r="F15" s="44"/>
      <c r="G15" s="39"/>
      <c r="H15" s="53"/>
      <c r="I15" s="54"/>
      <c r="J15" s="44"/>
      <c r="K15" s="42"/>
      <c r="L15" s="42"/>
    </row>
    <row r="16" spans="1:12" ht="21">
      <c r="A16" s="2"/>
      <c r="B16" s="55" t="s">
        <v>35</v>
      </c>
      <c r="C16" s="56"/>
      <c r="D16" s="36"/>
      <c r="E16" s="57"/>
      <c r="F16" s="58"/>
      <c r="G16" s="59"/>
      <c r="H16" s="57"/>
      <c r="I16" s="60"/>
      <c r="J16" s="61"/>
      <c r="K16" s="61"/>
      <c r="L16" s="61"/>
    </row>
    <row r="17" spans="1:12" ht="16">
      <c r="A17" s="2"/>
      <c r="B17" s="14"/>
      <c r="C17" s="51" t="s">
        <v>36</v>
      </c>
      <c r="D17" s="50" t="s">
        <v>37</v>
      </c>
      <c r="E17" s="62" t="s">
        <v>38</v>
      </c>
      <c r="F17" s="44" t="s">
        <v>25</v>
      </c>
      <c r="G17" s="63" t="s">
        <v>39</v>
      </c>
      <c r="H17" s="39">
        <f t="shared" ref="H17:H19" si="2">138/12</f>
        <v>11.5</v>
      </c>
      <c r="I17" s="64" t="s">
        <v>40</v>
      </c>
      <c r="J17" s="61"/>
      <c r="K17" s="61"/>
      <c r="L17" s="61"/>
    </row>
    <row r="18" spans="1:12" ht="15">
      <c r="A18" s="2"/>
      <c r="B18" s="14"/>
      <c r="C18" s="51" t="s">
        <v>41</v>
      </c>
      <c r="D18" s="45" t="s">
        <v>42</v>
      </c>
      <c r="E18" s="62" t="s">
        <v>43</v>
      </c>
      <c r="F18" s="45" t="s">
        <v>25</v>
      </c>
      <c r="G18" s="63" t="s">
        <v>44</v>
      </c>
      <c r="H18" s="39">
        <f t="shared" si="2"/>
        <v>11.5</v>
      </c>
      <c r="I18" s="64" t="s">
        <v>40</v>
      </c>
      <c r="J18" s="61"/>
      <c r="K18" s="61"/>
      <c r="L18" s="61"/>
    </row>
    <row r="19" spans="1:12" ht="15">
      <c r="A19" s="2"/>
      <c r="B19" s="14"/>
      <c r="C19" s="51" t="s">
        <v>45</v>
      </c>
      <c r="D19" s="45" t="s">
        <v>46</v>
      </c>
      <c r="E19" s="62" t="s">
        <v>47</v>
      </c>
      <c r="F19" s="45" t="s">
        <v>34</v>
      </c>
      <c r="G19" s="63" t="s">
        <v>48</v>
      </c>
      <c r="H19" s="39">
        <f t="shared" si="2"/>
        <v>11.5</v>
      </c>
      <c r="I19" s="64" t="s">
        <v>40</v>
      </c>
      <c r="J19" s="61"/>
      <c r="K19" s="61"/>
      <c r="L19" s="61"/>
    </row>
    <row r="20" spans="1:12" ht="21">
      <c r="A20" s="2"/>
      <c r="B20" s="55"/>
      <c r="C20" s="3"/>
      <c r="D20" s="4"/>
      <c r="E20" s="8"/>
      <c r="F20" s="44"/>
      <c r="G20" s="39"/>
      <c r="H20" s="65"/>
      <c r="I20" s="54"/>
      <c r="J20" s="61"/>
      <c r="K20" s="61"/>
      <c r="L20" s="61"/>
    </row>
    <row r="21" spans="1:12" ht="21">
      <c r="A21" s="2"/>
      <c r="B21" s="55" t="s">
        <v>49</v>
      </c>
      <c r="C21" s="56"/>
      <c r="D21" s="36"/>
      <c r="E21" s="37"/>
      <c r="F21" s="58"/>
      <c r="G21" s="66"/>
      <c r="H21" s="67"/>
      <c r="I21" s="41"/>
      <c r="J21" s="61"/>
      <c r="K21" s="61"/>
      <c r="L21" s="61"/>
    </row>
    <row r="22" spans="1:12" ht="15">
      <c r="A22" s="2"/>
      <c r="B22" s="43"/>
      <c r="C22" s="3" t="s">
        <v>50</v>
      </c>
      <c r="D22" s="44" t="s">
        <v>51</v>
      </c>
      <c r="E22" s="62" t="s">
        <v>52</v>
      </c>
      <c r="F22" s="50" t="s">
        <v>25</v>
      </c>
      <c r="G22" s="39" t="s">
        <v>53</v>
      </c>
      <c r="H22" s="39">
        <f>90/12</f>
        <v>7.5</v>
      </c>
      <c r="I22" s="54" t="s">
        <v>40</v>
      </c>
      <c r="J22" s="3"/>
      <c r="K22" s="3"/>
      <c r="L22" s="3"/>
    </row>
    <row r="23" spans="1:12" ht="14">
      <c r="A23" s="2"/>
      <c r="B23" s="2"/>
      <c r="C23" s="3"/>
      <c r="D23" s="4"/>
      <c r="E23" s="8"/>
      <c r="F23" s="44"/>
      <c r="G23" s="39"/>
      <c r="H23" s="65"/>
      <c r="I23" s="54"/>
      <c r="J23" s="44"/>
      <c r="K23" s="44"/>
      <c r="L23" s="44"/>
    </row>
    <row r="24" spans="1:12" ht="21">
      <c r="A24" s="2"/>
      <c r="B24" s="55" t="s">
        <v>54</v>
      </c>
      <c r="C24" s="3"/>
      <c r="D24" s="4"/>
      <c r="E24" s="8"/>
      <c r="F24" s="44"/>
      <c r="G24" s="39"/>
      <c r="H24" s="65"/>
      <c r="I24" s="54"/>
      <c r="J24" s="61"/>
      <c r="K24" s="61"/>
      <c r="L24" s="61"/>
    </row>
    <row r="25" spans="1:12" ht="30">
      <c r="A25" s="2"/>
      <c r="B25" s="68"/>
      <c r="C25" s="69" t="s">
        <v>55</v>
      </c>
      <c r="D25" s="70" t="s">
        <v>56</v>
      </c>
      <c r="E25" s="71" t="s">
        <v>57</v>
      </c>
      <c r="F25" s="72" t="s">
        <v>31</v>
      </c>
      <c r="G25" s="46">
        <v>111</v>
      </c>
      <c r="H25" s="73">
        <f>G25/12</f>
        <v>9.25</v>
      </c>
      <c r="I25" s="74"/>
      <c r="J25" s="44"/>
      <c r="K25" s="44"/>
      <c r="L25" s="44"/>
    </row>
    <row r="26" spans="1:12" ht="21">
      <c r="A26" s="2"/>
      <c r="B26" s="55"/>
      <c r="C26" s="75"/>
      <c r="D26" s="4"/>
      <c r="E26" s="8"/>
      <c r="F26" s="44"/>
      <c r="G26" s="39"/>
      <c r="H26" s="65"/>
      <c r="I26" s="54"/>
      <c r="J26" s="44"/>
      <c r="K26" s="44"/>
      <c r="L26" s="44"/>
    </row>
    <row r="27" spans="1:12" ht="21">
      <c r="A27" s="2"/>
      <c r="B27" s="55" t="s">
        <v>58</v>
      </c>
      <c r="C27" s="3"/>
      <c r="D27" s="4"/>
      <c r="E27" s="8"/>
      <c r="F27" s="44"/>
      <c r="G27" s="39"/>
      <c r="H27" s="65"/>
      <c r="I27" s="54"/>
      <c r="J27" s="44"/>
      <c r="K27" s="44"/>
      <c r="L27" s="44"/>
    </row>
    <row r="28" spans="1:12" ht="14">
      <c r="A28" s="2"/>
      <c r="B28" s="43"/>
      <c r="C28" s="69" t="s">
        <v>59</v>
      </c>
      <c r="D28" s="76" t="s">
        <v>60</v>
      </c>
      <c r="E28" s="77" t="s">
        <v>61</v>
      </c>
      <c r="F28" s="72" t="s">
        <v>18</v>
      </c>
      <c r="G28" s="46">
        <v>128</v>
      </c>
      <c r="H28" s="73">
        <f t="shared" ref="H28:H42" si="3">G28/12</f>
        <v>10.666666666666666</v>
      </c>
      <c r="I28" s="78"/>
      <c r="J28" s="44"/>
      <c r="K28" s="44"/>
      <c r="L28" s="44"/>
    </row>
    <row r="29" spans="1:12" ht="14" hidden="1">
      <c r="A29" s="2"/>
      <c r="B29" s="3"/>
      <c r="C29" s="69" t="s">
        <v>62</v>
      </c>
      <c r="D29" s="76" t="s">
        <v>60</v>
      </c>
      <c r="E29" s="77" t="s">
        <v>63</v>
      </c>
      <c r="F29" s="72" t="s">
        <v>18</v>
      </c>
      <c r="G29" s="46">
        <v>132</v>
      </c>
      <c r="H29" s="73">
        <f t="shared" si="3"/>
        <v>11</v>
      </c>
      <c r="I29" s="79"/>
      <c r="J29" s="44"/>
      <c r="K29" s="44"/>
      <c r="L29" s="44"/>
    </row>
    <row r="30" spans="1:12" ht="14">
      <c r="A30" s="2"/>
      <c r="B30" s="3"/>
      <c r="C30" s="51" t="s">
        <v>64</v>
      </c>
      <c r="D30" s="45" t="s">
        <v>65</v>
      </c>
      <c r="E30" s="62" t="s">
        <v>66</v>
      </c>
      <c r="F30" s="44" t="s">
        <v>18</v>
      </c>
      <c r="G30" s="48">
        <v>132</v>
      </c>
      <c r="H30" s="39">
        <f t="shared" si="3"/>
        <v>11</v>
      </c>
      <c r="I30" s="79" t="s">
        <v>67</v>
      </c>
      <c r="J30" s="44"/>
      <c r="K30" s="44"/>
      <c r="L30" s="44"/>
    </row>
    <row r="31" spans="1:12" ht="14">
      <c r="A31" s="2"/>
      <c r="B31" s="3"/>
      <c r="C31" s="51" t="s">
        <v>68</v>
      </c>
      <c r="D31" s="45" t="s">
        <v>20</v>
      </c>
      <c r="E31" s="62" t="s">
        <v>69</v>
      </c>
      <c r="F31" s="44" t="s">
        <v>18</v>
      </c>
      <c r="G31" s="48">
        <v>132</v>
      </c>
      <c r="H31" s="39">
        <f t="shared" si="3"/>
        <v>11</v>
      </c>
      <c r="I31" s="79" t="s">
        <v>67</v>
      </c>
      <c r="J31" s="44"/>
      <c r="K31" s="44"/>
      <c r="L31" s="44"/>
    </row>
    <row r="32" spans="1:12" ht="14">
      <c r="A32" s="2"/>
      <c r="B32" s="3"/>
      <c r="C32" s="51" t="s">
        <v>70</v>
      </c>
      <c r="D32" s="45" t="s">
        <v>46</v>
      </c>
      <c r="E32" s="62" t="s">
        <v>71</v>
      </c>
      <c r="F32" s="44" t="s">
        <v>72</v>
      </c>
      <c r="G32" s="48">
        <v>124</v>
      </c>
      <c r="H32" s="39">
        <f t="shared" si="3"/>
        <v>10.333333333333334</v>
      </c>
      <c r="I32" s="79"/>
      <c r="J32" s="44"/>
      <c r="K32" s="44"/>
      <c r="L32" s="44"/>
    </row>
    <row r="33" spans="1:12" ht="14">
      <c r="A33" s="2"/>
      <c r="B33" s="3"/>
      <c r="C33" s="51" t="s">
        <v>73</v>
      </c>
      <c r="D33" s="45" t="s">
        <v>46</v>
      </c>
      <c r="E33" s="62" t="s">
        <v>74</v>
      </c>
      <c r="F33" s="44" t="s">
        <v>72</v>
      </c>
      <c r="G33" s="80">
        <v>120</v>
      </c>
      <c r="H33" s="39">
        <f t="shared" si="3"/>
        <v>10</v>
      </c>
      <c r="I33" s="79" t="s">
        <v>75</v>
      </c>
      <c r="J33" s="44"/>
      <c r="K33" s="44"/>
      <c r="L33" s="44"/>
    </row>
    <row r="34" spans="1:12" ht="14">
      <c r="A34" s="2"/>
      <c r="B34" s="3"/>
      <c r="C34" s="51" t="s">
        <v>76</v>
      </c>
      <c r="D34" s="45" t="s">
        <v>77</v>
      </c>
      <c r="E34" s="62" t="s">
        <v>78</v>
      </c>
      <c r="F34" s="44" t="s">
        <v>72</v>
      </c>
      <c r="G34" s="80">
        <v>108</v>
      </c>
      <c r="H34" s="39">
        <f t="shared" si="3"/>
        <v>9</v>
      </c>
      <c r="I34" s="81"/>
      <c r="J34" s="44"/>
      <c r="K34" s="44"/>
      <c r="L34" s="44"/>
    </row>
    <row r="35" spans="1:12" ht="14">
      <c r="A35" s="2"/>
      <c r="B35" s="3"/>
      <c r="C35" s="51" t="s">
        <v>79</v>
      </c>
      <c r="D35" s="45" t="s">
        <v>80</v>
      </c>
      <c r="E35" s="62" t="s">
        <v>81</v>
      </c>
      <c r="F35" s="44" t="s">
        <v>25</v>
      </c>
      <c r="G35" s="48">
        <v>106</v>
      </c>
      <c r="H35" s="39">
        <f t="shared" si="3"/>
        <v>8.8333333333333339</v>
      </c>
      <c r="I35" s="79" t="s">
        <v>82</v>
      </c>
      <c r="J35" s="44"/>
      <c r="K35" s="44"/>
      <c r="L35" s="44"/>
    </row>
    <row r="36" spans="1:12" ht="14">
      <c r="A36" s="2"/>
      <c r="B36" s="3"/>
      <c r="C36" s="51" t="s">
        <v>83</v>
      </c>
      <c r="D36" s="45" t="s">
        <v>16</v>
      </c>
      <c r="E36" s="62" t="s">
        <v>84</v>
      </c>
      <c r="F36" s="44" t="s">
        <v>25</v>
      </c>
      <c r="G36" s="48">
        <v>106</v>
      </c>
      <c r="H36" s="39">
        <f t="shared" si="3"/>
        <v>8.8333333333333339</v>
      </c>
      <c r="I36" s="79" t="s">
        <v>82</v>
      </c>
      <c r="J36" s="44"/>
      <c r="K36" s="44"/>
      <c r="L36" s="44"/>
    </row>
    <row r="37" spans="1:12" ht="14">
      <c r="A37" s="2"/>
      <c r="B37" s="3"/>
      <c r="C37" s="51" t="s">
        <v>85</v>
      </c>
      <c r="D37" s="45" t="s">
        <v>86</v>
      </c>
      <c r="E37" s="62" t="s">
        <v>87</v>
      </c>
      <c r="F37" s="44" t="s">
        <v>25</v>
      </c>
      <c r="G37" s="48">
        <v>106</v>
      </c>
      <c r="H37" s="39">
        <f t="shared" si="3"/>
        <v>8.8333333333333339</v>
      </c>
      <c r="I37" s="79" t="s">
        <v>82</v>
      </c>
      <c r="J37" s="44"/>
      <c r="K37" s="44"/>
      <c r="L37" s="44"/>
    </row>
    <row r="38" spans="1:12" ht="14">
      <c r="A38" s="2"/>
      <c r="B38" s="3"/>
      <c r="C38" s="51" t="s">
        <v>88</v>
      </c>
      <c r="D38" s="45" t="s">
        <v>80</v>
      </c>
      <c r="E38" s="62" t="s">
        <v>89</v>
      </c>
      <c r="F38" s="44" t="s">
        <v>90</v>
      </c>
      <c r="G38" s="80">
        <v>108</v>
      </c>
      <c r="H38" s="39">
        <f t="shared" si="3"/>
        <v>9</v>
      </c>
      <c r="I38" s="79"/>
      <c r="J38" s="44"/>
      <c r="K38" s="44"/>
      <c r="L38" s="44"/>
    </row>
    <row r="39" spans="1:12" ht="14">
      <c r="A39" s="2"/>
      <c r="B39" s="3"/>
      <c r="C39" s="51" t="s">
        <v>91</v>
      </c>
      <c r="D39" s="45" t="s">
        <v>16</v>
      </c>
      <c r="E39" s="62" t="s">
        <v>92</v>
      </c>
      <c r="F39" s="44" t="s">
        <v>93</v>
      </c>
      <c r="G39" s="48">
        <v>114</v>
      </c>
      <c r="H39" s="39">
        <f t="shared" si="3"/>
        <v>9.5</v>
      </c>
      <c r="I39" s="81"/>
      <c r="J39" s="44"/>
      <c r="K39" s="44"/>
      <c r="L39" s="44"/>
    </row>
    <row r="40" spans="1:12" ht="30">
      <c r="A40" s="2"/>
      <c r="B40" s="3"/>
      <c r="C40" s="51" t="s">
        <v>94</v>
      </c>
      <c r="D40" s="53" t="s">
        <v>95</v>
      </c>
      <c r="E40" s="62" t="s">
        <v>96</v>
      </c>
      <c r="F40" s="44" t="s">
        <v>31</v>
      </c>
      <c r="G40" s="48">
        <v>132</v>
      </c>
      <c r="H40" s="39">
        <f t="shared" si="3"/>
        <v>11</v>
      </c>
      <c r="I40" s="79"/>
      <c r="J40" s="44"/>
      <c r="K40" s="44"/>
      <c r="L40" s="44"/>
    </row>
    <row r="41" spans="1:12" ht="14">
      <c r="A41" s="2"/>
      <c r="B41" s="3"/>
      <c r="C41" s="51" t="s">
        <v>97</v>
      </c>
      <c r="D41" s="45" t="s">
        <v>98</v>
      </c>
      <c r="E41" s="62" t="s">
        <v>99</v>
      </c>
      <c r="F41" s="44" t="s">
        <v>100</v>
      </c>
      <c r="G41" s="82">
        <v>114</v>
      </c>
      <c r="H41" s="39">
        <f t="shared" si="3"/>
        <v>9.5</v>
      </c>
      <c r="I41" s="79"/>
      <c r="J41" s="44"/>
      <c r="K41" s="44"/>
      <c r="L41" s="44"/>
    </row>
    <row r="42" spans="1:12" ht="14">
      <c r="A42" s="2"/>
      <c r="B42" s="3"/>
      <c r="C42" s="51" t="s">
        <v>101</v>
      </c>
      <c r="D42" s="45" t="s">
        <v>20</v>
      </c>
      <c r="E42" s="62" t="s">
        <v>102</v>
      </c>
      <c r="F42" s="44" t="s">
        <v>34</v>
      </c>
      <c r="G42" s="48">
        <v>114</v>
      </c>
      <c r="H42" s="39">
        <f t="shared" si="3"/>
        <v>9.5</v>
      </c>
      <c r="I42" s="79" t="s">
        <v>103</v>
      </c>
      <c r="J42" s="44"/>
      <c r="K42" s="44"/>
      <c r="L42" s="44"/>
    </row>
    <row r="43" spans="1:12" ht="21">
      <c r="A43" s="2"/>
      <c r="B43" s="55"/>
      <c r="C43" s="3"/>
      <c r="D43" s="4"/>
      <c r="E43" s="8"/>
      <c r="F43" s="44"/>
      <c r="G43" s="39"/>
      <c r="H43" s="65"/>
      <c r="I43" s="54"/>
      <c r="J43" s="44"/>
      <c r="K43" s="44"/>
      <c r="L43" s="44"/>
    </row>
    <row r="44" spans="1:12" ht="21">
      <c r="A44" s="2"/>
      <c r="B44" s="55" t="s">
        <v>104</v>
      </c>
      <c r="C44" s="3"/>
      <c r="D44" s="4"/>
      <c r="E44" s="8"/>
      <c r="F44" s="44"/>
      <c r="G44" s="39"/>
      <c r="H44" s="65"/>
      <c r="I44" s="54"/>
      <c r="J44" s="44"/>
      <c r="K44" s="44"/>
      <c r="L44" s="44"/>
    </row>
    <row r="45" spans="1:12" ht="21">
      <c r="A45" s="2"/>
      <c r="B45" s="83"/>
      <c r="C45" s="43" t="s">
        <v>105</v>
      </c>
      <c r="D45" s="84" t="s">
        <v>16</v>
      </c>
      <c r="E45" s="85" t="s">
        <v>106</v>
      </c>
      <c r="F45" s="72" t="s">
        <v>25</v>
      </c>
      <c r="G45" s="73" t="s">
        <v>107</v>
      </c>
      <c r="H45" s="86">
        <v>9</v>
      </c>
      <c r="I45" s="74" t="s">
        <v>40</v>
      </c>
      <c r="J45" s="44"/>
      <c r="K45" s="44"/>
      <c r="L45" s="44"/>
    </row>
    <row r="46" spans="1:12" ht="30">
      <c r="A46" s="2"/>
      <c r="B46" s="55"/>
      <c r="C46" s="3" t="s">
        <v>108</v>
      </c>
      <c r="D46" s="87" t="s">
        <v>109</v>
      </c>
      <c r="E46" s="65" t="s">
        <v>110</v>
      </c>
      <c r="F46" s="44" t="s">
        <v>111</v>
      </c>
      <c r="G46" s="39" t="s">
        <v>112</v>
      </c>
      <c r="H46" s="88">
        <v>7.5</v>
      </c>
      <c r="I46" s="54" t="s">
        <v>40</v>
      </c>
      <c r="J46" s="44"/>
      <c r="K46" s="44"/>
      <c r="L46" s="44"/>
    </row>
    <row r="47" spans="1:12" ht="21">
      <c r="A47" s="2"/>
      <c r="B47" s="55"/>
      <c r="C47" s="3" t="s">
        <v>113</v>
      </c>
      <c r="D47" s="4" t="s">
        <v>114</v>
      </c>
      <c r="E47" s="65" t="s">
        <v>115</v>
      </c>
      <c r="F47" s="44" t="s">
        <v>31</v>
      </c>
      <c r="G47" s="39">
        <v>108</v>
      </c>
      <c r="H47" s="88">
        <f t="shared" ref="H47:H48" si="4">G47/12</f>
        <v>9</v>
      </c>
      <c r="I47" s="54" t="s">
        <v>116</v>
      </c>
      <c r="J47" s="44"/>
      <c r="K47" s="44"/>
      <c r="L47" s="44"/>
    </row>
    <row r="48" spans="1:12" ht="21">
      <c r="A48" s="2"/>
      <c r="B48" s="55"/>
      <c r="C48" s="3" t="s">
        <v>117</v>
      </c>
      <c r="D48" s="4" t="s">
        <v>114</v>
      </c>
      <c r="E48" s="65" t="s">
        <v>118</v>
      </c>
      <c r="F48" s="44" t="s">
        <v>31</v>
      </c>
      <c r="G48" s="89">
        <v>116</v>
      </c>
      <c r="H48" s="39">
        <f t="shared" si="4"/>
        <v>9.6666666666666661</v>
      </c>
      <c r="I48" s="54" t="s">
        <v>119</v>
      </c>
      <c r="J48" s="44"/>
      <c r="K48" s="44"/>
      <c r="L48" s="44"/>
    </row>
    <row r="49" spans="1:12" ht="21">
      <c r="A49" s="2"/>
      <c r="B49" s="55"/>
      <c r="C49" s="3" t="s">
        <v>120</v>
      </c>
      <c r="D49" s="4" t="s">
        <v>20</v>
      </c>
      <c r="E49" s="65" t="s">
        <v>121</v>
      </c>
      <c r="F49" s="44" t="s">
        <v>34</v>
      </c>
      <c r="G49" s="39" t="s">
        <v>122</v>
      </c>
      <c r="H49" s="88">
        <v>9</v>
      </c>
      <c r="I49" s="54" t="s">
        <v>40</v>
      </c>
      <c r="J49" s="44"/>
      <c r="K49" s="44"/>
      <c r="L49" s="44"/>
    </row>
    <row r="50" spans="1:12" ht="21">
      <c r="A50" s="2"/>
      <c r="B50" s="55"/>
      <c r="C50" s="3"/>
      <c r="D50" s="4"/>
      <c r="E50" s="65"/>
      <c r="F50" s="44"/>
      <c r="G50" s="39"/>
      <c r="H50" s="65"/>
      <c r="I50" s="54"/>
      <c r="J50" s="44"/>
      <c r="K50" s="44"/>
      <c r="L50" s="44"/>
    </row>
    <row r="51" spans="1:12" ht="21">
      <c r="A51" s="2"/>
      <c r="B51" s="90" t="s">
        <v>123</v>
      </c>
      <c r="C51" s="56"/>
      <c r="D51" s="36"/>
      <c r="E51" s="37"/>
      <c r="F51" s="58"/>
      <c r="G51" s="66"/>
      <c r="H51" s="67"/>
      <c r="I51" s="41"/>
      <c r="J51" s="44"/>
      <c r="K51" s="44"/>
      <c r="L51" s="44"/>
    </row>
    <row r="52" spans="1:12" ht="14">
      <c r="A52" s="2"/>
      <c r="B52" s="2"/>
      <c r="C52" s="3" t="s">
        <v>124</v>
      </c>
      <c r="D52" s="4" t="s">
        <v>125</v>
      </c>
      <c r="E52" s="8" t="s">
        <v>126</v>
      </c>
      <c r="F52" s="44" t="s">
        <v>25</v>
      </c>
      <c r="G52" s="91">
        <v>87</v>
      </c>
      <c r="H52" s="39">
        <f t="shared" ref="H52:H55" si="5">G52/12</f>
        <v>7.25</v>
      </c>
      <c r="I52" s="54"/>
      <c r="J52" s="44"/>
      <c r="K52" s="44"/>
      <c r="L52" s="44"/>
    </row>
    <row r="53" spans="1:12" ht="21">
      <c r="A53" s="2"/>
      <c r="B53" s="55"/>
      <c r="C53" s="3" t="s">
        <v>127</v>
      </c>
      <c r="D53" s="4" t="s">
        <v>125</v>
      </c>
      <c r="E53" s="8" t="s">
        <v>128</v>
      </c>
      <c r="F53" s="44" t="s">
        <v>25</v>
      </c>
      <c r="G53" s="89">
        <v>96</v>
      </c>
      <c r="H53" s="39">
        <f t="shared" si="5"/>
        <v>8</v>
      </c>
      <c r="I53" s="54" t="s">
        <v>129</v>
      </c>
      <c r="J53" s="44"/>
      <c r="K53" s="44"/>
      <c r="L53" s="44"/>
    </row>
    <row r="54" spans="1:12" ht="21">
      <c r="A54" s="2"/>
      <c r="B54" s="55"/>
      <c r="C54" s="3" t="s">
        <v>130</v>
      </c>
      <c r="D54" s="4" t="s">
        <v>16</v>
      </c>
      <c r="E54" s="8" t="s">
        <v>131</v>
      </c>
      <c r="F54" s="44" t="s">
        <v>25</v>
      </c>
      <c r="G54" s="91">
        <v>96</v>
      </c>
      <c r="H54" s="39">
        <f t="shared" si="5"/>
        <v>8</v>
      </c>
      <c r="I54" s="54"/>
      <c r="J54" s="44"/>
      <c r="K54" s="44"/>
      <c r="L54" s="44"/>
    </row>
    <row r="55" spans="1:12" ht="21">
      <c r="A55" s="2"/>
      <c r="B55" s="55"/>
      <c r="C55" s="3" t="s">
        <v>132</v>
      </c>
      <c r="D55" s="4" t="s">
        <v>86</v>
      </c>
      <c r="E55" s="8" t="s">
        <v>133</v>
      </c>
      <c r="F55" s="44" t="s">
        <v>134</v>
      </c>
      <c r="G55" s="91">
        <v>96</v>
      </c>
      <c r="H55" s="39">
        <f t="shared" si="5"/>
        <v>8</v>
      </c>
      <c r="I55" s="54"/>
      <c r="J55" s="44"/>
      <c r="K55" s="44"/>
      <c r="L55" s="44"/>
    </row>
    <row r="56" spans="1:12" ht="21">
      <c r="A56" s="2"/>
      <c r="B56" s="55"/>
      <c r="C56" s="3" t="s">
        <v>135</v>
      </c>
      <c r="D56" s="4" t="s">
        <v>136</v>
      </c>
      <c r="E56" s="8" t="s">
        <v>137</v>
      </c>
      <c r="F56" s="44" t="s">
        <v>100</v>
      </c>
      <c r="G56" s="39" t="s">
        <v>138</v>
      </c>
      <c r="H56" s="39">
        <f>60/12</f>
        <v>5</v>
      </c>
      <c r="I56" s="54" t="s">
        <v>40</v>
      </c>
      <c r="J56" s="44"/>
      <c r="K56" s="44"/>
      <c r="L56" s="44"/>
    </row>
    <row r="57" spans="1:12" ht="21">
      <c r="A57" s="2"/>
      <c r="B57" s="55"/>
      <c r="C57" s="3" t="s">
        <v>139</v>
      </c>
      <c r="D57" s="4" t="s">
        <v>136</v>
      </c>
      <c r="E57" s="8" t="s">
        <v>140</v>
      </c>
      <c r="F57" s="44" t="s">
        <v>100</v>
      </c>
      <c r="G57" s="39">
        <v>90</v>
      </c>
      <c r="H57" s="39">
        <f t="shared" ref="H57:H62" si="6">G57/12</f>
        <v>7.5</v>
      </c>
      <c r="I57" s="92" t="s">
        <v>141</v>
      </c>
      <c r="J57" s="44"/>
      <c r="K57" s="44"/>
      <c r="L57" s="44"/>
    </row>
    <row r="58" spans="1:12" ht="21">
      <c r="A58" s="2"/>
      <c r="B58" s="55"/>
      <c r="C58" s="3" t="s">
        <v>142</v>
      </c>
      <c r="D58" s="4" t="s">
        <v>143</v>
      </c>
      <c r="E58" s="8" t="s">
        <v>144</v>
      </c>
      <c r="F58" s="44" t="s">
        <v>31</v>
      </c>
      <c r="G58" s="91">
        <v>106</v>
      </c>
      <c r="H58" s="39">
        <f t="shared" si="6"/>
        <v>8.8333333333333339</v>
      </c>
      <c r="I58" s="54"/>
      <c r="J58" s="44"/>
      <c r="K58" s="44"/>
      <c r="L58" s="44"/>
    </row>
    <row r="59" spans="1:12" ht="21">
      <c r="A59" s="2"/>
      <c r="B59" s="55"/>
      <c r="C59" s="3" t="s">
        <v>145</v>
      </c>
      <c r="D59" s="4" t="s">
        <v>146</v>
      </c>
      <c r="E59" s="8" t="s">
        <v>147</v>
      </c>
      <c r="F59" s="44" t="s">
        <v>34</v>
      </c>
      <c r="G59" s="91">
        <v>87</v>
      </c>
      <c r="H59" s="39">
        <f t="shared" si="6"/>
        <v>7.25</v>
      </c>
      <c r="I59" s="54" t="s">
        <v>116</v>
      </c>
      <c r="J59" s="44"/>
      <c r="K59" s="44"/>
      <c r="L59" s="44"/>
    </row>
    <row r="60" spans="1:12" ht="21">
      <c r="A60" s="2"/>
      <c r="B60" s="55"/>
      <c r="C60" s="3" t="s">
        <v>148</v>
      </c>
      <c r="D60" s="4" t="s">
        <v>146</v>
      </c>
      <c r="E60" s="8" t="s">
        <v>149</v>
      </c>
      <c r="F60" s="44" t="s">
        <v>34</v>
      </c>
      <c r="G60" s="91">
        <v>87</v>
      </c>
      <c r="H60" s="39">
        <f t="shared" si="6"/>
        <v>7.25</v>
      </c>
      <c r="I60" s="54"/>
      <c r="J60" s="44"/>
      <c r="K60" s="44"/>
      <c r="L60" s="44"/>
    </row>
    <row r="61" spans="1:12" ht="21">
      <c r="A61" s="2"/>
      <c r="B61" s="55"/>
      <c r="C61" s="3" t="s">
        <v>150</v>
      </c>
      <c r="D61" s="4" t="s">
        <v>46</v>
      </c>
      <c r="E61" s="8" t="s">
        <v>151</v>
      </c>
      <c r="F61" s="44" t="s">
        <v>34</v>
      </c>
      <c r="G61" s="91">
        <v>96</v>
      </c>
      <c r="H61" s="39">
        <f t="shared" si="6"/>
        <v>8</v>
      </c>
      <c r="I61" s="54" t="s">
        <v>152</v>
      </c>
      <c r="J61" s="44"/>
      <c r="K61" s="44"/>
      <c r="L61" s="44"/>
    </row>
    <row r="62" spans="1:12" ht="30">
      <c r="A62" s="2"/>
      <c r="B62" s="55"/>
      <c r="C62" s="3" t="s">
        <v>153</v>
      </c>
      <c r="D62" s="87" t="s">
        <v>154</v>
      </c>
      <c r="E62" s="8" t="s">
        <v>155</v>
      </c>
      <c r="F62" s="44" t="s">
        <v>156</v>
      </c>
      <c r="G62" s="39">
        <v>128</v>
      </c>
      <c r="H62" s="39">
        <f t="shared" si="6"/>
        <v>10.666666666666666</v>
      </c>
      <c r="I62" s="54"/>
      <c r="J62" s="44"/>
      <c r="K62" s="44"/>
      <c r="L62" s="44"/>
    </row>
    <row r="63" spans="1:12" ht="21">
      <c r="A63" s="2"/>
      <c r="B63" s="55"/>
      <c r="C63" s="3"/>
      <c r="D63" s="4"/>
      <c r="E63" s="8"/>
      <c r="F63" s="44"/>
      <c r="G63" s="39"/>
      <c r="H63" s="65"/>
      <c r="I63" s="54"/>
      <c r="J63" s="44"/>
      <c r="K63" s="44"/>
      <c r="L63" s="44"/>
    </row>
    <row r="64" spans="1:12" ht="21">
      <c r="A64" s="2"/>
      <c r="B64" s="90" t="s">
        <v>157</v>
      </c>
      <c r="C64" s="56"/>
      <c r="D64" s="36"/>
      <c r="E64" s="37"/>
      <c r="F64" s="58"/>
      <c r="G64" s="66"/>
      <c r="H64" s="67"/>
      <c r="I64" s="41"/>
      <c r="J64" s="44"/>
      <c r="K64" s="44"/>
      <c r="L64" s="44"/>
    </row>
    <row r="65" spans="1:12" ht="21">
      <c r="A65" s="2"/>
      <c r="B65" s="55"/>
      <c r="C65" s="93" t="s">
        <v>158</v>
      </c>
      <c r="D65" s="4" t="s">
        <v>159</v>
      </c>
      <c r="E65" s="65" t="s">
        <v>160</v>
      </c>
      <c r="F65" s="44" t="s">
        <v>25</v>
      </c>
      <c r="G65" s="91">
        <v>126</v>
      </c>
      <c r="H65" s="39">
        <f t="shared" ref="H65:H69" si="7">G65/12</f>
        <v>10.5</v>
      </c>
      <c r="I65" s="54"/>
      <c r="J65" s="44"/>
      <c r="K65" s="44"/>
      <c r="L65" s="44"/>
    </row>
    <row r="66" spans="1:12" ht="21">
      <c r="A66" s="2"/>
      <c r="B66" s="55"/>
      <c r="C66" s="93" t="s">
        <v>161</v>
      </c>
      <c r="D66" s="4" t="s">
        <v>37</v>
      </c>
      <c r="E66" s="65" t="s">
        <v>162</v>
      </c>
      <c r="F66" s="44" t="s">
        <v>31</v>
      </c>
      <c r="G66" s="91">
        <v>110</v>
      </c>
      <c r="H66" s="39">
        <f t="shared" si="7"/>
        <v>9.1666666666666661</v>
      </c>
      <c r="I66" s="54"/>
      <c r="J66" s="44"/>
      <c r="K66" s="44"/>
      <c r="L66" s="44"/>
    </row>
    <row r="67" spans="1:12" ht="21">
      <c r="A67" s="2"/>
      <c r="B67" s="55"/>
      <c r="C67" s="93" t="s">
        <v>163</v>
      </c>
      <c r="D67" s="4" t="s">
        <v>46</v>
      </c>
      <c r="E67" s="65" t="s">
        <v>164</v>
      </c>
      <c r="F67" s="44" t="s">
        <v>34</v>
      </c>
      <c r="G67" s="91">
        <v>126</v>
      </c>
      <c r="H67" s="39">
        <f t="shared" si="7"/>
        <v>10.5</v>
      </c>
      <c r="I67" s="94"/>
      <c r="J67" s="44"/>
      <c r="K67" s="44"/>
      <c r="L67" s="44"/>
    </row>
    <row r="68" spans="1:12" ht="21">
      <c r="A68" s="2"/>
      <c r="B68" s="55"/>
      <c r="C68" s="93" t="s">
        <v>165</v>
      </c>
      <c r="D68" s="4" t="s">
        <v>46</v>
      </c>
      <c r="E68" s="65" t="s">
        <v>166</v>
      </c>
      <c r="F68" s="44" t="s">
        <v>34</v>
      </c>
      <c r="G68" s="89">
        <v>132</v>
      </c>
      <c r="H68" s="39">
        <f t="shared" si="7"/>
        <v>11</v>
      </c>
      <c r="I68" s="54"/>
      <c r="J68" s="44"/>
      <c r="K68" s="44"/>
      <c r="L68" s="44"/>
    </row>
    <row r="69" spans="1:12" ht="21">
      <c r="A69" s="2"/>
      <c r="B69" s="55"/>
      <c r="C69" s="93" t="s">
        <v>167</v>
      </c>
      <c r="D69" s="4" t="s">
        <v>168</v>
      </c>
      <c r="E69" s="65" t="s">
        <v>169</v>
      </c>
      <c r="F69" s="44" t="s">
        <v>34</v>
      </c>
      <c r="G69" s="91">
        <v>126</v>
      </c>
      <c r="H69" s="39">
        <f t="shared" si="7"/>
        <v>10.5</v>
      </c>
      <c r="I69" s="54"/>
      <c r="J69" s="44"/>
      <c r="K69" s="44"/>
      <c r="L69" s="44"/>
    </row>
    <row r="70" spans="1:12" ht="21">
      <c r="A70" s="2"/>
      <c r="B70" s="55"/>
      <c r="C70" s="3"/>
      <c r="D70" s="4"/>
      <c r="E70" s="8"/>
      <c r="F70" s="44"/>
      <c r="G70" s="39"/>
      <c r="H70" s="65"/>
      <c r="I70" s="54"/>
      <c r="J70" s="44"/>
      <c r="K70" s="44"/>
      <c r="L70" s="44"/>
    </row>
    <row r="71" spans="1:12" ht="14">
      <c r="A71" s="33"/>
      <c r="B71" s="33"/>
      <c r="C71" s="33"/>
      <c r="D71" s="4"/>
      <c r="E71" s="8"/>
      <c r="F71" s="42"/>
      <c r="G71" s="39"/>
      <c r="H71" s="65"/>
      <c r="I71" s="54"/>
      <c r="J71" s="42"/>
      <c r="K71" s="42"/>
      <c r="L71" s="42"/>
    </row>
    <row r="72" spans="1:12" ht="20">
      <c r="A72" s="24"/>
      <c r="B72" s="24" t="s">
        <v>170</v>
      </c>
      <c r="C72" s="25"/>
      <c r="D72" s="26"/>
      <c r="E72" s="27"/>
      <c r="F72" s="28"/>
      <c r="G72" s="29"/>
      <c r="H72" s="30"/>
      <c r="I72" s="31"/>
      <c r="J72" s="32"/>
      <c r="K72" s="32"/>
      <c r="L72" s="32"/>
    </row>
    <row r="73" spans="1:12" ht="21">
      <c r="A73" s="2"/>
      <c r="B73" s="55" t="s">
        <v>171</v>
      </c>
      <c r="C73" s="3"/>
      <c r="D73" s="4"/>
      <c r="E73" s="8"/>
      <c r="F73" s="44"/>
      <c r="G73" s="39"/>
      <c r="H73" s="65"/>
      <c r="I73" s="54"/>
      <c r="J73" s="53"/>
      <c r="K73" s="53"/>
      <c r="L73" s="53"/>
    </row>
    <row r="74" spans="1:12" ht="15">
      <c r="A74" s="2"/>
      <c r="B74" s="95"/>
      <c r="C74" s="96" t="s">
        <v>172</v>
      </c>
      <c r="D74" s="84" t="s">
        <v>173</v>
      </c>
      <c r="E74" s="97" t="s">
        <v>174</v>
      </c>
      <c r="F74" s="98" t="s">
        <v>25</v>
      </c>
      <c r="G74" s="99">
        <v>132</v>
      </c>
      <c r="H74" s="39">
        <f t="shared" ref="H74:H79" si="8">G74/12</f>
        <v>11</v>
      </c>
      <c r="I74" s="74"/>
      <c r="J74" s="100"/>
      <c r="K74" s="100"/>
      <c r="L74" s="100"/>
    </row>
    <row r="75" spans="1:12" ht="14">
      <c r="A75" s="2"/>
      <c r="B75" s="2"/>
      <c r="C75" s="93" t="s">
        <v>175</v>
      </c>
      <c r="D75" s="101" t="s">
        <v>176</v>
      </c>
      <c r="E75" s="8" t="s">
        <v>177</v>
      </c>
      <c r="F75" s="102" t="s">
        <v>25</v>
      </c>
      <c r="G75" s="91">
        <v>132</v>
      </c>
      <c r="H75" s="39">
        <f t="shared" si="8"/>
        <v>11</v>
      </c>
      <c r="I75" s="54"/>
      <c r="J75" s="44"/>
      <c r="K75" s="44"/>
      <c r="L75" s="44"/>
    </row>
    <row r="76" spans="1:12" ht="21">
      <c r="A76" s="2"/>
      <c r="B76" s="55"/>
      <c r="C76" s="93" t="s">
        <v>178</v>
      </c>
      <c r="D76" s="4" t="s">
        <v>173</v>
      </c>
      <c r="E76" s="8" t="s">
        <v>179</v>
      </c>
      <c r="F76" s="44" t="s">
        <v>31</v>
      </c>
      <c r="G76" s="39">
        <v>168</v>
      </c>
      <c r="H76" s="39">
        <f t="shared" si="8"/>
        <v>14</v>
      </c>
      <c r="I76" s="54"/>
      <c r="J76" s="53"/>
      <c r="K76" s="53"/>
      <c r="L76" s="53"/>
    </row>
    <row r="77" spans="1:12" ht="21">
      <c r="A77" s="2"/>
      <c r="B77" s="55"/>
      <c r="C77" s="93" t="s">
        <v>180</v>
      </c>
      <c r="D77" s="4" t="s">
        <v>176</v>
      </c>
      <c r="E77" s="8" t="s">
        <v>181</v>
      </c>
      <c r="F77" s="44" t="s">
        <v>31</v>
      </c>
      <c r="G77" s="39">
        <v>168</v>
      </c>
      <c r="H77" s="39">
        <f t="shared" si="8"/>
        <v>14</v>
      </c>
      <c r="I77" s="54"/>
      <c r="J77" s="53"/>
      <c r="K77" s="53"/>
      <c r="L77" s="53"/>
    </row>
    <row r="78" spans="1:12" ht="30">
      <c r="A78" s="2"/>
      <c r="B78" s="55"/>
      <c r="C78" s="93" t="s">
        <v>182</v>
      </c>
      <c r="D78" s="87" t="s">
        <v>183</v>
      </c>
      <c r="E78" s="8" t="s">
        <v>184</v>
      </c>
      <c r="F78" s="103" t="s">
        <v>185</v>
      </c>
      <c r="G78" s="91">
        <v>132</v>
      </c>
      <c r="H78" s="39">
        <f t="shared" si="8"/>
        <v>11</v>
      </c>
      <c r="I78" s="104" t="s">
        <v>186</v>
      </c>
      <c r="J78" s="53"/>
      <c r="K78" s="53"/>
      <c r="L78" s="53"/>
    </row>
    <row r="79" spans="1:12" ht="21">
      <c r="A79" s="2"/>
      <c r="B79" s="55"/>
      <c r="C79" s="93" t="s">
        <v>187</v>
      </c>
      <c r="D79" s="4" t="s">
        <v>188</v>
      </c>
      <c r="E79" s="8" t="s">
        <v>189</v>
      </c>
      <c r="F79" s="44" t="s">
        <v>34</v>
      </c>
      <c r="G79" s="91">
        <v>132</v>
      </c>
      <c r="H79" s="39">
        <f t="shared" si="8"/>
        <v>11</v>
      </c>
      <c r="I79" s="104"/>
      <c r="J79" s="53"/>
      <c r="K79" s="53"/>
      <c r="L79" s="53"/>
    </row>
    <row r="80" spans="1:12" ht="21">
      <c r="A80" s="2"/>
      <c r="B80" s="55"/>
      <c r="C80" s="3"/>
      <c r="D80" s="4"/>
      <c r="E80" s="8"/>
      <c r="F80" s="44"/>
      <c r="G80" s="39"/>
      <c r="H80" s="65"/>
      <c r="I80" s="54"/>
      <c r="J80" s="53"/>
      <c r="K80" s="53"/>
      <c r="L80" s="53"/>
    </row>
    <row r="81" spans="1:12" ht="20">
      <c r="A81" s="24"/>
      <c r="B81" s="24" t="s">
        <v>190</v>
      </c>
      <c r="C81" s="25"/>
      <c r="D81" s="26"/>
      <c r="E81" s="27"/>
      <c r="F81" s="28"/>
      <c r="G81" s="29"/>
      <c r="H81" s="30"/>
      <c r="I81" s="31"/>
      <c r="J81" s="32"/>
      <c r="K81" s="32"/>
      <c r="L81" s="32"/>
    </row>
    <row r="82" spans="1:12" ht="21">
      <c r="A82" s="2"/>
      <c r="B82" s="55" t="s">
        <v>191</v>
      </c>
      <c r="C82" s="3"/>
      <c r="D82" s="4"/>
      <c r="E82" s="8"/>
      <c r="F82" s="44"/>
      <c r="G82" s="39"/>
      <c r="H82" s="65"/>
      <c r="I82" s="54"/>
      <c r="J82" s="53"/>
      <c r="K82" s="53"/>
      <c r="L82" s="53"/>
    </row>
    <row r="83" spans="1:12" ht="15">
      <c r="A83" s="2"/>
      <c r="B83" s="95"/>
      <c r="C83" s="43" t="s">
        <v>192</v>
      </c>
      <c r="D83" s="105" t="s">
        <v>193</v>
      </c>
      <c r="E83" s="84" t="s">
        <v>194</v>
      </c>
      <c r="F83" s="98" t="s">
        <v>72</v>
      </c>
      <c r="G83" s="73">
        <v>108</v>
      </c>
      <c r="H83" s="39">
        <f>G83/12</f>
        <v>9</v>
      </c>
      <c r="I83" s="74"/>
      <c r="J83" s="53"/>
      <c r="K83" s="53"/>
      <c r="L83" s="53"/>
    </row>
    <row r="84" spans="1:12" ht="15">
      <c r="A84" s="2"/>
      <c r="B84" s="2"/>
      <c r="C84" s="3" t="s">
        <v>195</v>
      </c>
      <c r="D84" s="87" t="s">
        <v>196</v>
      </c>
      <c r="E84" s="4" t="s">
        <v>197</v>
      </c>
      <c r="F84" s="50" t="s">
        <v>25</v>
      </c>
      <c r="G84" s="39" t="s">
        <v>198</v>
      </c>
      <c r="H84" s="39">
        <v>9</v>
      </c>
      <c r="I84" s="54" t="s">
        <v>199</v>
      </c>
      <c r="J84" s="53"/>
      <c r="K84" s="53"/>
      <c r="L84" s="53"/>
    </row>
    <row r="85" spans="1:12" ht="15">
      <c r="A85" s="2"/>
      <c r="B85" s="2"/>
      <c r="C85" s="3" t="s">
        <v>200</v>
      </c>
      <c r="D85" s="87" t="s">
        <v>196</v>
      </c>
      <c r="E85" s="4" t="s">
        <v>201</v>
      </c>
      <c r="F85" s="50" t="s">
        <v>25</v>
      </c>
      <c r="G85" s="91">
        <v>140</v>
      </c>
      <c r="H85" s="39">
        <f>G85/12</f>
        <v>11.666666666666666</v>
      </c>
      <c r="I85" s="54"/>
      <c r="J85" s="53"/>
      <c r="K85" s="53"/>
      <c r="L85" s="53"/>
    </row>
    <row r="86" spans="1:12" ht="15">
      <c r="A86" s="2"/>
      <c r="B86" s="2"/>
      <c r="C86" s="3" t="s">
        <v>202</v>
      </c>
      <c r="D86" s="87" t="s">
        <v>176</v>
      </c>
      <c r="E86" s="4" t="s">
        <v>203</v>
      </c>
      <c r="F86" s="50" t="s">
        <v>31</v>
      </c>
      <c r="G86" s="39" t="s">
        <v>204</v>
      </c>
      <c r="H86" s="39">
        <v>10</v>
      </c>
      <c r="I86" s="54" t="s">
        <v>141</v>
      </c>
      <c r="J86" s="53"/>
      <c r="K86" s="53"/>
      <c r="L86" s="53"/>
    </row>
    <row r="87" spans="1:12" ht="28">
      <c r="A87" s="2"/>
      <c r="B87" s="2"/>
      <c r="C87" s="3" t="s">
        <v>205</v>
      </c>
      <c r="D87" s="87" t="s">
        <v>206</v>
      </c>
      <c r="E87" s="4" t="s">
        <v>207</v>
      </c>
      <c r="F87" s="50" t="s">
        <v>31</v>
      </c>
      <c r="G87" s="39">
        <v>168</v>
      </c>
      <c r="H87" s="39">
        <f t="shared" ref="H87:H88" si="9">G87/12</f>
        <v>14</v>
      </c>
      <c r="I87" s="54"/>
      <c r="J87" s="53"/>
      <c r="K87" s="53"/>
      <c r="L87" s="53"/>
    </row>
    <row r="88" spans="1:12" ht="21">
      <c r="A88" s="2"/>
      <c r="B88" s="2"/>
      <c r="C88" s="3" t="s">
        <v>208</v>
      </c>
      <c r="D88" s="87" t="s">
        <v>209</v>
      </c>
      <c r="E88" s="4" t="s">
        <v>210</v>
      </c>
      <c r="F88" s="44" t="s">
        <v>34</v>
      </c>
      <c r="G88" s="39">
        <v>168</v>
      </c>
      <c r="H88" s="39">
        <f t="shared" si="9"/>
        <v>14</v>
      </c>
      <c r="I88" s="54"/>
      <c r="J88" s="106"/>
      <c r="K88" s="106"/>
      <c r="L88" s="106"/>
    </row>
    <row r="89" spans="1:12" ht="21">
      <c r="A89" s="33"/>
      <c r="B89" s="55"/>
      <c r="C89" s="33"/>
      <c r="D89" s="4"/>
      <c r="E89" s="4"/>
      <c r="F89" s="42"/>
      <c r="G89" s="39"/>
      <c r="H89" s="65"/>
      <c r="I89" s="54"/>
      <c r="J89" s="33"/>
      <c r="K89" s="33"/>
      <c r="L89" s="33"/>
    </row>
    <row r="90" spans="1:12" ht="21">
      <c r="A90" s="33"/>
      <c r="B90" s="90" t="s">
        <v>211</v>
      </c>
      <c r="C90" s="35"/>
      <c r="D90" s="36"/>
      <c r="E90" s="36"/>
      <c r="F90" s="38"/>
      <c r="G90" s="66"/>
      <c r="H90" s="67"/>
      <c r="I90" s="41"/>
      <c r="J90" s="33"/>
      <c r="K90" s="33"/>
      <c r="L90" s="33"/>
    </row>
    <row r="91" spans="1:12" ht="14">
      <c r="A91" s="33"/>
      <c r="B91" s="33"/>
      <c r="C91" s="3" t="s">
        <v>212</v>
      </c>
      <c r="D91" s="87" t="s">
        <v>86</v>
      </c>
      <c r="E91" s="4" t="s">
        <v>213</v>
      </c>
      <c r="F91" s="44" t="s">
        <v>31</v>
      </c>
      <c r="G91" s="39">
        <v>108</v>
      </c>
      <c r="H91" s="88">
        <v>9</v>
      </c>
      <c r="I91" s="54" t="s">
        <v>214</v>
      </c>
      <c r="J91" s="33"/>
      <c r="K91" s="33"/>
      <c r="L91" s="33"/>
    </row>
    <row r="92" spans="1:12" ht="21">
      <c r="A92" s="2"/>
      <c r="B92" s="55"/>
      <c r="C92" s="2"/>
      <c r="D92" s="4"/>
      <c r="E92" s="8"/>
      <c r="F92" s="45"/>
      <c r="G92" s="39"/>
      <c r="H92" s="65"/>
      <c r="I92" s="54"/>
      <c r="J92" s="53"/>
      <c r="K92" s="53"/>
      <c r="L92" s="53"/>
    </row>
    <row r="93" spans="1:12" ht="21">
      <c r="A93" s="2"/>
      <c r="B93" s="90" t="s">
        <v>215</v>
      </c>
      <c r="C93" s="56"/>
      <c r="D93" s="36"/>
      <c r="E93" s="37"/>
      <c r="F93" s="107"/>
      <c r="G93" s="66"/>
      <c r="H93" s="67"/>
      <c r="I93" s="41"/>
      <c r="J93" s="2"/>
      <c r="K93" s="2"/>
      <c r="L93" s="2"/>
    </row>
    <row r="94" spans="1:12" ht="21">
      <c r="A94" s="2"/>
      <c r="B94" s="55"/>
      <c r="C94" s="3" t="s">
        <v>216</v>
      </c>
      <c r="D94" s="87" t="s">
        <v>196</v>
      </c>
      <c r="E94" s="4" t="s">
        <v>217</v>
      </c>
      <c r="F94" s="50" t="s">
        <v>25</v>
      </c>
      <c r="G94" s="91">
        <v>108</v>
      </c>
      <c r="H94" s="39">
        <f t="shared" ref="H94:H98" si="10">G94/12</f>
        <v>9</v>
      </c>
      <c r="I94" s="54"/>
      <c r="J94" s="53"/>
      <c r="K94" s="53"/>
      <c r="L94" s="53"/>
    </row>
    <row r="95" spans="1:12" ht="21">
      <c r="A95" s="2"/>
      <c r="B95" s="55"/>
      <c r="C95" s="3" t="s">
        <v>218</v>
      </c>
      <c r="D95" s="87" t="s">
        <v>219</v>
      </c>
      <c r="E95" s="4" t="s">
        <v>220</v>
      </c>
      <c r="F95" s="44" t="s">
        <v>31</v>
      </c>
      <c r="G95" s="39"/>
      <c r="H95" s="39">
        <f t="shared" si="10"/>
        <v>0</v>
      </c>
      <c r="I95" s="54"/>
      <c r="J95" s="53"/>
      <c r="K95" s="53"/>
      <c r="L95" s="53"/>
    </row>
    <row r="96" spans="1:12" ht="21">
      <c r="A96" s="2"/>
      <c r="B96" s="55"/>
      <c r="C96" s="3" t="s">
        <v>221</v>
      </c>
      <c r="D96" s="87" t="s">
        <v>176</v>
      </c>
      <c r="E96" s="4" t="s">
        <v>222</v>
      </c>
      <c r="F96" s="50" t="s">
        <v>31</v>
      </c>
      <c r="G96" s="91">
        <v>114</v>
      </c>
      <c r="H96" s="39">
        <f t="shared" si="10"/>
        <v>9.5</v>
      </c>
      <c r="I96" s="54"/>
      <c r="J96" s="53"/>
      <c r="K96" s="53"/>
      <c r="L96" s="53"/>
    </row>
    <row r="97" spans="1:12" ht="21">
      <c r="A97" s="2"/>
      <c r="B97" s="55"/>
      <c r="C97" s="3" t="s">
        <v>223</v>
      </c>
      <c r="D97" s="87" t="s">
        <v>224</v>
      </c>
      <c r="E97" s="4" t="s">
        <v>225</v>
      </c>
      <c r="F97" s="44" t="s">
        <v>100</v>
      </c>
      <c r="G97" s="39"/>
      <c r="H97" s="39">
        <f t="shared" si="10"/>
        <v>0</v>
      </c>
      <c r="I97" s="54" t="s">
        <v>226</v>
      </c>
      <c r="J97" s="53"/>
      <c r="K97" s="53"/>
      <c r="L97" s="53"/>
    </row>
    <row r="98" spans="1:12" ht="21">
      <c r="A98" s="2"/>
      <c r="B98" s="55"/>
      <c r="C98" s="3" t="s">
        <v>227</v>
      </c>
      <c r="D98" s="87" t="s">
        <v>224</v>
      </c>
      <c r="E98" s="4" t="s">
        <v>228</v>
      </c>
      <c r="F98" s="44" t="s">
        <v>34</v>
      </c>
      <c r="G98" s="91">
        <v>114</v>
      </c>
      <c r="H98" s="39">
        <f t="shared" si="10"/>
        <v>9.5</v>
      </c>
      <c r="I98" s="54"/>
      <c r="J98" s="53"/>
      <c r="K98" s="53"/>
      <c r="L98" s="53"/>
    </row>
    <row r="99" spans="1:12" ht="21">
      <c r="A99" s="2"/>
      <c r="B99" s="55"/>
      <c r="C99" s="3"/>
      <c r="D99" s="8"/>
      <c r="E99" s="8"/>
      <c r="F99" s="44"/>
      <c r="G99" s="39"/>
      <c r="H99" s="65"/>
      <c r="I99" s="54"/>
      <c r="J99" s="53"/>
      <c r="K99" s="53"/>
      <c r="L99" s="53"/>
    </row>
    <row r="100" spans="1:12" ht="20">
      <c r="A100" s="24"/>
      <c r="B100" s="24" t="s">
        <v>229</v>
      </c>
      <c r="C100" s="25"/>
      <c r="D100" s="26"/>
      <c r="E100" s="27"/>
      <c r="F100" s="28"/>
      <c r="G100" s="29"/>
      <c r="H100" s="30"/>
      <c r="I100" s="31"/>
      <c r="J100" s="54"/>
      <c r="K100" s="32"/>
      <c r="L100" s="32"/>
    </row>
    <row r="101" spans="1:12" ht="21">
      <c r="A101" s="2"/>
      <c r="B101" s="90" t="s">
        <v>230</v>
      </c>
      <c r="C101" s="56"/>
      <c r="D101" s="36"/>
      <c r="E101" s="37"/>
      <c r="F101" s="107"/>
      <c r="G101" s="66"/>
      <c r="H101" s="67"/>
      <c r="I101" s="41"/>
      <c r="J101" s="53"/>
      <c r="K101" s="53"/>
      <c r="L101" s="53"/>
    </row>
    <row r="102" spans="1:12" ht="14">
      <c r="A102" s="2"/>
      <c r="B102" s="2"/>
      <c r="C102" s="3" t="s">
        <v>231</v>
      </c>
      <c r="D102" s="87" t="s">
        <v>232</v>
      </c>
      <c r="E102" s="4" t="s">
        <v>233</v>
      </c>
      <c r="F102" s="44" t="s">
        <v>72</v>
      </c>
      <c r="G102" s="91">
        <v>132</v>
      </c>
      <c r="H102" s="39">
        <f t="shared" ref="H102:H112" si="11">G102/12</f>
        <v>11</v>
      </c>
      <c r="I102" s="54"/>
      <c r="J102" s="53"/>
      <c r="K102" s="53"/>
      <c r="L102" s="53"/>
    </row>
    <row r="103" spans="1:12" ht="14">
      <c r="A103" s="2"/>
      <c r="B103" s="2"/>
      <c r="C103" s="3" t="s">
        <v>234</v>
      </c>
      <c r="D103" s="87" t="s">
        <v>235</v>
      </c>
      <c r="E103" s="4" t="s">
        <v>236</v>
      </c>
      <c r="F103" s="44" t="s">
        <v>72</v>
      </c>
      <c r="G103" s="91">
        <v>141</v>
      </c>
      <c r="H103" s="39">
        <f t="shared" si="11"/>
        <v>11.75</v>
      </c>
      <c r="I103" s="108" t="s">
        <v>237</v>
      </c>
      <c r="J103" s="53"/>
      <c r="K103" s="53"/>
      <c r="L103" s="53"/>
    </row>
    <row r="104" spans="1:12" ht="14">
      <c r="A104" s="2"/>
      <c r="B104" s="2"/>
      <c r="C104" s="3" t="s">
        <v>238</v>
      </c>
      <c r="D104" s="87" t="s">
        <v>235</v>
      </c>
      <c r="E104" s="4" t="s">
        <v>239</v>
      </c>
      <c r="F104" s="44" t="s">
        <v>72</v>
      </c>
      <c r="G104" s="91">
        <v>141</v>
      </c>
      <c r="H104" s="39">
        <f t="shared" si="11"/>
        <v>11.75</v>
      </c>
      <c r="I104" s="108" t="s">
        <v>237</v>
      </c>
      <c r="J104" s="53"/>
      <c r="K104" s="53"/>
      <c r="L104" s="53"/>
    </row>
    <row r="105" spans="1:12" ht="14">
      <c r="A105" s="2"/>
      <c r="B105" s="2"/>
      <c r="C105" s="3" t="s">
        <v>240</v>
      </c>
      <c r="D105" s="87" t="s">
        <v>232</v>
      </c>
      <c r="E105" s="4" t="s">
        <v>241</v>
      </c>
      <c r="F105" s="44" t="s">
        <v>25</v>
      </c>
      <c r="G105" s="91">
        <v>123</v>
      </c>
      <c r="H105" s="39">
        <f t="shared" si="11"/>
        <v>10.25</v>
      </c>
      <c r="I105" s="104" t="s">
        <v>237</v>
      </c>
      <c r="J105" s="53"/>
      <c r="K105" s="53"/>
      <c r="L105" s="53"/>
    </row>
    <row r="106" spans="1:12" ht="14">
      <c r="A106" s="2"/>
      <c r="B106" s="2"/>
      <c r="C106" s="3" t="s">
        <v>242</v>
      </c>
      <c r="D106" s="87" t="s">
        <v>232</v>
      </c>
      <c r="E106" s="4" t="s">
        <v>243</v>
      </c>
      <c r="F106" s="44" t="s">
        <v>25</v>
      </c>
      <c r="G106" s="91">
        <v>114</v>
      </c>
      <c r="H106" s="39">
        <f t="shared" si="11"/>
        <v>9.5</v>
      </c>
      <c r="I106" s="104"/>
      <c r="J106" s="53"/>
      <c r="K106" s="53"/>
      <c r="L106" s="53"/>
    </row>
    <row r="107" spans="1:12" ht="14">
      <c r="A107" s="2"/>
      <c r="B107" s="2"/>
      <c r="C107" s="3" t="s">
        <v>244</v>
      </c>
      <c r="D107" s="87" t="s">
        <v>232</v>
      </c>
      <c r="E107" s="4" t="s">
        <v>245</v>
      </c>
      <c r="F107" s="44" t="s">
        <v>31</v>
      </c>
      <c r="G107" s="91">
        <v>150</v>
      </c>
      <c r="H107" s="39">
        <f t="shared" si="11"/>
        <v>12.5</v>
      </c>
      <c r="I107" s="54"/>
      <c r="J107" s="44"/>
      <c r="K107" s="44"/>
      <c r="L107" s="44"/>
    </row>
    <row r="108" spans="1:12" ht="14">
      <c r="A108" s="2"/>
      <c r="B108" s="2"/>
      <c r="C108" s="3" t="s">
        <v>246</v>
      </c>
      <c r="D108" s="87" t="s">
        <v>86</v>
      </c>
      <c r="E108" s="4" t="s">
        <v>247</v>
      </c>
      <c r="F108" s="44" t="s">
        <v>31</v>
      </c>
      <c r="G108" s="39">
        <v>192</v>
      </c>
      <c r="H108" s="39">
        <f t="shared" si="11"/>
        <v>16</v>
      </c>
      <c r="I108" s="54"/>
      <c r="J108" s="44"/>
      <c r="K108" s="44"/>
      <c r="L108" s="44"/>
    </row>
    <row r="109" spans="1:12" ht="21">
      <c r="A109" s="2"/>
      <c r="B109" s="2"/>
      <c r="C109" s="3" t="s">
        <v>248</v>
      </c>
      <c r="D109" s="87" t="s">
        <v>235</v>
      </c>
      <c r="E109" s="4" t="s">
        <v>249</v>
      </c>
      <c r="F109" s="44" t="s">
        <v>34</v>
      </c>
      <c r="G109" s="91">
        <v>114</v>
      </c>
      <c r="H109" s="39">
        <f t="shared" si="11"/>
        <v>9.5</v>
      </c>
      <c r="I109" s="54"/>
      <c r="J109" s="106"/>
      <c r="K109" s="106"/>
      <c r="L109" s="106"/>
    </row>
    <row r="110" spans="1:12" ht="21">
      <c r="A110" s="2"/>
      <c r="B110" s="2"/>
      <c r="C110" s="3" t="s">
        <v>250</v>
      </c>
      <c r="D110" s="87" t="s">
        <v>235</v>
      </c>
      <c r="E110" s="4" t="s">
        <v>251</v>
      </c>
      <c r="F110" s="44" t="s">
        <v>34</v>
      </c>
      <c r="G110" s="39">
        <v>150</v>
      </c>
      <c r="H110" s="39">
        <f t="shared" si="11"/>
        <v>12.5</v>
      </c>
      <c r="I110" s="54"/>
      <c r="J110" s="106"/>
      <c r="K110" s="106"/>
      <c r="L110" s="106"/>
    </row>
    <row r="111" spans="1:12" ht="21">
      <c r="A111" s="2"/>
      <c r="B111" s="2"/>
      <c r="C111" s="3" t="s">
        <v>252</v>
      </c>
      <c r="D111" s="87" t="s">
        <v>253</v>
      </c>
      <c r="E111" s="4" t="s">
        <v>254</v>
      </c>
      <c r="F111" s="44" t="s">
        <v>34</v>
      </c>
      <c r="G111" s="39">
        <v>240</v>
      </c>
      <c r="H111" s="39">
        <f t="shared" si="11"/>
        <v>20</v>
      </c>
      <c r="I111" s="54"/>
      <c r="J111" s="106"/>
      <c r="K111" s="106"/>
      <c r="L111" s="106"/>
    </row>
    <row r="112" spans="1:12" ht="21">
      <c r="A112" s="2"/>
      <c r="B112" s="2"/>
      <c r="C112" s="3" t="s">
        <v>255</v>
      </c>
      <c r="D112" s="87" t="s">
        <v>77</v>
      </c>
      <c r="E112" s="4" t="s">
        <v>256</v>
      </c>
      <c r="F112" s="44" t="s">
        <v>257</v>
      </c>
      <c r="G112" s="91">
        <v>126</v>
      </c>
      <c r="H112" s="39">
        <f t="shared" si="11"/>
        <v>10.5</v>
      </c>
      <c r="I112" s="54" t="s">
        <v>258</v>
      </c>
      <c r="J112" s="106"/>
      <c r="K112" s="106"/>
      <c r="L112" s="106"/>
    </row>
    <row r="113" spans="1:12" ht="21">
      <c r="A113" s="2"/>
      <c r="B113" s="2"/>
      <c r="C113" s="3"/>
      <c r="D113" s="4"/>
      <c r="E113" s="109"/>
      <c r="F113" s="44"/>
      <c r="G113" s="39"/>
      <c r="H113" s="65"/>
      <c r="I113" s="54"/>
      <c r="J113" s="106"/>
      <c r="K113" s="106"/>
      <c r="L113" s="106"/>
    </row>
    <row r="114" spans="1:12" ht="20">
      <c r="A114" s="24"/>
      <c r="B114" s="24" t="s">
        <v>259</v>
      </c>
      <c r="C114" s="25"/>
      <c r="D114" s="26"/>
      <c r="E114" s="27"/>
      <c r="F114" s="28"/>
      <c r="G114" s="29"/>
      <c r="H114" s="30"/>
      <c r="I114" s="31"/>
      <c r="J114" s="54"/>
      <c r="K114" s="32"/>
      <c r="L114" s="32"/>
    </row>
    <row r="115" spans="1:12" ht="21">
      <c r="A115" s="2"/>
      <c r="B115" s="55" t="s">
        <v>260</v>
      </c>
      <c r="C115" s="3"/>
      <c r="D115" s="4"/>
      <c r="E115" s="8"/>
      <c r="F115" s="44"/>
      <c r="G115" s="39"/>
      <c r="H115" s="65"/>
      <c r="I115" s="54"/>
      <c r="J115" s="53"/>
      <c r="K115" s="53"/>
      <c r="L115" s="53"/>
    </row>
    <row r="116" spans="1:12" ht="28">
      <c r="A116" s="2"/>
      <c r="B116" s="95"/>
      <c r="C116" s="43" t="s">
        <v>261</v>
      </c>
      <c r="D116" s="105" t="s">
        <v>262</v>
      </c>
      <c r="E116" s="84" t="s">
        <v>263</v>
      </c>
      <c r="F116" s="72" t="s">
        <v>18</v>
      </c>
      <c r="G116" s="73" t="s">
        <v>264</v>
      </c>
      <c r="H116" s="86">
        <v>9</v>
      </c>
      <c r="I116" s="74" t="s">
        <v>199</v>
      </c>
      <c r="J116" s="53"/>
      <c r="K116" s="53"/>
      <c r="L116" s="53"/>
    </row>
    <row r="117" spans="1:12" ht="30">
      <c r="A117" s="2"/>
      <c r="B117" s="2"/>
      <c r="C117" s="3" t="s">
        <v>265</v>
      </c>
      <c r="D117" s="87" t="s">
        <v>262</v>
      </c>
      <c r="E117" s="4" t="s">
        <v>266</v>
      </c>
      <c r="F117" s="44" t="s">
        <v>267</v>
      </c>
      <c r="G117" s="91">
        <v>84</v>
      </c>
      <c r="H117" s="88">
        <v>6.17</v>
      </c>
      <c r="I117" s="54" t="s">
        <v>268</v>
      </c>
      <c r="J117" s="106"/>
      <c r="K117" s="106"/>
      <c r="L117" s="106"/>
    </row>
    <row r="118" spans="1:12" ht="21">
      <c r="A118" s="2"/>
      <c r="B118" s="2"/>
      <c r="C118" s="3"/>
      <c r="D118" s="87"/>
      <c r="E118" s="4"/>
      <c r="F118" s="44"/>
      <c r="G118" s="39"/>
      <c r="H118" s="88"/>
      <c r="I118" s="54"/>
      <c r="J118" s="106"/>
      <c r="K118" s="106"/>
      <c r="L118" s="106"/>
    </row>
    <row r="119" spans="1:12" ht="14">
      <c r="A119" s="110"/>
      <c r="B119" s="110"/>
      <c r="C119" s="110"/>
      <c r="D119" s="4"/>
      <c r="E119" s="111"/>
      <c r="F119" s="112"/>
      <c r="G119" s="39"/>
      <c r="H119" s="65"/>
      <c r="I119" s="54"/>
      <c r="J119" s="113"/>
      <c r="K119" s="113"/>
      <c r="L119" s="113"/>
    </row>
    <row r="120" spans="1:12" ht="23">
      <c r="A120" s="114" t="s">
        <v>269</v>
      </c>
      <c r="B120" s="115"/>
      <c r="C120" s="116"/>
      <c r="D120" s="117"/>
      <c r="E120" s="118"/>
      <c r="F120" s="119"/>
      <c r="G120" s="120"/>
      <c r="H120" s="121"/>
      <c r="I120" s="122"/>
      <c r="J120" s="44"/>
      <c r="K120" s="44"/>
      <c r="L120" s="44"/>
    </row>
    <row r="121" spans="1:12" ht="20">
      <c r="A121" s="24"/>
      <c r="B121" s="24" t="s">
        <v>270</v>
      </c>
      <c r="C121" s="25"/>
      <c r="D121" s="26"/>
      <c r="E121" s="27"/>
      <c r="F121" s="28"/>
      <c r="G121" s="29"/>
      <c r="H121" s="30"/>
      <c r="I121" s="31"/>
      <c r="J121" s="44"/>
      <c r="K121" s="44"/>
      <c r="L121" s="44"/>
    </row>
    <row r="122" spans="1:12" ht="21">
      <c r="A122" s="2"/>
      <c r="B122" s="90" t="s">
        <v>271</v>
      </c>
      <c r="C122" s="56"/>
      <c r="D122" s="36"/>
      <c r="E122" s="36"/>
      <c r="F122" s="58"/>
      <c r="G122" s="66"/>
      <c r="H122" s="67"/>
      <c r="I122" s="41"/>
      <c r="J122" s="44"/>
      <c r="K122" s="44"/>
      <c r="L122" s="44"/>
    </row>
    <row r="123" spans="1:12" ht="14">
      <c r="A123" s="2"/>
      <c r="B123" s="3"/>
      <c r="C123" s="3" t="s">
        <v>272</v>
      </c>
      <c r="D123" s="44" t="s">
        <v>273</v>
      </c>
      <c r="E123" s="123" t="s">
        <v>274</v>
      </c>
      <c r="F123" s="44" t="s">
        <v>25</v>
      </c>
      <c r="G123" s="91">
        <v>117</v>
      </c>
      <c r="H123" s="39">
        <f t="shared" ref="H123:H131" si="12">G123/12</f>
        <v>9.75</v>
      </c>
      <c r="I123" s="124"/>
      <c r="J123" s="100"/>
      <c r="K123" s="100"/>
      <c r="L123" s="100"/>
    </row>
    <row r="124" spans="1:12" ht="14">
      <c r="A124" s="2"/>
      <c r="B124" s="3"/>
      <c r="C124" s="3" t="s">
        <v>275</v>
      </c>
      <c r="D124" s="44" t="s">
        <v>276</v>
      </c>
      <c r="E124" s="123" t="s">
        <v>277</v>
      </c>
      <c r="F124" s="44" t="s">
        <v>31</v>
      </c>
      <c r="G124" s="91">
        <v>117</v>
      </c>
      <c r="H124" s="39">
        <f t="shared" si="12"/>
        <v>9.75</v>
      </c>
      <c r="I124" s="125" t="s">
        <v>278</v>
      </c>
      <c r="J124" s="100"/>
      <c r="K124" s="100"/>
      <c r="L124" s="100"/>
    </row>
    <row r="125" spans="1:12" ht="14">
      <c r="A125" s="2"/>
      <c r="B125" s="3"/>
      <c r="C125" s="3" t="s">
        <v>279</v>
      </c>
      <c r="D125" s="44" t="s">
        <v>280</v>
      </c>
      <c r="E125" s="123" t="s">
        <v>281</v>
      </c>
      <c r="F125" s="44" t="s">
        <v>31</v>
      </c>
      <c r="G125" s="91">
        <v>168</v>
      </c>
      <c r="H125" s="39">
        <f t="shared" si="12"/>
        <v>14</v>
      </c>
      <c r="I125" s="125" t="s">
        <v>268</v>
      </c>
      <c r="J125" s="100"/>
      <c r="K125" s="100"/>
      <c r="L125" s="100"/>
    </row>
    <row r="126" spans="1:12" ht="14">
      <c r="A126" s="2"/>
      <c r="B126" s="3"/>
      <c r="C126" s="3" t="s">
        <v>282</v>
      </c>
      <c r="D126" s="44" t="s">
        <v>283</v>
      </c>
      <c r="E126" s="123" t="s">
        <v>284</v>
      </c>
      <c r="F126" s="44" t="s">
        <v>34</v>
      </c>
      <c r="G126" s="91">
        <v>117</v>
      </c>
      <c r="H126" s="39">
        <f t="shared" si="12"/>
        <v>9.75</v>
      </c>
      <c r="I126" s="125" t="s">
        <v>285</v>
      </c>
      <c r="J126" s="100"/>
      <c r="K126" s="100"/>
      <c r="L126" s="100"/>
    </row>
    <row r="127" spans="1:12" ht="14">
      <c r="A127" s="2"/>
      <c r="B127" s="3"/>
      <c r="C127" s="51" t="s">
        <v>286</v>
      </c>
      <c r="D127" s="44" t="s">
        <v>283</v>
      </c>
      <c r="E127" s="62" t="s">
        <v>287</v>
      </c>
      <c r="F127" s="45" t="s">
        <v>34</v>
      </c>
      <c r="G127" s="91">
        <v>150</v>
      </c>
      <c r="H127" s="39">
        <f t="shared" si="12"/>
        <v>12.5</v>
      </c>
      <c r="I127" s="126"/>
      <c r="J127" s="100"/>
      <c r="K127" s="100"/>
      <c r="L127" s="100"/>
    </row>
    <row r="128" spans="1:12" ht="14">
      <c r="A128" s="2"/>
      <c r="B128" s="3"/>
      <c r="C128" s="51" t="s">
        <v>288</v>
      </c>
      <c r="D128" s="44" t="s">
        <v>283</v>
      </c>
      <c r="E128" s="62" t="s">
        <v>289</v>
      </c>
      <c r="F128" s="45" t="s">
        <v>34</v>
      </c>
      <c r="G128" s="91">
        <v>156</v>
      </c>
      <c r="H128" s="39">
        <f t="shared" si="12"/>
        <v>13</v>
      </c>
      <c r="I128" s="126" t="s">
        <v>290</v>
      </c>
      <c r="J128" s="100"/>
      <c r="K128" s="100"/>
      <c r="L128" s="100"/>
    </row>
    <row r="129" spans="1:12" ht="14">
      <c r="A129" s="2"/>
      <c r="B129" s="3"/>
      <c r="C129" s="3" t="s">
        <v>291</v>
      </c>
      <c r="D129" s="44" t="s">
        <v>292</v>
      </c>
      <c r="E129" s="123" t="s">
        <v>293</v>
      </c>
      <c r="F129" s="44" t="s">
        <v>34</v>
      </c>
      <c r="G129" s="91">
        <v>132</v>
      </c>
      <c r="H129" s="39">
        <f t="shared" si="12"/>
        <v>11</v>
      </c>
      <c r="I129" s="126" t="s">
        <v>294</v>
      </c>
      <c r="J129" s="100"/>
      <c r="K129" s="100"/>
      <c r="L129" s="100"/>
    </row>
    <row r="130" spans="1:12" ht="14">
      <c r="A130" s="2"/>
      <c r="B130" s="3"/>
      <c r="C130" s="3" t="s">
        <v>295</v>
      </c>
      <c r="D130" s="44" t="s">
        <v>283</v>
      </c>
      <c r="E130" s="123" t="s">
        <v>296</v>
      </c>
      <c r="F130" s="44" t="s">
        <v>34</v>
      </c>
      <c r="G130" s="80">
        <v>264</v>
      </c>
      <c r="H130" s="39">
        <f t="shared" si="12"/>
        <v>22</v>
      </c>
      <c r="I130" s="125"/>
      <c r="J130" s="100"/>
      <c r="K130" s="100"/>
      <c r="L130" s="100"/>
    </row>
    <row r="131" spans="1:12" ht="14">
      <c r="A131" s="2"/>
      <c r="B131" s="3"/>
      <c r="C131" s="3" t="s">
        <v>297</v>
      </c>
      <c r="D131" s="44" t="s">
        <v>283</v>
      </c>
      <c r="E131" s="123" t="s">
        <v>298</v>
      </c>
      <c r="F131" s="44" t="s">
        <v>34</v>
      </c>
      <c r="G131" s="80">
        <v>360</v>
      </c>
      <c r="H131" s="39">
        <f t="shared" si="12"/>
        <v>30</v>
      </c>
      <c r="I131" s="125" t="s">
        <v>141</v>
      </c>
      <c r="J131" s="100"/>
      <c r="K131" s="100"/>
      <c r="L131" s="100"/>
    </row>
    <row r="132" spans="1:12" ht="14">
      <c r="A132" s="2"/>
      <c r="B132" s="2"/>
      <c r="C132" s="127"/>
      <c r="D132" s="4"/>
      <c r="E132" s="65"/>
      <c r="F132" s="4"/>
      <c r="G132" s="88"/>
      <c r="H132" s="65"/>
      <c r="I132" s="54"/>
      <c r="J132" s="100"/>
      <c r="K132" s="100"/>
      <c r="L132" s="100"/>
    </row>
    <row r="133" spans="1:12" ht="21">
      <c r="A133" s="2"/>
      <c r="B133" s="90" t="s">
        <v>299</v>
      </c>
      <c r="C133" s="56"/>
      <c r="D133" s="36"/>
      <c r="E133" s="67"/>
      <c r="F133" s="58"/>
      <c r="G133" s="66"/>
      <c r="H133" s="67"/>
      <c r="I133" s="41"/>
      <c r="J133" s="100"/>
      <c r="K133" s="100"/>
      <c r="L133" s="100"/>
    </row>
    <row r="134" spans="1:12" ht="14">
      <c r="A134" s="2"/>
      <c r="B134" s="3"/>
      <c r="C134" s="3" t="s">
        <v>300</v>
      </c>
      <c r="D134" s="44" t="s">
        <v>301</v>
      </c>
      <c r="E134" s="123" t="s">
        <v>302</v>
      </c>
      <c r="F134" s="44" t="s">
        <v>25</v>
      </c>
      <c r="G134" s="80">
        <v>108</v>
      </c>
      <c r="H134" s="39">
        <f t="shared" ref="H134:H137" si="13">G134/12</f>
        <v>9</v>
      </c>
      <c r="I134" s="125"/>
      <c r="J134" s="2"/>
      <c r="K134" s="2"/>
      <c r="L134" s="2"/>
    </row>
    <row r="135" spans="1:12" ht="14">
      <c r="A135" s="2"/>
      <c r="B135" s="3"/>
      <c r="C135" s="3" t="s">
        <v>303</v>
      </c>
      <c r="D135" s="44" t="s">
        <v>301</v>
      </c>
      <c r="E135" s="123" t="s">
        <v>304</v>
      </c>
      <c r="F135" s="44" t="s">
        <v>31</v>
      </c>
      <c r="G135" s="80">
        <v>120</v>
      </c>
      <c r="H135" s="39">
        <f t="shared" si="13"/>
        <v>10</v>
      </c>
      <c r="I135" s="125"/>
      <c r="J135" s="2"/>
      <c r="K135" s="2"/>
      <c r="L135" s="2"/>
    </row>
    <row r="136" spans="1:12" ht="15">
      <c r="A136" s="2"/>
      <c r="B136" s="3"/>
      <c r="C136" s="3" t="s">
        <v>305</v>
      </c>
      <c r="D136" s="50" t="s">
        <v>306</v>
      </c>
      <c r="E136" s="123" t="s">
        <v>307</v>
      </c>
      <c r="F136" s="44" t="s">
        <v>34</v>
      </c>
      <c r="G136" s="80">
        <v>114</v>
      </c>
      <c r="H136" s="39">
        <f t="shared" si="13"/>
        <v>9.5</v>
      </c>
      <c r="I136" s="125"/>
      <c r="J136" s="2"/>
      <c r="K136" s="2"/>
      <c r="L136" s="2"/>
    </row>
    <row r="137" spans="1:12" ht="30">
      <c r="A137" s="2"/>
      <c r="B137" s="3"/>
      <c r="C137" s="3" t="s">
        <v>308</v>
      </c>
      <c r="D137" s="50" t="s">
        <v>309</v>
      </c>
      <c r="E137" s="123" t="s">
        <v>310</v>
      </c>
      <c r="F137" s="44" t="s">
        <v>34</v>
      </c>
      <c r="G137" s="80">
        <v>120</v>
      </c>
      <c r="H137" s="39">
        <f t="shared" si="13"/>
        <v>10</v>
      </c>
      <c r="I137" s="125"/>
      <c r="J137" s="2"/>
      <c r="K137" s="2"/>
      <c r="L137" s="2"/>
    </row>
    <row r="138" spans="1:12" ht="21">
      <c r="A138" s="2"/>
      <c r="B138" s="55"/>
      <c r="C138" s="3"/>
      <c r="D138" s="4"/>
      <c r="E138" s="8"/>
      <c r="F138" s="44"/>
      <c r="G138" s="39"/>
      <c r="H138" s="65"/>
      <c r="I138" s="54"/>
      <c r="J138" s="2"/>
      <c r="K138" s="2"/>
      <c r="L138" s="2"/>
    </row>
    <row r="139" spans="1:12" ht="21">
      <c r="A139" s="2"/>
      <c r="B139" s="90" t="s">
        <v>311</v>
      </c>
      <c r="C139" s="56"/>
      <c r="D139" s="36"/>
      <c r="E139" s="37"/>
      <c r="F139" s="58"/>
      <c r="G139" s="66"/>
      <c r="H139" s="67"/>
      <c r="I139" s="41"/>
      <c r="J139" s="2"/>
      <c r="K139" s="2"/>
      <c r="L139" s="2"/>
    </row>
    <row r="140" spans="1:12" ht="15">
      <c r="A140" s="2"/>
      <c r="B140" s="3"/>
      <c r="C140" s="3" t="s">
        <v>312</v>
      </c>
      <c r="D140" s="50" t="s">
        <v>313</v>
      </c>
      <c r="E140" s="123" t="s">
        <v>314</v>
      </c>
      <c r="F140" s="44" t="s">
        <v>34</v>
      </c>
      <c r="G140" s="48">
        <v>126</v>
      </c>
      <c r="H140" s="39">
        <f t="shared" ref="H140:H142" si="14">G140/12</f>
        <v>10.5</v>
      </c>
      <c r="I140" s="125"/>
      <c r="J140" s="44"/>
      <c r="K140" s="44"/>
      <c r="L140" s="44"/>
    </row>
    <row r="141" spans="1:12" ht="15">
      <c r="A141" s="2"/>
      <c r="B141" s="3"/>
      <c r="C141" s="3" t="s">
        <v>315</v>
      </c>
      <c r="D141" s="50" t="s">
        <v>316</v>
      </c>
      <c r="E141" s="123" t="s">
        <v>317</v>
      </c>
      <c r="F141" s="44" t="s">
        <v>34</v>
      </c>
      <c r="G141" s="48">
        <v>132</v>
      </c>
      <c r="H141" s="39">
        <f t="shared" si="14"/>
        <v>11</v>
      </c>
      <c r="I141" s="125"/>
      <c r="J141" s="44"/>
      <c r="K141" s="44"/>
      <c r="L141" s="44"/>
    </row>
    <row r="142" spans="1:12" ht="15">
      <c r="A142" s="2"/>
      <c r="B142" s="3"/>
      <c r="C142" s="3" t="s">
        <v>318</v>
      </c>
      <c r="D142" s="50" t="s">
        <v>316</v>
      </c>
      <c r="E142" s="123" t="s">
        <v>319</v>
      </c>
      <c r="F142" s="44" t="s">
        <v>34</v>
      </c>
      <c r="G142" s="48">
        <v>180</v>
      </c>
      <c r="H142" s="39">
        <f t="shared" si="14"/>
        <v>15</v>
      </c>
      <c r="I142" s="125"/>
      <c r="J142" s="44"/>
      <c r="K142" s="44"/>
      <c r="L142" s="44"/>
    </row>
    <row r="143" spans="1:12" ht="14">
      <c r="A143" s="2"/>
      <c r="B143" s="3"/>
      <c r="C143" s="62"/>
      <c r="D143" s="44"/>
      <c r="E143" s="53"/>
      <c r="F143" s="44"/>
      <c r="G143" s="39"/>
      <c r="H143" s="53"/>
      <c r="I143" s="54"/>
      <c r="J143" s="100"/>
      <c r="K143" s="100"/>
      <c r="L143" s="100"/>
    </row>
    <row r="144" spans="1:12" ht="21">
      <c r="A144" s="2"/>
      <c r="B144" s="90" t="s">
        <v>320</v>
      </c>
      <c r="C144" s="56"/>
      <c r="D144" s="36"/>
      <c r="E144" s="37"/>
      <c r="F144" s="58"/>
      <c r="G144" s="66"/>
      <c r="H144" s="67"/>
      <c r="I144" s="41"/>
      <c r="J144" s="100"/>
      <c r="K144" s="100"/>
      <c r="L144" s="100"/>
    </row>
    <row r="145" spans="1:12" ht="15">
      <c r="A145" s="2"/>
      <c r="B145" s="3"/>
      <c r="C145" s="3" t="s">
        <v>321</v>
      </c>
      <c r="D145" s="50" t="s">
        <v>322</v>
      </c>
      <c r="E145" s="123" t="s">
        <v>323</v>
      </c>
      <c r="F145" s="44" t="s">
        <v>18</v>
      </c>
      <c r="G145" s="91">
        <v>117</v>
      </c>
      <c r="H145" s="39">
        <f t="shared" ref="H145:H150" si="15">G145/12</f>
        <v>9.75</v>
      </c>
      <c r="I145" s="125"/>
      <c r="J145" s="100"/>
      <c r="K145" s="100"/>
      <c r="L145" s="100"/>
    </row>
    <row r="146" spans="1:12" ht="15">
      <c r="A146" s="2"/>
      <c r="B146" s="3"/>
      <c r="C146" s="3" t="s">
        <v>324</v>
      </c>
      <c r="D146" s="50" t="s">
        <v>313</v>
      </c>
      <c r="E146" s="123" t="s">
        <v>325</v>
      </c>
      <c r="F146" s="44" t="s">
        <v>18</v>
      </c>
      <c r="G146" s="91">
        <v>117</v>
      </c>
      <c r="H146" s="39">
        <f t="shared" si="15"/>
        <v>9.75</v>
      </c>
      <c r="I146" s="125" t="s">
        <v>326</v>
      </c>
      <c r="J146" s="100"/>
      <c r="K146" s="100"/>
      <c r="L146" s="100"/>
    </row>
    <row r="147" spans="1:12" ht="15">
      <c r="A147" s="2"/>
      <c r="B147" s="3"/>
      <c r="C147" s="3" t="s">
        <v>327</v>
      </c>
      <c r="D147" s="50" t="s">
        <v>322</v>
      </c>
      <c r="E147" s="123" t="s">
        <v>328</v>
      </c>
      <c r="F147" s="44" t="s">
        <v>25</v>
      </c>
      <c r="G147" s="91">
        <v>99</v>
      </c>
      <c r="H147" s="39">
        <f t="shared" si="15"/>
        <v>8.25</v>
      </c>
      <c r="I147" s="125"/>
      <c r="J147" s="100"/>
      <c r="K147" s="100"/>
      <c r="L147" s="100"/>
    </row>
    <row r="148" spans="1:12" ht="15">
      <c r="A148" s="2"/>
      <c r="B148" s="3"/>
      <c r="C148" s="3" t="s">
        <v>329</v>
      </c>
      <c r="D148" s="50" t="s">
        <v>330</v>
      </c>
      <c r="E148" s="123" t="s">
        <v>331</v>
      </c>
      <c r="F148" s="44" t="s">
        <v>100</v>
      </c>
      <c r="G148" s="89">
        <v>102</v>
      </c>
      <c r="H148" s="39">
        <f t="shared" si="15"/>
        <v>8.5</v>
      </c>
      <c r="I148" s="125" t="s">
        <v>332</v>
      </c>
      <c r="J148" s="100"/>
      <c r="K148" s="100"/>
      <c r="L148" s="100"/>
    </row>
    <row r="149" spans="1:12" ht="15">
      <c r="A149" s="2"/>
      <c r="B149" s="3"/>
      <c r="C149" s="3" t="s">
        <v>333</v>
      </c>
      <c r="D149" s="50" t="s">
        <v>330</v>
      </c>
      <c r="E149" s="123" t="s">
        <v>334</v>
      </c>
      <c r="F149" s="44" t="s">
        <v>34</v>
      </c>
      <c r="G149" s="91">
        <v>102</v>
      </c>
      <c r="H149" s="39">
        <f t="shared" si="15"/>
        <v>8.5</v>
      </c>
      <c r="I149" s="125"/>
      <c r="J149" s="100"/>
      <c r="K149" s="100"/>
      <c r="L149" s="100"/>
    </row>
    <row r="150" spans="1:12" ht="15">
      <c r="A150" s="2"/>
      <c r="B150" s="3"/>
      <c r="C150" s="3" t="s">
        <v>335</v>
      </c>
      <c r="D150" s="50" t="s">
        <v>313</v>
      </c>
      <c r="E150" s="123" t="s">
        <v>336</v>
      </c>
      <c r="F150" s="44" t="s">
        <v>34</v>
      </c>
      <c r="G150" s="91">
        <v>102</v>
      </c>
      <c r="H150" s="39">
        <f t="shared" si="15"/>
        <v>8.5</v>
      </c>
      <c r="I150" s="125"/>
      <c r="J150" s="100"/>
      <c r="K150" s="100"/>
      <c r="L150" s="100"/>
    </row>
    <row r="151" spans="1:12" ht="21">
      <c r="A151" s="2"/>
      <c r="B151" s="55"/>
      <c r="C151" s="3"/>
      <c r="D151" s="4"/>
      <c r="E151" s="8"/>
      <c r="F151" s="44"/>
      <c r="G151" s="39"/>
      <c r="H151" s="65"/>
      <c r="I151" s="54"/>
      <c r="J151" s="2"/>
      <c r="K151" s="2"/>
      <c r="L151" s="2"/>
    </row>
    <row r="152" spans="1:12" ht="21">
      <c r="A152" s="2"/>
      <c r="B152" s="90" t="s">
        <v>337</v>
      </c>
      <c r="C152" s="56"/>
      <c r="D152" s="36"/>
      <c r="E152" s="37"/>
      <c r="F152" s="58"/>
      <c r="G152" s="39"/>
      <c r="H152" s="65"/>
      <c r="I152" s="54"/>
      <c r="J152" s="2"/>
      <c r="K152" s="2"/>
      <c r="L152" s="2"/>
    </row>
    <row r="153" spans="1:12" ht="15">
      <c r="A153" s="2"/>
      <c r="B153" s="75"/>
      <c r="C153" s="3" t="s">
        <v>338</v>
      </c>
      <c r="D153" s="50" t="s">
        <v>339</v>
      </c>
      <c r="E153" s="123" t="s">
        <v>340</v>
      </c>
      <c r="F153" s="44" t="s">
        <v>25</v>
      </c>
      <c r="G153" s="46">
        <v>174</v>
      </c>
      <c r="H153" s="73">
        <f t="shared" ref="H153:H157" si="16">G153/12</f>
        <v>14.5</v>
      </c>
      <c r="I153" s="128" t="s">
        <v>341</v>
      </c>
      <c r="J153" s="2"/>
      <c r="K153" s="2"/>
      <c r="L153" s="2"/>
    </row>
    <row r="154" spans="1:12" ht="15">
      <c r="A154" s="2"/>
      <c r="B154" s="75"/>
      <c r="C154" s="3" t="s">
        <v>342</v>
      </c>
      <c r="D154" s="50" t="s">
        <v>276</v>
      </c>
      <c r="E154" s="123" t="s">
        <v>343</v>
      </c>
      <c r="F154" s="44" t="s">
        <v>31</v>
      </c>
      <c r="G154" s="80">
        <v>102</v>
      </c>
      <c r="H154" s="39">
        <f t="shared" si="16"/>
        <v>8.5</v>
      </c>
      <c r="I154" s="125"/>
      <c r="J154" s="2"/>
      <c r="K154" s="2"/>
      <c r="L154" s="2"/>
    </row>
    <row r="155" spans="1:12" ht="15">
      <c r="A155" s="2"/>
      <c r="B155" s="3"/>
      <c r="C155" s="3" t="s">
        <v>344</v>
      </c>
      <c r="D155" s="50" t="s">
        <v>283</v>
      </c>
      <c r="E155" s="123" t="s">
        <v>345</v>
      </c>
      <c r="F155" s="44" t="s">
        <v>34</v>
      </c>
      <c r="G155" s="48">
        <v>102</v>
      </c>
      <c r="H155" s="39">
        <f t="shared" si="16"/>
        <v>8.5</v>
      </c>
      <c r="I155" s="129" t="s">
        <v>82</v>
      </c>
      <c r="J155" s="100"/>
      <c r="K155" s="100"/>
      <c r="L155" s="100"/>
    </row>
    <row r="156" spans="1:12" ht="15">
      <c r="A156" s="2"/>
      <c r="B156" s="3"/>
      <c r="C156" s="3" t="s">
        <v>346</v>
      </c>
      <c r="D156" s="50" t="s">
        <v>283</v>
      </c>
      <c r="E156" s="123" t="s">
        <v>347</v>
      </c>
      <c r="F156" s="44" t="s">
        <v>34</v>
      </c>
      <c r="G156" s="48">
        <v>210</v>
      </c>
      <c r="H156" s="39">
        <f t="shared" si="16"/>
        <v>17.5</v>
      </c>
      <c r="I156" s="129"/>
      <c r="J156" s="100"/>
      <c r="K156" s="100"/>
      <c r="L156" s="100"/>
    </row>
    <row r="157" spans="1:12" ht="21">
      <c r="A157" s="2"/>
      <c r="B157" s="55"/>
      <c r="C157" s="3" t="s">
        <v>348</v>
      </c>
      <c r="D157" s="50" t="s">
        <v>283</v>
      </c>
      <c r="E157" s="123" t="s">
        <v>349</v>
      </c>
      <c r="F157" s="44" t="s">
        <v>34</v>
      </c>
      <c r="G157" s="48">
        <v>228</v>
      </c>
      <c r="H157" s="39">
        <f t="shared" si="16"/>
        <v>19</v>
      </c>
      <c r="I157" s="129" t="s">
        <v>82</v>
      </c>
      <c r="J157" s="100"/>
      <c r="K157" s="100"/>
      <c r="L157" s="100"/>
    </row>
    <row r="158" spans="1:12" ht="21">
      <c r="A158" s="2"/>
      <c r="B158" s="55"/>
      <c r="C158" s="3"/>
      <c r="D158" s="4"/>
      <c r="E158" s="8"/>
      <c r="F158" s="44"/>
      <c r="G158" s="39"/>
      <c r="H158" s="65"/>
      <c r="I158" s="54"/>
      <c r="J158" s="100"/>
      <c r="K158" s="100"/>
      <c r="L158" s="100"/>
    </row>
    <row r="159" spans="1:12" ht="21">
      <c r="A159" s="2"/>
      <c r="B159" s="90" t="s">
        <v>350</v>
      </c>
      <c r="C159" s="56"/>
      <c r="D159" s="36"/>
      <c r="E159" s="37"/>
      <c r="F159" s="58"/>
      <c r="G159" s="66"/>
      <c r="H159" s="67"/>
      <c r="I159" s="41"/>
      <c r="J159" s="100"/>
      <c r="K159" s="100"/>
      <c r="L159" s="100"/>
    </row>
    <row r="160" spans="1:12" ht="15">
      <c r="A160" s="2"/>
      <c r="B160" s="3"/>
      <c r="C160" s="3" t="s">
        <v>351</v>
      </c>
      <c r="D160" s="50" t="s">
        <v>352</v>
      </c>
      <c r="E160" s="123" t="s">
        <v>353</v>
      </c>
      <c r="F160" s="44" t="s">
        <v>34</v>
      </c>
      <c r="G160" s="80">
        <v>336</v>
      </c>
      <c r="H160" s="39">
        <f>G160/12</f>
        <v>28</v>
      </c>
      <c r="I160" s="125" t="s">
        <v>116</v>
      </c>
      <c r="J160" s="100"/>
      <c r="K160" s="100"/>
      <c r="L160" s="100"/>
    </row>
    <row r="161" spans="1:12" ht="21">
      <c r="A161" s="2"/>
      <c r="B161" s="55"/>
      <c r="C161" s="3"/>
      <c r="D161" s="4"/>
      <c r="E161" s="8"/>
      <c r="F161" s="44"/>
      <c r="G161" s="39"/>
      <c r="H161" s="65"/>
      <c r="I161" s="54"/>
      <c r="J161" s="100"/>
      <c r="K161" s="100"/>
      <c r="L161" s="100"/>
    </row>
    <row r="162" spans="1:12" ht="21">
      <c r="A162" s="2"/>
      <c r="B162" s="90" t="s">
        <v>354</v>
      </c>
      <c r="C162" s="56"/>
      <c r="D162" s="36"/>
      <c r="E162" s="37"/>
      <c r="F162" s="58"/>
      <c r="G162" s="66"/>
      <c r="H162" s="67"/>
      <c r="I162" s="41"/>
      <c r="J162" s="2"/>
      <c r="K162" s="2"/>
      <c r="L162" s="2"/>
    </row>
    <row r="163" spans="1:12" ht="30">
      <c r="A163" s="2"/>
      <c r="B163" s="3"/>
      <c r="C163" s="3" t="s">
        <v>355</v>
      </c>
      <c r="D163" s="50" t="s">
        <v>356</v>
      </c>
      <c r="E163" s="123" t="s">
        <v>357</v>
      </c>
      <c r="F163" s="44" t="s">
        <v>25</v>
      </c>
      <c r="G163" s="46">
        <v>84</v>
      </c>
      <c r="H163" s="39">
        <f t="shared" ref="H163:H171" si="17">G163/12</f>
        <v>7</v>
      </c>
      <c r="I163" s="125"/>
      <c r="J163" s="2"/>
      <c r="K163" s="2"/>
      <c r="L163" s="2"/>
    </row>
    <row r="164" spans="1:12" ht="15">
      <c r="A164" s="2"/>
      <c r="B164" s="3"/>
      <c r="C164" s="3" t="s">
        <v>358</v>
      </c>
      <c r="D164" s="50" t="s">
        <v>359</v>
      </c>
      <c r="E164" s="123" t="s">
        <v>360</v>
      </c>
      <c r="F164" s="44" t="s">
        <v>25</v>
      </c>
      <c r="G164" s="48">
        <v>99</v>
      </c>
      <c r="H164" s="39">
        <f t="shared" si="17"/>
        <v>8.25</v>
      </c>
      <c r="I164" s="125"/>
      <c r="J164" s="2"/>
      <c r="K164" s="2"/>
      <c r="L164" s="2"/>
    </row>
    <row r="165" spans="1:12" ht="15">
      <c r="A165" s="2"/>
      <c r="B165" s="3"/>
      <c r="C165" s="3" t="s">
        <v>361</v>
      </c>
      <c r="D165" s="50" t="s">
        <v>339</v>
      </c>
      <c r="E165" s="123" t="s">
        <v>362</v>
      </c>
      <c r="F165" s="44" t="s">
        <v>25</v>
      </c>
      <c r="G165" s="48">
        <v>144</v>
      </c>
      <c r="H165" s="39">
        <f t="shared" si="17"/>
        <v>12</v>
      </c>
      <c r="I165" s="125"/>
      <c r="J165" s="2"/>
      <c r="K165" s="2"/>
      <c r="L165" s="2"/>
    </row>
    <row r="166" spans="1:12" ht="15">
      <c r="A166" s="2"/>
      <c r="B166" s="3"/>
      <c r="C166" s="3" t="s">
        <v>363</v>
      </c>
      <c r="D166" s="50" t="s">
        <v>283</v>
      </c>
      <c r="E166" s="123" t="s">
        <v>364</v>
      </c>
      <c r="F166" s="44" t="s">
        <v>34</v>
      </c>
      <c r="G166" s="48">
        <v>84</v>
      </c>
      <c r="H166" s="39">
        <f t="shared" si="17"/>
        <v>7</v>
      </c>
      <c r="I166" s="125" t="s">
        <v>365</v>
      </c>
      <c r="J166" s="2"/>
      <c r="K166" s="2"/>
      <c r="L166" s="2"/>
    </row>
    <row r="167" spans="1:12" ht="15">
      <c r="A167" s="2"/>
      <c r="B167" s="3"/>
      <c r="C167" s="3" t="s">
        <v>366</v>
      </c>
      <c r="D167" s="50" t="s">
        <v>283</v>
      </c>
      <c r="E167" s="123" t="s">
        <v>367</v>
      </c>
      <c r="F167" s="44" t="s">
        <v>34</v>
      </c>
      <c r="G167" s="48">
        <v>128</v>
      </c>
      <c r="H167" s="39">
        <f t="shared" si="17"/>
        <v>10.666666666666666</v>
      </c>
      <c r="I167" s="125"/>
      <c r="J167" s="2"/>
      <c r="K167" s="2"/>
      <c r="L167" s="2"/>
    </row>
    <row r="168" spans="1:12" ht="15">
      <c r="A168" s="2"/>
      <c r="B168" s="3"/>
      <c r="C168" s="3" t="s">
        <v>368</v>
      </c>
      <c r="D168" s="50" t="s">
        <v>283</v>
      </c>
      <c r="E168" s="123" t="s">
        <v>369</v>
      </c>
      <c r="F168" s="44" t="s">
        <v>34</v>
      </c>
      <c r="G168" s="48">
        <v>162</v>
      </c>
      <c r="H168" s="39">
        <f t="shared" si="17"/>
        <v>13.5</v>
      </c>
      <c r="I168" s="125"/>
      <c r="J168" s="2"/>
      <c r="K168" s="2"/>
      <c r="L168" s="2"/>
    </row>
    <row r="169" spans="1:12" ht="15">
      <c r="A169" s="2"/>
      <c r="B169" s="3"/>
      <c r="C169" s="3" t="s">
        <v>370</v>
      </c>
      <c r="D169" s="50" t="s">
        <v>283</v>
      </c>
      <c r="E169" s="123" t="s">
        <v>371</v>
      </c>
      <c r="F169" s="44" t="s">
        <v>34</v>
      </c>
      <c r="G169" s="80">
        <v>360</v>
      </c>
      <c r="H169" s="39">
        <f t="shared" si="17"/>
        <v>30</v>
      </c>
      <c r="I169" s="125" t="s">
        <v>116</v>
      </c>
      <c r="J169" s="2"/>
      <c r="K169" s="2"/>
      <c r="L169" s="2"/>
    </row>
    <row r="170" spans="1:12" ht="15">
      <c r="A170" s="2"/>
      <c r="B170" s="3"/>
      <c r="C170" s="3" t="s">
        <v>372</v>
      </c>
      <c r="D170" s="50" t="s">
        <v>283</v>
      </c>
      <c r="E170" s="123" t="s">
        <v>373</v>
      </c>
      <c r="F170" s="44" t="s">
        <v>34</v>
      </c>
      <c r="G170" s="48">
        <v>372</v>
      </c>
      <c r="H170" s="39">
        <f t="shared" si="17"/>
        <v>31</v>
      </c>
      <c r="I170" s="125"/>
      <c r="J170" s="2"/>
      <c r="K170" s="2"/>
      <c r="L170" s="2"/>
    </row>
    <row r="171" spans="1:12" ht="15">
      <c r="A171" s="2"/>
      <c r="B171" s="3"/>
      <c r="C171" s="3" t="s">
        <v>374</v>
      </c>
      <c r="D171" s="50" t="s">
        <v>375</v>
      </c>
      <c r="E171" s="123" t="s">
        <v>376</v>
      </c>
      <c r="F171" s="44" t="s">
        <v>34</v>
      </c>
      <c r="G171" s="48">
        <v>256</v>
      </c>
      <c r="H171" s="39">
        <f t="shared" si="17"/>
        <v>21.333333333333332</v>
      </c>
      <c r="I171" s="125" t="s">
        <v>377</v>
      </c>
      <c r="J171" s="2"/>
      <c r="K171" s="2"/>
      <c r="L171" s="2"/>
    </row>
    <row r="172" spans="1:12" ht="14">
      <c r="A172" s="2"/>
      <c r="B172" s="2"/>
      <c r="C172" s="2"/>
      <c r="D172" s="4"/>
      <c r="E172" s="8"/>
      <c r="F172" s="109"/>
      <c r="G172" s="39"/>
      <c r="H172" s="65"/>
      <c r="I172" s="54"/>
      <c r="J172" s="2"/>
      <c r="K172" s="2"/>
      <c r="L172" s="2"/>
    </row>
    <row r="173" spans="1:12" ht="20">
      <c r="A173" s="24"/>
      <c r="B173" s="24" t="s">
        <v>378</v>
      </c>
      <c r="C173" s="25"/>
      <c r="D173" s="26"/>
      <c r="E173" s="27"/>
      <c r="F173" s="28"/>
      <c r="G173" s="29"/>
      <c r="H173" s="30"/>
      <c r="I173" s="31"/>
      <c r="J173" s="44"/>
      <c r="K173" s="44"/>
      <c r="L173" s="44"/>
    </row>
    <row r="174" spans="1:12" ht="21">
      <c r="A174" s="2"/>
      <c r="B174" s="90" t="s">
        <v>379</v>
      </c>
      <c r="C174" s="56"/>
      <c r="D174" s="36"/>
      <c r="E174" s="37"/>
      <c r="F174" s="58"/>
      <c r="G174" s="66"/>
      <c r="H174" s="67"/>
      <c r="I174" s="41"/>
      <c r="J174" s="100"/>
      <c r="K174" s="100"/>
      <c r="L174" s="100"/>
    </row>
    <row r="175" spans="1:12" ht="15">
      <c r="A175" s="2"/>
      <c r="B175" s="14"/>
      <c r="C175" s="3" t="s">
        <v>380</v>
      </c>
      <c r="D175" s="130" t="s">
        <v>381</v>
      </c>
      <c r="E175" s="45" t="s">
        <v>382</v>
      </c>
      <c r="F175" s="44" t="s">
        <v>25</v>
      </c>
      <c r="G175" s="48">
        <v>132</v>
      </c>
      <c r="H175" s="39">
        <f t="shared" ref="H175:H177" si="18">G175/12</f>
        <v>11</v>
      </c>
      <c r="I175" s="92"/>
      <c r="J175" s="100"/>
      <c r="K175" s="100"/>
      <c r="L175" s="100"/>
    </row>
    <row r="176" spans="1:12" ht="16">
      <c r="A176" s="3"/>
      <c r="B176" s="14"/>
      <c r="C176" s="3" t="s">
        <v>383</v>
      </c>
      <c r="D176" s="130" t="s">
        <v>51</v>
      </c>
      <c r="E176" s="53" t="s">
        <v>384</v>
      </c>
      <c r="F176" s="44" t="s">
        <v>25</v>
      </c>
      <c r="G176" s="39">
        <v>192</v>
      </c>
      <c r="H176" s="39">
        <f t="shared" si="18"/>
        <v>16</v>
      </c>
      <c r="I176" s="54"/>
      <c r="J176" s="100"/>
      <c r="K176" s="100"/>
      <c r="L176" s="100"/>
    </row>
    <row r="177" spans="1:12" ht="15">
      <c r="A177" s="2"/>
      <c r="B177" s="3"/>
      <c r="C177" s="3" t="s">
        <v>385</v>
      </c>
      <c r="D177" s="130" t="s">
        <v>98</v>
      </c>
      <c r="E177" s="50" t="s">
        <v>386</v>
      </c>
      <c r="F177" s="131" t="s">
        <v>34</v>
      </c>
      <c r="G177" s="39">
        <v>156</v>
      </c>
      <c r="H177" s="39">
        <f t="shared" si="18"/>
        <v>13</v>
      </c>
      <c r="I177" s="54"/>
      <c r="J177" s="2"/>
      <c r="K177" s="2"/>
      <c r="L177" s="2"/>
    </row>
    <row r="178" spans="1:12" ht="21">
      <c r="A178" s="3"/>
      <c r="B178" s="55"/>
      <c r="C178" s="3"/>
      <c r="D178" s="4"/>
      <c r="E178" s="8"/>
      <c r="F178" s="44"/>
      <c r="G178" s="39"/>
      <c r="H178" s="65"/>
      <c r="I178" s="54"/>
      <c r="J178" s="100"/>
      <c r="K178" s="100"/>
      <c r="L178" s="100"/>
    </row>
    <row r="179" spans="1:12" ht="21">
      <c r="A179" s="3"/>
      <c r="B179" s="55" t="s">
        <v>387</v>
      </c>
      <c r="C179" s="56"/>
      <c r="D179" s="36"/>
      <c r="E179" s="37"/>
      <c r="F179" s="58"/>
      <c r="G179" s="39"/>
      <c r="H179" s="65"/>
      <c r="I179" s="54"/>
      <c r="J179" s="100"/>
      <c r="K179" s="100"/>
      <c r="L179" s="100"/>
    </row>
    <row r="180" spans="1:12" ht="15">
      <c r="A180" s="2"/>
      <c r="B180" s="43"/>
      <c r="C180" s="43" t="s">
        <v>388</v>
      </c>
      <c r="D180" s="72" t="s">
        <v>381</v>
      </c>
      <c r="E180" s="71" t="s">
        <v>389</v>
      </c>
      <c r="F180" s="98" t="s">
        <v>25</v>
      </c>
      <c r="G180" s="99">
        <v>132</v>
      </c>
      <c r="H180" s="73">
        <f>G180/12</f>
        <v>11</v>
      </c>
      <c r="I180" s="74" t="s">
        <v>390</v>
      </c>
      <c r="J180" s="100"/>
      <c r="K180" s="100"/>
      <c r="L180" s="100"/>
    </row>
    <row r="181" spans="1:12" ht="14">
      <c r="A181" s="2"/>
      <c r="B181" s="2"/>
      <c r="C181" s="3"/>
      <c r="D181" s="101"/>
      <c r="E181" s="8"/>
      <c r="F181" s="123"/>
      <c r="G181" s="39"/>
      <c r="H181" s="65"/>
      <c r="I181" s="54"/>
      <c r="J181" s="100"/>
      <c r="K181" s="100"/>
      <c r="L181" s="100"/>
    </row>
    <row r="182" spans="1:12" ht="21">
      <c r="A182" s="3"/>
      <c r="B182" s="55" t="s">
        <v>391</v>
      </c>
      <c r="C182" s="56"/>
      <c r="D182" s="36"/>
      <c r="E182" s="37"/>
      <c r="F182" s="58"/>
      <c r="G182" s="39"/>
      <c r="H182" s="65"/>
      <c r="I182" s="54"/>
      <c r="J182" s="100"/>
      <c r="K182" s="100"/>
      <c r="L182" s="100"/>
    </row>
    <row r="183" spans="1:12" ht="15">
      <c r="A183" s="2"/>
      <c r="B183" s="43"/>
      <c r="C183" s="43" t="s">
        <v>392</v>
      </c>
      <c r="D183" s="72" t="s">
        <v>381</v>
      </c>
      <c r="E183" s="76" t="s">
        <v>393</v>
      </c>
      <c r="F183" s="98" t="s">
        <v>72</v>
      </c>
      <c r="G183" s="99">
        <v>106</v>
      </c>
      <c r="H183" s="73">
        <f t="shared" ref="H183:H185" si="19">G183/12</f>
        <v>8.8333333333333339</v>
      </c>
      <c r="I183" s="74"/>
      <c r="J183" s="44"/>
      <c r="K183" s="44"/>
      <c r="L183" s="44"/>
    </row>
    <row r="184" spans="1:12" ht="15">
      <c r="A184" s="2"/>
      <c r="B184" s="3"/>
      <c r="C184" s="3" t="s">
        <v>394</v>
      </c>
      <c r="D184" s="44" t="s">
        <v>381</v>
      </c>
      <c r="E184" s="45" t="s">
        <v>395</v>
      </c>
      <c r="F184" s="50" t="s">
        <v>25</v>
      </c>
      <c r="G184" s="91">
        <v>90</v>
      </c>
      <c r="H184" s="39">
        <f t="shared" si="19"/>
        <v>7.5</v>
      </c>
      <c r="I184" s="108"/>
      <c r="J184" s="100"/>
      <c r="K184" s="100"/>
      <c r="L184" s="100"/>
    </row>
    <row r="185" spans="1:12" ht="15">
      <c r="A185" s="2"/>
      <c r="B185" s="3"/>
      <c r="C185" s="3" t="s">
        <v>396</v>
      </c>
      <c r="D185" s="132" t="s">
        <v>322</v>
      </c>
      <c r="E185" s="45" t="s">
        <v>397</v>
      </c>
      <c r="F185" s="50" t="s">
        <v>31</v>
      </c>
      <c r="G185" s="91">
        <v>108</v>
      </c>
      <c r="H185" s="39">
        <f t="shared" si="19"/>
        <v>9</v>
      </c>
      <c r="I185" s="54"/>
      <c r="J185" s="100"/>
      <c r="K185" s="100"/>
      <c r="L185" s="100"/>
    </row>
    <row r="186" spans="1:12" ht="14">
      <c r="A186" s="2"/>
      <c r="B186" s="2"/>
      <c r="C186" s="3"/>
      <c r="D186" s="101"/>
      <c r="E186" s="8"/>
      <c r="F186" s="44"/>
      <c r="G186" s="39"/>
      <c r="H186" s="65"/>
      <c r="I186" s="54"/>
      <c r="J186" s="100"/>
      <c r="K186" s="100"/>
      <c r="L186" s="100"/>
    </row>
    <row r="187" spans="1:12" ht="20">
      <c r="A187" s="24"/>
      <c r="B187" s="24" t="s">
        <v>229</v>
      </c>
      <c r="C187" s="25"/>
      <c r="D187" s="26"/>
      <c r="E187" s="27"/>
      <c r="F187" s="28"/>
      <c r="G187" s="29"/>
      <c r="H187" s="30"/>
      <c r="I187" s="31"/>
      <c r="J187" s="44"/>
      <c r="K187" s="44"/>
      <c r="L187" s="44"/>
    </row>
    <row r="188" spans="1:12" ht="21">
      <c r="A188" s="2"/>
      <c r="B188" s="55" t="s">
        <v>398</v>
      </c>
      <c r="C188" s="56"/>
      <c r="D188" s="36"/>
      <c r="E188" s="8"/>
      <c r="F188" s="58"/>
      <c r="G188" s="39"/>
      <c r="H188" s="65"/>
      <c r="I188" s="54"/>
      <c r="J188" s="100"/>
      <c r="K188" s="100"/>
      <c r="L188" s="100"/>
    </row>
    <row r="189" spans="1:12" ht="15">
      <c r="A189" s="2"/>
      <c r="B189" s="43"/>
      <c r="C189" s="43" t="s">
        <v>399</v>
      </c>
      <c r="D189" s="72" t="s">
        <v>232</v>
      </c>
      <c r="E189" s="71" t="s">
        <v>400</v>
      </c>
      <c r="F189" s="98" t="s">
        <v>25</v>
      </c>
      <c r="G189" s="99">
        <v>138</v>
      </c>
      <c r="H189" s="73">
        <f t="shared" ref="H189:H193" si="20">G189/12</f>
        <v>11.5</v>
      </c>
      <c r="I189" s="133" t="s">
        <v>401</v>
      </c>
      <c r="J189" s="44"/>
      <c r="K189" s="44"/>
      <c r="L189" s="44"/>
    </row>
    <row r="190" spans="1:12" ht="15">
      <c r="A190" s="127"/>
      <c r="B190" s="3"/>
      <c r="C190" s="3" t="s">
        <v>402</v>
      </c>
      <c r="D190" s="44" t="s">
        <v>232</v>
      </c>
      <c r="E190" s="53" t="s">
        <v>403</v>
      </c>
      <c r="F190" s="134" t="s">
        <v>25</v>
      </c>
      <c r="G190" s="91">
        <v>144</v>
      </c>
      <c r="H190" s="39">
        <f t="shared" si="20"/>
        <v>12</v>
      </c>
      <c r="I190" s="54" t="s">
        <v>404</v>
      </c>
      <c r="J190" s="44"/>
      <c r="K190" s="44"/>
      <c r="L190" s="44"/>
    </row>
    <row r="191" spans="1:12" ht="15">
      <c r="A191" s="127"/>
      <c r="B191" s="3"/>
      <c r="C191" s="3" t="s">
        <v>405</v>
      </c>
      <c r="D191" s="44" t="s">
        <v>232</v>
      </c>
      <c r="E191" s="53" t="s">
        <v>406</v>
      </c>
      <c r="F191" s="134" t="s">
        <v>25</v>
      </c>
      <c r="G191" s="91">
        <v>360</v>
      </c>
      <c r="H191" s="39">
        <f t="shared" si="20"/>
        <v>30</v>
      </c>
      <c r="I191" s="92" t="s">
        <v>407</v>
      </c>
      <c r="J191" s="135"/>
      <c r="K191" s="135"/>
      <c r="L191" s="135"/>
    </row>
    <row r="192" spans="1:12" ht="14">
      <c r="A192" s="127"/>
      <c r="B192" s="3"/>
      <c r="C192" s="3" t="s">
        <v>408</v>
      </c>
      <c r="D192" s="44" t="s">
        <v>409</v>
      </c>
      <c r="E192" s="45" t="s">
        <v>410</v>
      </c>
      <c r="F192" s="134" t="s">
        <v>34</v>
      </c>
      <c r="G192" s="91">
        <v>360</v>
      </c>
      <c r="H192" s="39">
        <f t="shared" si="20"/>
        <v>30</v>
      </c>
      <c r="I192" s="54" t="s">
        <v>411</v>
      </c>
      <c r="J192" s="135"/>
      <c r="K192" s="135"/>
      <c r="L192" s="135"/>
    </row>
    <row r="193" spans="1:12" ht="14">
      <c r="A193" s="127"/>
      <c r="B193" s="3"/>
      <c r="C193" s="3" t="s">
        <v>412</v>
      </c>
      <c r="D193" s="44" t="s">
        <v>409</v>
      </c>
      <c r="E193" s="45" t="s">
        <v>413</v>
      </c>
      <c r="F193" s="134" t="s">
        <v>34</v>
      </c>
      <c r="G193" s="91">
        <v>138</v>
      </c>
      <c r="H193" s="39">
        <f t="shared" si="20"/>
        <v>11.5</v>
      </c>
      <c r="I193" s="54" t="s">
        <v>414</v>
      </c>
      <c r="J193" s="135"/>
      <c r="K193" s="135"/>
      <c r="L193" s="135"/>
    </row>
    <row r="194" spans="1:12" ht="14">
      <c r="A194" s="127"/>
      <c r="B194" s="127"/>
      <c r="C194" s="136"/>
      <c r="D194" s="8"/>
      <c r="E194" s="8"/>
      <c r="F194" s="44"/>
      <c r="G194" s="39"/>
      <c r="H194" s="65"/>
      <c r="I194" s="54"/>
      <c r="J194" s="135"/>
      <c r="K194" s="135"/>
      <c r="L194" s="135"/>
    </row>
    <row r="195" spans="1:12" ht="20">
      <c r="A195" s="24"/>
      <c r="B195" s="24" t="s">
        <v>415</v>
      </c>
      <c r="C195" s="25"/>
      <c r="D195" s="26"/>
      <c r="E195" s="27"/>
      <c r="F195" s="28"/>
      <c r="G195" s="29"/>
      <c r="H195" s="30"/>
      <c r="I195" s="31"/>
      <c r="J195" s="44"/>
      <c r="K195" s="44"/>
      <c r="L195" s="44"/>
    </row>
    <row r="196" spans="1:12" ht="21">
      <c r="A196" s="2"/>
      <c r="B196" s="55" t="s">
        <v>416</v>
      </c>
      <c r="C196" s="56"/>
      <c r="D196" s="36"/>
      <c r="E196" s="37"/>
      <c r="F196" s="58"/>
      <c r="G196" s="39"/>
      <c r="H196" s="65"/>
      <c r="I196" s="54"/>
      <c r="J196" s="2"/>
      <c r="K196" s="2"/>
      <c r="L196" s="2"/>
    </row>
    <row r="197" spans="1:12" ht="15">
      <c r="A197" s="2"/>
      <c r="B197" s="95"/>
      <c r="C197" s="43" t="s">
        <v>417</v>
      </c>
      <c r="D197" s="105" t="s">
        <v>418</v>
      </c>
      <c r="E197" s="85" t="s">
        <v>419</v>
      </c>
      <c r="F197" s="98" t="s">
        <v>25</v>
      </c>
      <c r="G197" s="99">
        <v>99</v>
      </c>
      <c r="H197" s="73">
        <f t="shared" ref="H197:H201" si="21">G197/12</f>
        <v>8.25</v>
      </c>
      <c r="I197" s="74"/>
      <c r="J197" s="2"/>
      <c r="K197" s="2"/>
      <c r="L197" s="2"/>
    </row>
    <row r="198" spans="1:12" ht="15">
      <c r="A198" s="2"/>
      <c r="B198" s="2"/>
      <c r="C198" s="3" t="s">
        <v>420</v>
      </c>
      <c r="D198" s="4" t="s">
        <v>421</v>
      </c>
      <c r="E198" s="65" t="s">
        <v>422</v>
      </c>
      <c r="F198" s="50" t="s">
        <v>25</v>
      </c>
      <c r="G198" s="91">
        <v>114</v>
      </c>
      <c r="H198" s="39">
        <f t="shared" si="21"/>
        <v>9.5</v>
      </c>
      <c r="I198" s="92" t="s">
        <v>423</v>
      </c>
      <c r="J198" s="2"/>
      <c r="K198" s="2"/>
      <c r="L198" s="2"/>
    </row>
    <row r="199" spans="1:12" ht="15">
      <c r="A199" s="2"/>
      <c r="B199" s="2"/>
      <c r="C199" s="3" t="s">
        <v>424</v>
      </c>
      <c r="D199" s="4" t="s">
        <v>421</v>
      </c>
      <c r="E199" s="65" t="s">
        <v>425</v>
      </c>
      <c r="F199" s="50" t="s">
        <v>25</v>
      </c>
      <c r="G199" s="89">
        <v>114</v>
      </c>
      <c r="H199" s="39">
        <f t="shared" si="21"/>
        <v>9.5</v>
      </c>
      <c r="I199" s="54" t="s">
        <v>426</v>
      </c>
      <c r="J199" s="2"/>
      <c r="K199" s="2"/>
      <c r="L199" s="2"/>
    </row>
    <row r="200" spans="1:12" ht="15">
      <c r="A200" s="2"/>
      <c r="B200" s="2"/>
      <c r="C200" s="3" t="s">
        <v>427</v>
      </c>
      <c r="D200" s="4" t="s">
        <v>421</v>
      </c>
      <c r="E200" s="65" t="s">
        <v>428</v>
      </c>
      <c r="F200" s="50" t="s">
        <v>25</v>
      </c>
      <c r="G200" s="39">
        <v>132</v>
      </c>
      <c r="H200" s="39">
        <f t="shared" si="21"/>
        <v>11</v>
      </c>
      <c r="I200" s="54"/>
      <c r="J200" s="2"/>
      <c r="K200" s="2"/>
      <c r="L200" s="2"/>
    </row>
    <row r="201" spans="1:12" ht="28">
      <c r="A201" s="2"/>
      <c r="B201" s="2"/>
      <c r="C201" s="3" t="s">
        <v>429</v>
      </c>
      <c r="D201" s="87" t="s">
        <v>430</v>
      </c>
      <c r="E201" s="65" t="s">
        <v>431</v>
      </c>
      <c r="F201" s="50" t="s">
        <v>34</v>
      </c>
      <c r="G201" s="91">
        <v>126</v>
      </c>
      <c r="H201" s="39">
        <f t="shared" si="21"/>
        <v>10.5</v>
      </c>
      <c r="I201" s="54" t="s">
        <v>432</v>
      </c>
      <c r="J201" s="2"/>
      <c r="K201" s="2"/>
      <c r="L201" s="2"/>
    </row>
    <row r="202" spans="1:12" ht="21">
      <c r="A202" s="2"/>
      <c r="B202" s="55"/>
      <c r="C202" s="3"/>
      <c r="D202" s="4"/>
      <c r="E202" s="8"/>
      <c r="F202" s="44"/>
      <c r="G202" s="39"/>
      <c r="H202" s="65"/>
      <c r="I202" s="54"/>
      <c r="J202" s="100"/>
      <c r="K202" s="100"/>
      <c r="L202" s="100"/>
    </row>
    <row r="203" spans="1:12" ht="21">
      <c r="A203" s="2"/>
      <c r="B203" s="55" t="s">
        <v>433</v>
      </c>
      <c r="C203" s="3"/>
      <c r="D203" s="4"/>
      <c r="E203" s="8"/>
      <c r="F203" s="44"/>
      <c r="G203" s="39"/>
      <c r="H203" s="65"/>
      <c r="I203" s="54"/>
      <c r="J203" s="100"/>
      <c r="K203" s="100"/>
      <c r="L203" s="100"/>
    </row>
    <row r="204" spans="1:12" ht="14">
      <c r="A204" s="2"/>
      <c r="B204" s="2"/>
      <c r="C204" s="3"/>
      <c r="D204" s="8"/>
      <c r="E204" s="8"/>
      <c r="F204" s="44"/>
      <c r="G204" s="39"/>
      <c r="H204" s="65"/>
      <c r="I204" s="54"/>
      <c r="J204" s="100"/>
      <c r="K204" s="100"/>
      <c r="L204" s="100"/>
    </row>
    <row r="205" spans="1:12" ht="14">
      <c r="A205" s="2"/>
      <c r="B205" s="95"/>
      <c r="C205" s="43" t="s">
        <v>434</v>
      </c>
      <c r="D205" s="97" t="s">
        <v>421</v>
      </c>
      <c r="E205" s="97" t="s">
        <v>435</v>
      </c>
      <c r="F205" s="72" t="s">
        <v>25</v>
      </c>
      <c r="G205" s="73">
        <v>132</v>
      </c>
      <c r="H205" s="73">
        <f t="shared" ref="H205:H210" si="22">G205/12</f>
        <v>11</v>
      </c>
      <c r="I205" s="74"/>
      <c r="J205" s="100"/>
      <c r="K205" s="100"/>
      <c r="L205" s="100"/>
    </row>
    <row r="206" spans="1:12" ht="14">
      <c r="A206" s="3"/>
      <c r="B206" s="2"/>
      <c r="C206" s="3" t="s">
        <v>436</v>
      </c>
      <c r="D206" s="8" t="s">
        <v>421</v>
      </c>
      <c r="E206" s="8" t="s">
        <v>437</v>
      </c>
      <c r="F206" s="44" t="s">
        <v>25</v>
      </c>
      <c r="G206" s="91">
        <v>144</v>
      </c>
      <c r="H206" s="39">
        <f t="shared" si="22"/>
        <v>12</v>
      </c>
      <c r="I206" s="54" t="s">
        <v>438</v>
      </c>
      <c r="J206" s="100"/>
      <c r="K206" s="100"/>
      <c r="L206" s="100"/>
    </row>
    <row r="207" spans="1:12" ht="15">
      <c r="A207" s="3"/>
      <c r="B207" s="2"/>
      <c r="C207" s="3" t="s">
        <v>439</v>
      </c>
      <c r="D207" s="4" t="s">
        <v>421</v>
      </c>
      <c r="E207" s="8" t="s">
        <v>440</v>
      </c>
      <c r="F207" s="50" t="s">
        <v>31</v>
      </c>
      <c r="G207" s="91">
        <v>144</v>
      </c>
      <c r="H207" s="39">
        <f t="shared" si="22"/>
        <v>12</v>
      </c>
      <c r="I207" s="54"/>
      <c r="J207" s="100"/>
      <c r="K207" s="100"/>
      <c r="L207" s="100"/>
    </row>
    <row r="208" spans="1:12" ht="15">
      <c r="A208" s="3"/>
      <c r="B208" s="2"/>
      <c r="C208" s="3" t="s">
        <v>441</v>
      </c>
      <c r="D208" s="8" t="s">
        <v>421</v>
      </c>
      <c r="E208" s="8" t="s">
        <v>442</v>
      </c>
      <c r="F208" s="50" t="s">
        <v>31</v>
      </c>
      <c r="G208" s="91">
        <v>180</v>
      </c>
      <c r="H208" s="39">
        <f t="shared" si="22"/>
        <v>15</v>
      </c>
      <c r="I208" s="54" t="s">
        <v>443</v>
      </c>
      <c r="J208" s="100"/>
      <c r="K208" s="100"/>
      <c r="L208" s="100"/>
    </row>
    <row r="209" spans="1:12" ht="15">
      <c r="A209" s="3"/>
      <c r="B209" s="2"/>
      <c r="C209" s="3" t="s">
        <v>444</v>
      </c>
      <c r="D209" s="4" t="s">
        <v>445</v>
      </c>
      <c r="E209" s="8" t="s">
        <v>446</v>
      </c>
      <c r="F209" s="50" t="s">
        <v>34</v>
      </c>
      <c r="G209" s="91">
        <v>144</v>
      </c>
      <c r="H209" s="39">
        <f t="shared" si="22"/>
        <v>12</v>
      </c>
      <c r="I209" s="54"/>
      <c r="J209" s="100"/>
      <c r="K209" s="100"/>
      <c r="L209" s="100"/>
    </row>
    <row r="210" spans="1:12" ht="15">
      <c r="A210" s="3"/>
      <c r="B210" s="2"/>
      <c r="C210" s="3" t="s">
        <v>447</v>
      </c>
      <c r="D210" s="4" t="s">
        <v>448</v>
      </c>
      <c r="E210" s="8" t="s">
        <v>449</v>
      </c>
      <c r="F210" s="50" t="s">
        <v>18</v>
      </c>
      <c r="G210" s="91">
        <v>144</v>
      </c>
      <c r="H210" s="39">
        <f t="shared" si="22"/>
        <v>12</v>
      </c>
      <c r="I210" s="54" t="s">
        <v>443</v>
      </c>
      <c r="J210" s="100"/>
      <c r="K210" s="100"/>
      <c r="L210" s="100"/>
    </row>
    <row r="211" spans="1:12" ht="14">
      <c r="A211" s="2"/>
      <c r="B211" s="2"/>
      <c r="C211" s="136"/>
      <c r="D211" s="8"/>
      <c r="E211" s="65"/>
      <c r="F211" s="44"/>
      <c r="G211" s="39"/>
      <c r="H211" s="65"/>
      <c r="I211" s="54"/>
      <c r="J211" s="100"/>
      <c r="K211" s="100"/>
      <c r="L211" s="100"/>
    </row>
    <row r="212" spans="1:12" ht="20">
      <c r="A212" s="137"/>
      <c r="B212" s="137" t="s">
        <v>450</v>
      </c>
      <c r="C212" s="137"/>
      <c r="D212" s="138"/>
      <c r="E212" s="139"/>
      <c r="F212" s="140"/>
      <c r="G212" s="140"/>
      <c r="H212" s="140"/>
      <c r="I212" s="141"/>
      <c r="J212" s="142"/>
      <c r="K212" s="142"/>
      <c r="L212" s="142"/>
    </row>
    <row r="213" spans="1:12" ht="21">
      <c r="A213" s="2"/>
      <c r="B213" s="55" t="s">
        <v>451</v>
      </c>
      <c r="C213" s="3"/>
      <c r="D213" s="4"/>
      <c r="E213" s="8"/>
      <c r="F213" s="44"/>
      <c r="G213" s="39"/>
      <c r="H213" s="65"/>
      <c r="I213" s="54"/>
      <c r="J213" s="100"/>
      <c r="K213" s="100"/>
      <c r="L213" s="100"/>
    </row>
    <row r="214" spans="1:12" ht="14">
      <c r="A214" s="2"/>
      <c r="B214" s="95"/>
      <c r="C214" s="43" t="s">
        <v>452</v>
      </c>
      <c r="D214" s="97" t="s">
        <v>453</v>
      </c>
      <c r="E214" s="97" t="s">
        <v>454</v>
      </c>
      <c r="F214" s="72" t="s">
        <v>72</v>
      </c>
      <c r="G214" s="99">
        <v>278</v>
      </c>
      <c r="H214" s="73">
        <f t="shared" ref="H214:H221" si="23">G214/12</f>
        <v>23.166666666666668</v>
      </c>
      <c r="I214" s="74"/>
      <c r="J214" s="100"/>
      <c r="K214" s="100"/>
      <c r="L214" s="100"/>
    </row>
    <row r="215" spans="1:12" ht="14">
      <c r="A215" s="2"/>
      <c r="B215" s="2"/>
      <c r="C215" s="3" t="s">
        <v>455</v>
      </c>
      <c r="D215" s="8" t="s">
        <v>453</v>
      </c>
      <c r="E215" s="8" t="s">
        <v>456</v>
      </c>
      <c r="F215" s="44" t="s">
        <v>72</v>
      </c>
      <c r="G215" s="91">
        <v>288</v>
      </c>
      <c r="H215" s="39">
        <f t="shared" si="23"/>
        <v>24</v>
      </c>
      <c r="I215" s="54" t="s">
        <v>457</v>
      </c>
      <c r="J215" s="100"/>
      <c r="K215" s="100"/>
      <c r="L215" s="100"/>
    </row>
    <row r="216" spans="1:12" ht="14">
      <c r="A216" s="2"/>
      <c r="B216" s="2"/>
      <c r="C216" s="3" t="s">
        <v>458</v>
      </c>
      <c r="D216" s="8" t="s">
        <v>46</v>
      </c>
      <c r="E216" s="8" t="s">
        <v>459</v>
      </c>
      <c r="F216" s="44" t="s">
        <v>72</v>
      </c>
      <c r="G216" s="91">
        <v>228</v>
      </c>
      <c r="H216" s="39">
        <f t="shared" si="23"/>
        <v>19</v>
      </c>
      <c r="I216" s="54"/>
      <c r="J216" s="100"/>
      <c r="K216" s="100"/>
      <c r="L216" s="100"/>
    </row>
    <row r="217" spans="1:12" ht="14">
      <c r="A217" s="2"/>
      <c r="B217" s="2"/>
      <c r="C217" s="3" t="s">
        <v>460</v>
      </c>
      <c r="D217" s="8" t="s">
        <v>51</v>
      </c>
      <c r="E217" s="8" t="s">
        <v>461</v>
      </c>
      <c r="F217" s="44" t="s">
        <v>462</v>
      </c>
      <c r="G217" s="39">
        <v>216</v>
      </c>
      <c r="H217" s="39">
        <f t="shared" si="23"/>
        <v>18</v>
      </c>
      <c r="I217" s="54"/>
      <c r="J217" s="100"/>
      <c r="K217" s="100"/>
      <c r="L217" s="100"/>
    </row>
    <row r="218" spans="1:12" ht="28">
      <c r="A218" s="2"/>
      <c r="B218" s="2"/>
      <c r="C218" s="3" t="s">
        <v>463</v>
      </c>
      <c r="D218" s="65" t="s">
        <v>464</v>
      </c>
      <c r="E218" s="8" t="s">
        <v>465</v>
      </c>
      <c r="F218" s="44" t="s">
        <v>31</v>
      </c>
      <c r="G218" s="39">
        <v>240</v>
      </c>
      <c r="H218" s="39">
        <f t="shared" si="23"/>
        <v>20</v>
      </c>
      <c r="I218" s="54" t="s">
        <v>116</v>
      </c>
      <c r="J218" s="100"/>
      <c r="K218" s="100"/>
      <c r="L218" s="100"/>
    </row>
    <row r="219" spans="1:12" ht="28">
      <c r="A219" s="2"/>
      <c r="B219" s="2"/>
      <c r="C219" s="3" t="s">
        <v>466</v>
      </c>
      <c r="D219" s="65" t="s">
        <v>464</v>
      </c>
      <c r="E219" s="8" t="s">
        <v>467</v>
      </c>
      <c r="F219" s="44" t="s">
        <v>31</v>
      </c>
      <c r="G219" s="39">
        <v>216</v>
      </c>
      <c r="H219" s="39">
        <f t="shared" si="23"/>
        <v>18</v>
      </c>
      <c r="I219" s="54"/>
      <c r="J219" s="100"/>
      <c r="K219" s="100"/>
      <c r="L219" s="100"/>
    </row>
    <row r="220" spans="1:12" ht="14">
      <c r="A220" s="2"/>
      <c r="B220" s="2"/>
      <c r="C220" s="3" t="s">
        <v>468</v>
      </c>
      <c r="D220" s="8" t="s">
        <v>469</v>
      </c>
      <c r="E220" s="8" t="s">
        <v>470</v>
      </c>
      <c r="F220" s="44" t="s">
        <v>31</v>
      </c>
      <c r="G220" s="39">
        <v>216</v>
      </c>
      <c r="H220" s="39">
        <f t="shared" si="23"/>
        <v>18</v>
      </c>
      <c r="I220" s="54"/>
      <c r="J220" s="100"/>
      <c r="K220" s="100"/>
      <c r="L220" s="100"/>
    </row>
    <row r="221" spans="1:12" ht="14">
      <c r="A221" s="2"/>
      <c r="B221" s="2"/>
      <c r="C221" s="3" t="s">
        <v>471</v>
      </c>
      <c r="D221" s="8" t="s">
        <v>46</v>
      </c>
      <c r="E221" s="8" t="s">
        <v>472</v>
      </c>
      <c r="F221" s="44" t="s">
        <v>34</v>
      </c>
      <c r="G221" s="39">
        <v>216</v>
      </c>
      <c r="H221" s="39">
        <f t="shared" si="23"/>
        <v>18</v>
      </c>
      <c r="I221" s="92" t="s">
        <v>473</v>
      </c>
      <c r="J221" s="109"/>
      <c r="K221" s="109"/>
      <c r="L221" s="109"/>
    </row>
    <row r="222" spans="1:12" ht="18">
      <c r="A222" s="2"/>
      <c r="B222" s="2"/>
      <c r="C222" s="3"/>
      <c r="D222" s="8"/>
      <c r="E222" s="8"/>
      <c r="F222" s="44"/>
      <c r="G222" s="39"/>
      <c r="H222" s="88"/>
      <c r="I222" s="54"/>
      <c r="J222" s="143"/>
      <c r="K222" s="143"/>
      <c r="L222" s="143"/>
    </row>
    <row r="223" spans="1:12" ht="23">
      <c r="A223" s="144" t="s">
        <v>474</v>
      </c>
      <c r="B223" s="145"/>
      <c r="C223" s="146"/>
      <c r="D223" s="147"/>
      <c r="E223" s="148"/>
      <c r="F223" s="149"/>
      <c r="G223" s="149"/>
      <c r="H223" s="150"/>
      <c r="I223" s="151"/>
      <c r="J223" s="143"/>
      <c r="K223" s="143"/>
      <c r="L223" s="143"/>
    </row>
    <row r="224" spans="1:12" ht="20">
      <c r="A224" s="137"/>
      <c r="B224" s="137" t="s">
        <v>475</v>
      </c>
      <c r="C224" s="137"/>
      <c r="D224" s="138"/>
      <c r="E224" s="139"/>
      <c r="F224" s="140"/>
      <c r="G224" s="140"/>
      <c r="H224" s="152"/>
      <c r="I224" s="153"/>
      <c r="J224" s="142"/>
      <c r="K224" s="142"/>
      <c r="L224" s="142"/>
    </row>
    <row r="225" spans="1:12" ht="21">
      <c r="A225" s="2"/>
      <c r="B225" s="55" t="s">
        <v>476</v>
      </c>
      <c r="C225" s="56"/>
      <c r="D225" s="36"/>
      <c r="E225" s="37"/>
      <c r="F225" s="44"/>
      <c r="G225" s="39"/>
      <c r="H225" s="65"/>
      <c r="I225" s="54"/>
      <c r="J225" s="100"/>
      <c r="K225" s="100"/>
      <c r="L225" s="100"/>
    </row>
    <row r="226" spans="1:12" ht="14">
      <c r="A226" s="2"/>
      <c r="B226" s="2"/>
      <c r="C226" s="3" t="s">
        <v>477</v>
      </c>
      <c r="D226" s="8" t="s">
        <v>478</v>
      </c>
      <c r="E226" s="8" t="s">
        <v>479</v>
      </c>
      <c r="F226" s="44" t="s">
        <v>25</v>
      </c>
      <c r="G226" s="39">
        <v>108</v>
      </c>
      <c r="H226" s="39">
        <f t="shared" ref="H226:H228" si="24">G226/12</f>
        <v>9</v>
      </c>
      <c r="I226" s="54"/>
      <c r="J226" s="100"/>
      <c r="K226" s="100"/>
      <c r="L226" s="100"/>
    </row>
    <row r="227" spans="1:12" ht="14">
      <c r="A227" s="2"/>
      <c r="B227" s="2"/>
      <c r="C227" s="3" t="s">
        <v>480</v>
      </c>
      <c r="D227" s="8" t="s">
        <v>478</v>
      </c>
      <c r="E227" s="8" t="s">
        <v>481</v>
      </c>
      <c r="F227" s="44" t="s">
        <v>31</v>
      </c>
      <c r="G227" s="39">
        <v>150</v>
      </c>
      <c r="H227" s="39">
        <f t="shared" si="24"/>
        <v>12.5</v>
      </c>
      <c r="I227" s="54" t="s">
        <v>226</v>
      </c>
      <c r="J227" s="2"/>
      <c r="K227" s="2"/>
      <c r="L227" s="2"/>
    </row>
    <row r="228" spans="1:12" ht="14">
      <c r="A228" s="2"/>
      <c r="B228" s="2"/>
      <c r="C228" s="3" t="s">
        <v>482</v>
      </c>
      <c r="D228" s="8" t="s">
        <v>483</v>
      </c>
      <c r="E228" s="8" t="s">
        <v>484</v>
      </c>
      <c r="F228" s="44" t="s">
        <v>34</v>
      </c>
      <c r="G228" s="91">
        <v>114</v>
      </c>
      <c r="H228" s="39">
        <f t="shared" si="24"/>
        <v>9.5</v>
      </c>
      <c r="I228" s="54"/>
      <c r="J228" s="2"/>
      <c r="K228" s="2"/>
      <c r="L228" s="2"/>
    </row>
    <row r="229" spans="1:12" ht="21">
      <c r="A229" s="2"/>
      <c r="B229" s="55"/>
      <c r="C229" s="3"/>
      <c r="D229" s="4"/>
      <c r="E229" s="8"/>
      <c r="F229" s="44"/>
      <c r="G229" s="39"/>
      <c r="H229" s="65"/>
      <c r="I229" s="54"/>
      <c r="J229" s="44"/>
      <c r="K229" s="44"/>
      <c r="L229" s="44"/>
    </row>
    <row r="230" spans="1:12" ht="21">
      <c r="A230" s="2"/>
      <c r="B230" s="55" t="s">
        <v>485</v>
      </c>
      <c r="C230" s="56"/>
      <c r="D230" s="36"/>
      <c r="E230" s="37"/>
      <c r="F230" s="58"/>
      <c r="G230" s="39"/>
      <c r="H230" s="65"/>
      <c r="I230" s="54"/>
      <c r="J230" s="44"/>
      <c r="K230" s="44"/>
      <c r="L230" s="44"/>
    </row>
    <row r="231" spans="1:12" ht="15">
      <c r="A231" s="2"/>
      <c r="B231" s="95"/>
      <c r="C231" s="43" t="s">
        <v>486</v>
      </c>
      <c r="D231" s="97" t="s">
        <v>478</v>
      </c>
      <c r="E231" s="97" t="s">
        <v>487</v>
      </c>
      <c r="F231" s="72" t="s">
        <v>25</v>
      </c>
      <c r="G231" s="73" t="s">
        <v>488</v>
      </c>
      <c r="H231" s="86">
        <v>9</v>
      </c>
      <c r="I231" s="74" t="s">
        <v>489</v>
      </c>
      <c r="J231" s="44"/>
      <c r="K231" s="44"/>
      <c r="L231" s="44"/>
    </row>
    <row r="232" spans="1:12" ht="15">
      <c r="A232" s="2"/>
      <c r="B232" s="2"/>
      <c r="C232" s="3" t="s">
        <v>490</v>
      </c>
      <c r="D232" s="8" t="s">
        <v>483</v>
      </c>
      <c r="E232" s="8" t="s">
        <v>491</v>
      </c>
      <c r="F232" s="44" t="s">
        <v>34</v>
      </c>
      <c r="G232" s="39" t="s">
        <v>492</v>
      </c>
      <c r="H232" s="88">
        <f>132/12</f>
        <v>11</v>
      </c>
      <c r="I232" s="54" t="s">
        <v>489</v>
      </c>
      <c r="J232" s="44"/>
      <c r="K232" s="44"/>
      <c r="L232" s="44"/>
    </row>
    <row r="233" spans="1:12" ht="21">
      <c r="A233" s="2"/>
      <c r="B233" s="55"/>
      <c r="C233" s="3"/>
      <c r="D233" s="4"/>
      <c r="E233" s="8"/>
      <c r="F233" s="44"/>
      <c r="G233" s="39"/>
      <c r="H233" s="65"/>
      <c r="I233" s="54"/>
      <c r="J233" s="44"/>
      <c r="K233" s="44"/>
      <c r="L233" s="44"/>
    </row>
    <row r="234" spans="1:12" ht="23">
      <c r="A234" s="154" t="s">
        <v>493</v>
      </c>
      <c r="B234" s="155"/>
      <c r="C234" s="156"/>
      <c r="D234" s="157"/>
      <c r="E234" s="158"/>
      <c r="F234" s="159"/>
      <c r="G234" s="160"/>
      <c r="H234" s="161"/>
      <c r="I234" s="162"/>
      <c r="J234" s="143"/>
      <c r="K234" s="143"/>
      <c r="L234" s="143"/>
    </row>
    <row r="235" spans="1:12" ht="20">
      <c r="A235" s="137"/>
      <c r="B235" s="137" t="s">
        <v>494</v>
      </c>
      <c r="C235" s="137"/>
      <c r="D235" s="138"/>
      <c r="E235" s="139"/>
      <c r="F235" s="140"/>
      <c r="G235" s="140"/>
      <c r="H235" s="152"/>
      <c r="I235" s="153"/>
      <c r="J235" s="142"/>
      <c r="K235" s="142"/>
      <c r="L235" s="142"/>
    </row>
    <row r="236" spans="1:12" ht="21">
      <c r="A236" s="2"/>
      <c r="B236" s="55" t="s">
        <v>495</v>
      </c>
      <c r="C236" s="56"/>
      <c r="D236" s="36"/>
      <c r="E236" s="37"/>
      <c r="F236" s="58"/>
      <c r="G236" s="66"/>
      <c r="H236" s="65"/>
      <c r="I236" s="54"/>
      <c r="J236" s="110"/>
      <c r="K236" s="110"/>
      <c r="L236" s="110"/>
    </row>
    <row r="237" spans="1:12" ht="14">
      <c r="A237" s="2"/>
      <c r="B237" s="95"/>
      <c r="C237" s="3" t="s">
        <v>496</v>
      </c>
      <c r="D237" s="8" t="s">
        <v>497</v>
      </c>
      <c r="E237" s="8" t="s">
        <v>498</v>
      </c>
      <c r="F237" s="44" t="s">
        <v>25</v>
      </c>
      <c r="G237" s="91">
        <v>168</v>
      </c>
      <c r="H237" s="86">
        <f t="shared" ref="H237:H242" si="25">G237/12</f>
        <v>14</v>
      </c>
      <c r="I237" s="74" t="s">
        <v>116</v>
      </c>
      <c r="J237" s="110"/>
      <c r="K237" s="110"/>
      <c r="L237" s="110"/>
    </row>
    <row r="238" spans="1:12" ht="14">
      <c r="A238" s="110"/>
      <c r="B238" s="2"/>
      <c r="C238" s="3" t="s">
        <v>499</v>
      </c>
      <c r="D238" s="8" t="s">
        <v>497</v>
      </c>
      <c r="E238" s="8" t="s">
        <v>500</v>
      </c>
      <c r="F238" s="44" t="s">
        <v>25</v>
      </c>
      <c r="G238" s="91">
        <v>168</v>
      </c>
      <c r="H238" s="88">
        <f t="shared" si="25"/>
        <v>14</v>
      </c>
      <c r="I238" s="54" t="s">
        <v>116</v>
      </c>
      <c r="J238" s="110"/>
      <c r="K238" s="110"/>
      <c r="L238" s="110"/>
    </row>
    <row r="239" spans="1:12" ht="14" hidden="1">
      <c r="A239" s="110"/>
      <c r="B239" s="2"/>
      <c r="C239" s="3" t="s">
        <v>501</v>
      </c>
      <c r="D239" s="8" t="s">
        <v>497</v>
      </c>
      <c r="E239" s="8" t="s">
        <v>502</v>
      </c>
      <c r="F239" s="44" t="s">
        <v>25</v>
      </c>
      <c r="G239" s="89">
        <v>174</v>
      </c>
      <c r="H239" s="88">
        <f t="shared" si="25"/>
        <v>14.5</v>
      </c>
      <c r="I239" s="54" t="s">
        <v>503</v>
      </c>
      <c r="J239" s="110"/>
      <c r="K239" s="110"/>
      <c r="L239" s="110"/>
    </row>
    <row r="240" spans="1:12" ht="14">
      <c r="A240" s="110"/>
      <c r="B240" s="2"/>
      <c r="C240" s="3" t="s">
        <v>504</v>
      </c>
      <c r="D240" s="8" t="s">
        <v>505</v>
      </c>
      <c r="E240" s="8" t="s">
        <v>506</v>
      </c>
      <c r="F240" s="44" t="s">
        <v>34</v>
      </c>
      <c r="G240" s="91">
        <v>156</v>
      </c>
      <c r="H240" s="88">
        <f t="shared" si="25"/>
        <v>13</v>
      </c>
      <c r="I240" s="54" t="s">
        <v>507</v>
      </c>
      <c r="J240" s="110"/>
      <c r="K240" s="110"/>
      <c r="L240" s="110"/>
    </row>
    <row r="241" spans="1:12" ht="14" hidden="1">
      <c r="A241" s="110"/>
      <c r="B241" s="2"/>
      <c r="C241" s="3" t="s">
        <v>508</v>
      </c>
      <c r="D241" s="8" t="s">
        <v>505</v>
      </c>
      <c r="E241" s="8" t="s">
        <v>509</v>
      </c>
      <c r="F241" s="44" t="s">
        <v>34</v>
      </c>
      <c r="G241" s="91">
        <v>162</v>
      </c>
      <c r="H241" s="88">
        <f t="shared" si="25"/>
        <v>13.5</v>
      </c>
      <c r="I241" s="54"/>
      <c r="J241" s="110"/>
      <c r="K241" s="110"/>
      <c r="L241" s="110"/>
    </row>
    <row r="242" spans="1:12" ht="14">
      <c r="A242" s="110"/>
      <c r="B242" s="2"/>
      <c r="C242" s="3" t="s">
        <v>510</v>
      </c>
      <c r="D242" s="8" t="s">
        <v>511</v>
      </c>
      <c r="E242" s="8" t="s">
        <v>512</v>
      </c>
      <c r="F242" s="44" t="s">
        <v>34</v>
      </c>
      <c r="G242" s="91">
        <v>168</v>
      </c>
      <c r="H242" s="88">
        <f t="shared" si="25"/>
        <v>14</v>
      </c>
      <c r="I242" s="54"/>
      <c r="J242" s="110"/>
      <c r="K242" s="110"/>
      <c r="L242" s="110"/>
    </row>
    <row r="243" spans="1:12" ht="14">
      <c r="A243" s="110"/>
      <c r="B243" s="110"/>
      <c r="C243" s="163"/>
      <c r="D243" s="87"/>
      <c r="E243" s="109"/>
      <c r="F243" s="164"/>
      <c r="G243" s="39"/>
      <c r="H243" s="65"/>
      <c r="I243" s="54"/>
      <c r="J243" s="110"/>
      <c r="K243" s="110"/>
      <c r="L243" s="110"/>
    </row>
    <row r="244" spans="1:12" ht="21">
      <c r="A244" s="110"/>
      <c r="B244" s="55" t="s">
        <v>513</v>
      </c>
      <c r="C244" s="56"/>
      <c r="D244" s="36"/>
      <c r="E244" s="37"/>
      <c r="F244" s="58"/>
      <c r="G244" s="66"/>
      <c r="H244" s="65"/>
      <c r="I244" s="54"/>
      <c r="J244" s="110"/>
      <c r="K244" s="110"/>
      <c r="L244" s="110"/>
    </row>
    <row r="245" spans="1:12" ht="56">
      <c r="A245" s="165"/>
      <c r="B245" s="166"/>
      <c r="C245" s="3" t="s">
        <v>514</v>
      </c>
      <c r="D245" s="167" t="s">
        <v>515</v>
      </c>
      <c r="E245" s="109" t="s">
        <v>516</v>
      </c>
      <c r="F245" s="168" t="s">
        <v>517</v>
      </c>
      <c r="G245" s="91">
        <v>138</v>
      </c>
      <c r="H245" s="169">
        <f>132/12</f>
        <v>11</v>
      </c>
      <c r="I245" s="170"/>
      <c r="J245" s="110"/>
      <c r="K245" s="110"/>
      <c r="L245" s="110"/>
    </row>
    <row r="246" spans="1:12" ht="56">
      <c r="A246" s="110"/>
      <c r="B246" s="2"/>
      <c r="C246" s="3" t="s">
        <v>518</v>
      </c>
      <c r="D246" s="167" t="s">
        <v>515</v>
      </c>
      <c r="E246" s="109" t="s">
        <v>519</v>
      </c>
      <c r="F246" s="168" t="s">
        <v>517</v>
      </c>
      <c r="G246" s="91">
        <v>144</v>
      </c>
      <c r="H246" s="88">
        <f>168/12</f>
        <v>14</v>
      </c>
      <c r="I246" s="54" t="s">
        <v>520</v>
      </c>
      <c r="J246" s="110"/>
      <c r="K246" s="110"/>
      <c r="L246" s="110"/>
    </row>
    <row r="247" spans="1:12" ht="56">
      <c r="A247" s="110"/>
      <c r="B247" s="2"/>
      <c r="C247" s="3" t="s">
        <v>521</v>
      </c>
      <c r="D247" s="65" t="s">
        <v>515</v>
      </c>
      <c r="E247" s="8" t="s">
        <v>522</v>
      </c>
      <c r="F247" s="44" t="s">
        <v>34</v>
      </c>
      <c r="G247" s="91">
        <v>138</v>
      </c>
      <c r="H247" s="88">
        <f>132/12</f>
        <v>11</v>
      </c>
      <c r="I247" s="54" t="s">
        <v>116</v>
      </c>
      <c r="J247" s="110"/>
      <c r="K247" s="110"/>
      <c r="L247" s="110"/>
    </row>
    <row r="248" spans="1:12" ht="56">
      <c r="A248" s="110"/>
      <c r="B248" s="2"/>
      <c r="C248" s="3" t="s">
        <v>523</v>
      </c>
      <c r="D248" s="65" t="s">
        <v>515</v>
      </c>
      <c r="E248" s="8" t="s">
        <v>524</v>
      </c>
      <c r="F248" s="44" t="s">
        <v>34</v>
      </c>
      <c r="G248" s="89">
        <v>144</v>
      </c>
      <c r="H248" s="88">
        <f t="shared" ref="H248:H249" si="26">168/12</f>
        <v>14</v>
      </c>
      <c r="I248" s="54" t="s">
        <v>520</v>
      </c>
      <c r="J248" s="110"/>
      <c r="K248" s="110"/>
      <c r="L248" s="110"/>
    </row>
    <row r="249" spans="1:12" ht="14">
      <c r="A249" s="110"/>
      <c r="B249" s="2"/>
      <c r="C249" s="3" t="s">
        <v>525</v>
      </c>
      <c r="D249" s="8" t="s">
        <v>526</v>
      </c>
      <c r="E249" s="8" t="s">
        <v>527</v>
      </c>
      <c r="F249" s="44" t="s">
        <v>34</v>
      </c>
      <c r="G249" s="91">
        <v>168</v>
      </c>
      <c r="H249" s="88">
        <f t="shared" si="26"/>
        <v>14</v>
      </c>
      <c r="I249" s="54"/>
      <c r="J249" s="110"/>
      <c r="K249" s="110"/>
      <c r="L249" s="110"/>
    </row>
    <row r="250" spans="1:12" ht="14">
      <c r="A250" s="2"/>
      <c r="B250" s="2"/>
      <c r="C250" s="3"/>
      <c r="D250" s="8"/>
      <c r="E250" s="8"/>
      <c r="F250" s="44"/>
      <c r="G250" s="39"/>
      <c r="H250" s="88"/>
      <c r="I250" s="54"/>
      <c r="J250" s="109"/>
      <c r="K250" s="109"/>
      <c r="L250" s="109"/>
    </row>
    <row r="251" spans="1:12" ht="14">
      <c r="A251" s="2"/>
      <c r="B251" s="2"/>
      <c r="C251" s="3"/>
      <c r="D251" s="4"/>
      <c r="E251" s="8"/>
      <c r="F251" s="44"/>
      <c r="G251" s="80"/>
      <c r="H251" s="45"/>
      <c r="I251" s="171"/>
      <c r="J251" s="109"/>
      <c r="K251" s="109"/>
      <c r="L251" s="109"/>
    </row>
    <row r="252" spans="1:12" ht="14">
      <c r="A252" s="2"/>
      <c r="B252" s="2"/>
      <c r="C252" s="3"/>
      <c r="D252" s="4"/>
      <c r="E252" s="8"/>
      <c r="F252" s="44"/>
      <c r="G252" s="80"/>
      <c r="H252" s="45"/>
      <c r="I252" s="171"/>
      <c r="J252" s="109"/>
      <c r="K252" s="109"/>
      <c r="L252" s="109"/>
    </row>
    <row r="253" spans="1:12" ht="14">
      <c r="A253" s="2"/>
      <c r="B253" s="2"/>
      <c r="C253" s="3"/>
      <c r="D253" s="4"/>
      <c r="E253" s="8"/>
      <c r="F253" s="44"/>
      <c r="G253" s="80"/>
      <c r="H253" s="45"/>
      <c r="I253" s="171"/>
      <c r="J253" s="109"/>
      <c r="K253" s="109"/>
      <c r="L253" s="109"/>
    </row>
    <row r="254" spans="1:12" ht="14">
      <c r="A254" s="2"/>
      <c r="B254" s="2"/>
      <c r="C254" s="3"/>
      <c r="D254" s="4"/>
      <c r="E254" s="8"/>
      <c r="F254" s="44"/>
      <c r="G254" s="80"/>
      <c r="H254" s="45"/>
      <c r="I254" s="171"/>
      <c r="J254" s="109"/>
      <c r="K254" s="109"/>
      <c r="L254" s="109"/>
    </row>
    <row r="255" spans="1:12" ht="14">
      <c r="A255" s="2"/>
      <c r="B255" s="2"/>
      <c r="C255" s="3"/>
      <c r="D255" s="4"/>
      <c r="E255" s="8"/>
      <c r="F255" s="44"/>
      <c r="G255" s="80"/>
      <c r="H255" s="45"/>
      <c r="I255" s="171"/>
      <c r="J255" s="109"/>
      <c r="K255" s="109"/>
      <c r="L255" s="109"/>
    </row>
    <row r="256" spans="1:12" ht="14">
      <c r="A256" s="2"/>
      <c r="B256" s="2"/>
      <c r="C256" s="3"/>
      <c r="D256" s="4"/>
      <c r="E256" s="8"/>
      <c r="F256" s="44"/>
      <c r="G256" s="80"/>
      <c r="H256" s="45"/>
      <c r="I256" s="171"/>
      <c r="J256" s="109"/>
      <c r="K256" s="109"/>
      <c r="L256" s="109"/>
    </row>
    <row r="257" spans="1:12" ht="14">
      <c r="A257" s="2"/>
      <c r="B257" s="2"/>
      <c r="C257" s="3"/>
      <c r="D257" s="4"/>
      <c r="E257" s="8"/>
      <c r="F257" s="44"/>
      <c r="G257" s="80"/>
      <c r="H257" s="45"/>
      <c r="I257" s="171"/>
      <c r="J257" s="109"/>
      <c r="K257" s="109"/>
      <c r="L257" s="109"/>
    </row>
    <row r="258" spans="1:12" ht="14">
      <c r="A258" s="2"/>
      <c r="B258" s="2"/>
      <c r="C258" s="3"/>
      <c r="D258" s="4"/>
      <c r="E258" s="8"/>
      <c r="F258" s="44"/>
      <c r="G258" s="80"/>
      <c r="H258" s="45"/>
      <c r="I258" s="171"/>
      <c r="J258" s="109"/>
      <c r="K258" s="109"/>
      <c r="L258" s="109"/>
    </row>
    <row r="259" spans="1:12" ht="14">
      <c r="A259" s="2"/>
      <c r="B259" s="2"/>
      <c r="C259" s="3"/>
      <c r="D259" s="4"/>
      <c r="E259" s="8"/>
      <c r="F259" s="44"/>
      <c r="G259" s="80"/>
      <c r="H259" s="45"/>
      <c r="I259" s="171"/>
      <c r="J259" s="109"/>
      <c r="K259" s="109"/>
      <c r="L259" s="109"/>
    </row>
    <row r="260" spans="1:12" ht="14">
      <c r="A260" s="2"/>
      <c r="B260" s="2"/>
      <c r="C260" s="3"/>
      <c r="D260" s="4"/>
      <c r="E260" s="8"/>
      <c r="F260" s="44"/>
      <c r="G260" s="80"/>
      <c r="H260" s="45"/>
      <c r="I260" s="171"/>
      <c r="J260" s="109"/>
      <c r="K260" s="109"/>
      <c r="L260" s="109"/>
    </row>
    <row r="261" spans="1:12" ht="14">
      <c r="A261" s="2"/>
      <c r="B261" s="2"/>
      <c r="C261" s="3"/>
      <c r="D261" s="4"/>
      <c r="E261" s="8"/>
      <c r="F261" s="44"/>
      <c r="G261" s="80"/>
      <c r="H261" s="45"/>
      <c r="I261" s="171"/>
      <c r="J261" s="109"/>
      <c r="K261" s="109"/>
      <c r="L261" s="109"/>
    </row>
    <row r="262" spans="1:12" ht="14">
      <c r="A262" s="2"/>
      <c r="B262" s="2"/>
      <c r="C262" s="3"/>
      <c r="D262" s="4"/>
      <c r="E262" s="8"/>
      <c r="F262" s="44"/>
      <c r="G262" s="80"/>
      <c r="H262" s="45"/>
      <c r="I262" s="171"/>
      <c r="J262" s="109"/>
      <c r="K262" s="109"/>
      <c r="L262" s="109"/>
    </row>
    <row r="263" spans="1:12" ht="14">
      <c r="A263" s="2"/>
      <c r="B263" s="2"/>
      <c r="C263" s="3"/>
      <c r="D263" s="4"/>
      <c r="E263" s="8"/>
      <c r="F263" s="44"/>
      <c r="G263" s="80"/>
      <c r="H263" s="45"/>
      <c r="I263" s="171"/>
      <c r="J263" s="109"/>
      <c r="K263" s="109"/>
      <c r="L263" s="109"/>
    </row>
    <row r="264" spans="1:12" ht="14">
      <c r="A264" s="2"/>
      <c r="B264" s="2"/>
      <c r="C264" s="3"/>
      <c r="D264" s="4"/>
      <c r="E264" s="8"/>
      <c r="F264" s="44"/>
      <c r="G264" s="80"/>
      <c r="H264" s="45"/>
      <c r="I264" s="171"/>
      <c r="J264" s="109"/>
      <c r="K264" s="109"/>
      <c r="L264" s="109"/>
    </row>
    <row r="265" spans="1:12" ht="14">
      <c r="A265" s="2"/>
      <c r="B265" s="2"/>
      <c r="C265" s="3"/>
      <c r="D265" s="4"/>
      <c r="E265" s="8"/>
      <c r="F265" s="44"/>
      <c r="G265" s="80"/>
      <c r="H265" s="45"/>
      <c r="I265" s="171"/>
      <c r="J265" s="109"/>
      <c r="K265" s="109"/>
      <c r="L265" s="109"/>
    </row>
    <row r="266" spans="1:12" ht="14">
      <c r="A266" s="2"/>
      <c r="B266" s="2"/>
      <c r="C266" s="3"/>
      <c r="D266" s="4"/>
      <c r="E266" s="8"/>
      <c r="F266" s="44"/>
      <c r="G266" s="80"/>
      <c r="H266" s="45"/>
      <c r="I266" s="171"/>
      <c r="J266" s="109"/>
      <c r="K266" s="109"/>
      <c r="L266" s="109"/>
    </row>
    <row r="267" spans="1:12" ht="14">
      <c r="A267" s="2"/>
      <c r="B267" s="2"/>
      <c r="C267" s="3"/>
      <c r="D267" s="4"/>
      <c r="E267" s="8"/>
      <c r="F267" s="44"/>
      <c r="G267" s="80"/>
      <c r="H267" s="45"/>
      <c r="I267" s="171"/>
      <c r="J267" s="109"/>
      <c r="K267" s="109"/>
      <c r="L267" s="109"/>
    </row>
    <row r="268" spans="1:12" ht="14">
      <c r="A268" s="2"/>
      <c r="B268" s="2"/>
      <c r="C268" s="3"/>
      <c r="D268" s="4"/>
      <c r="E268" s="8"/>
      <c r="F268" s="44"/>
      <c r="G268" s="80"/>
      <c r="H268" s="45"/>
      <c r="I268" s="171"/>
      <c r="J268" s="109"/>
      <c r="K268" s="109"/>
      <c r="L268" s="109"/>
    </row>
    <row r="269" spans="1:12" ht="14">
      <c r="A269" s="2"/>
      <c r="B269" s="2"/>
      <c r="C269" s="3"/>
      <c r="D269" s="4"/>
      <c r="E269" s="8"/>
      <c r="F269" s="44"/>
      <c r="G269" s="80"/>
      <c r="H269" s="45"/>
      <c r="I269" s="171"/>
      <c r="J269" s="109"/>
      <c r="K269" s="109"/>
      <c r="L269" s="109"/>
    </row>
    <row r="270" spans="1:12" ht="14">
      <c r="A270" s="2"/>
      <c r="B270" s="2"/>
      <c r="C270" s="3"/>
      <c r="D270" s="4"/>
      <c r="E270" s="8"/>
      <c r="F270" s="44"/>
      <c r="G270" s="80"/>
      <c r="H270" s="45"/>
      <c r="I270" s="171"/>
      <c r="J270" s="109"/>
      <c r="K270" s="109"/>
      <c r="L270" s="109"/>
    </row>
    <row r="271" spans="1:12" ht="14">
      <c r="A271" s="2"/>
      <c r="B271" s="2"/>
      <c r="C271" s="3"/>
      <c r="D271" s="4"/>
      <c r="E271" s="8"/>
      <c r="F271" s="44"/>
      <c r="G271" s="80"/>
      <c r="H271" s="45"/>
      <c r="I271" s="171"/>
      <c r="J271" s="109"/>
      <c r="K271" s="109"/>
      <c r="L271" s="109"/>
    </row>
    <row r="272" spans="1:12" ht="14">
      <c r="A272" s="2"/>
      <c r="B272" s="2"/>
      <c r="C272" s="3"/>
      <c r="D272" s="4"/>
      <c r="E272" s="8"/>
      <c r="F272" s="44"/>
      <c r="G272" s="80"/>
      <c r="H272" s="45"/>
      <c r="I272" s="171"/>
      <c r="J272" s="109"/>
      <c r="K272" s="109"/>
      <c r="L272" s="109"/>
    </row>
    <row r="273" spans="1:12" ht="14">
      <c r="A273" s="2"/>
      <c r="B273" s="2"/>
      <c r="C273" s="3"/>
      <c r="D273" s="4"/>
      <c r="E273" s="8"/>
      <c r="F273" s="44"/>
      <c r="G273" s="80"/>
      <c r="H273" s="45"/>
      <c r="I273" s="171"/>
      <c r="J273" s="109"/>
      <c r="K273" s="109"/>
      <c r="L273" s="109"/>
    </row>
    <row r="274" spans="1:12" ht="14">
      <c r="A274" s="2"/>
      <c r="B274" s="2"/>
      <c r="C274" s="3"/>
      <c r="D274" s="4"/>
      <c r="E274" s="8"/>
      <c r="F274" s="44"/>
      <c r="G274" s="80"/>
      <c r="H274" s="45"/>
      <c r="I274" s="171"/>
      <c r="J274" s="109"/>
      <c r="K274" s="109"/>
      <c r="L274" s="109"/>
    </row>
    <row r="275" spans="1:12" ht="14">
      <c r="A275" s="2"/>
      <c r="B275" s="2"/>
      <c r="C275" s="3"/>
      <c r="D275" s="4"/>
      <c r="E275" s="8"/>
      <c r="F275" s="44"/>
      <c r="G275" s="80"/>
      <c r="H275" s="45"/>
      <c r="I275" s="171"/>
      <c r="J275" s="109"/>
      <c r="K275" s="109"/>
      <c r="L275" s="109"/>
    </row>
    <row r="276" spans="1:12" ht="14">
      <c r="A276" s="2"/>
      <c r="B276" s="2"/>
      <c r="C276" s="3"/>
      <c r="D276" s="4"/>
      <c r="E276" s="8"/>
      <c r="F276" s="44"/>
      <c r="G276" s="80"/>
      <c r="H276" s="45"/>
      <c r="I276" s="171"/>
      <c r="J276" s="109"/>
      <c r="K276" s="109"/>
      <c r="L276" s="109"/>
    </row>
    <row r="277" spans="1:12" ht="14">
      <c r="A277" s="2"/>
      <c r="B277" s="2"/>
      <c r="C277" s="3"/>
      <c r="D277" s="4"/>
      <c r="E277" s="8"/>
      <c r="F277" s="44"/>
      <c r="G277" s="80"/>
      <c r="H277" s="45"/>
      <c r="I277" s="171"/>
      <c r="J277" s="109"/>
      <c r="K277" s="109"/>
      <c r="L277" s="109"/>
    </row>
    <row r="278" spans="1:12" ht="14">
      <c r="A278" s="2"/>
      <c r="B278" s="2"/>
      <c r="C278" s="3"/>
      <c r="D278" s="4"/>
      <c r="E278" s="8"/>
      <c r="F278" s="44"/>
      <c r="G278" s="80"/>
      <c r="H278" s="45"/>
      <c r="I278" s="171"/>
      <c r="J278" s="109"/>
      <c r="K278" s="109"/>
      <c r="L278" s="109"/>
    </row>
    <row r="279" spans="1:12" ht="14">
      <c r="A279" s="2"/>
      <c r="B279" s="2"/>
      <c r="C279" s="3"/>
      <c r="D279" s="4"/>
      <c r="E279" s="8"/>
      <c r="F279" s="44"/>
      <c r="G279" s="80"/>
      <c r="H279" s="45"/>
      <c r="I279" s="171"/>
      <c r="J279" s="109"/>
      <c r="K279" s="109"/>
      <c r="L279" s="109"/>
    </row>
    <row r="280" spans="1:12" ht="14">
      <c r="A280" s="2"/>
      <c r="B280" s="2"/>
      <c r="C280" s="3"/>
      <c r="D280" s="4"/>
      <c r="E280" s="8"/>
      <c r="F280" s="44"/>
      <c r="G280" s="80"/>
      <c r="H280" s="45"/>
      <c r="I280" s="171"/>
      <c r="J280" s="109"/>
      <c r="K280" s="109"/>
      <c r="L280" s="109"/>
    </row>
    <row r="281" spans="1:12" ht="14">
      <c r="A281" s="2"/>
      <c r="B281" s="2"/>
      <c r="C281" s="3"/>
      <c r="D281" s="4"/>
      <c r="E281" s="8"/>
      <c r="F281" s="44"/>
      <c r="G281" s="80"/>
      <c r="H281" s="45"/>
      <c r="I281" s="171"/>
      <c r="J281" s="109"/>
      <c r="K281" s="109"/>
      <c r="L281" s="109"/>
    </row>
    <row r="282" spans="1:12" ht="14">
      <c r="A282" s="2"/>
      <c r="B282" s="2"/>
      <c r="C282" s="3"/>
      <c r="D282" s="4"/>
      <c r="E282" s="8"/>
      <c r="F282" s="44"/>
      <c r="G282" s="80"/>
      <c r="H282" s="45"/>
      <c r="I282" s="171"/>
      <c r="J282" s="109"/>
      <c r="K282" s="109"/>
      <c r="L282" s="109"/>
    </row>
    <row r="283" spans="1:12" ht="14">
      <c r="A283" s="2"/>
      <c r="B283" s="2"/>
      <c r="C283" s="3"/>
      <c r="D283" s="4"/>
      <c r="E283" s="8"/>
      <c r="F283" s="44"/>
      <c r="G283" s="80"/>
      <c r="H283" s="45"/>
      <c r="I283" s="171"/>
      <c r="J283" s="109"/>
      <c r="K283" s="109"/>
      <c r="L283" s="109"/>
    </row>
    <row r="284" spans="1:12" ht="14">
      <c r="A284" s="2"/>
      <c r="B284" s="2"/>
      <c r="C284" s="3"/>
      <c r="D284" s="4"/>
      <c r="E284" s="8"/>
      <c r="F284" s="44"/>
      <c r="G284" s="80"/>
      <c r="H284" s="45"/>
      <c r="I284" s="171"/>
      <c r="J284" s="109"/>
      <c r="K284" s="109"/>
      <c r="L284" s="109"/>
    </row>
    <row r="285" spans="1:12" ht="14">
      <c r="A285" s="2"/>
      <c r="B285" s="2"/>
      <c r="C285" s="3"/>
      <c r="D285" s="4"/>
      <c r="E285" s="8"/>
      <c r="F285" s="44"/>
      <c r="G285" s="80"/>
      <c r="H285" s="45"/>
      <c r="I285" s="171"/>
      <c r="J285" s="109"/>
      <c r="K285" s="109"/>
      <c r="L285" s="109"/>
    </row>
    <row r="286" spans="1:12" ht="14">
      <c r="A286" s="2"/>
      <c r="B286" s="2"/>
      <c r="C286" s="3"/>
      <c r="D286" s="4"/>
      <c r="E286" s="8"/>
      <c r="F286" s="44"/>
      <c r="G286" s="80"/>
      <c r="H286" s="45"/>
      <c r="I286" s="171"/>
      <c r="J286" s="109"/>
      <c r="K286" s="109"/>
      <c r="L286" s="109"/>
    </row>
    <row r="287" spans="1:12" ht="14">
      <c r="A287" s="2"/>
      <c r="B287" s="2"/>
      <c r="C287" s="3"/>
      <c r="D287" s="4"/>
      <c r="E287" s="8"/>
      <c r="F287" s="44"/>
      <c r="G287" s="80"/>
      <c r="H287" s="45"/>
      <c r="I287" s="171"/>
      <c r="J287" s="109"/>
      <c r="K287" s="109"/>
      <c r="L287" s="109"/>
    </row>
    <row r="288" spans="1:12" ht="14">
      <c r="A288" s="2"/>
      <c r="B288" s="2"/>
      <c r="C288" s="3"/>
      <c r="D288" s="4"/>
      <c r="E288" s="8"/>
      <c r="F288" s="44"/>
      <c r="G288" s="80"/>
      <c r="H288" s="45"/>
      <c r="I288" s="171"/>
      <c r="J288" s="109"/>
      <c r="K288" s="109"/>
      <c r="L288" s="109"/>
    </row>
    <row r="289" spans="1:12" ht="14">
      <c r="A289" s="2"/>
      <c r="B289" s="2"/>
      <c r="C289" s="3"/>
      <c r="D289" s="4"/>
      <c r="E289" s="8"/>
      <c r="F289" s="44"/>
      <c r="G289" s="80"/>
      <c r="H289" s="45"/>
      <c r="I289" s="171"/>
      <c r="J289" s="109"/>
      <c r="K289" s="109"/>
      <c r="L289" s="109"/>
    </row>
    <row r="290" spans="1:12" ht="14">
      <c r="A290" s="2"/>
      <c r="B290" s="2"/>
      <c r="C290" s="3"/>
      <c r="D290" s="4"/>
      <c r="E290" s="8"/>
      <c r="F290" s="44"/>
      <c r="G290" s="80"/>
      <c r="H290" s="45"/>
      <c r="I290" s="171"/>
      <c r="J290" s="109"/>
      <c r="K290" s="109"/>
      <c r="L290" s="109"/>
    </row>
    <row r="291" spans="1:12" ht="14">
      <c r="A291" s="2"/>
      <c r="B291" s="2"/>
      <c r="C291" s="3"/>
      <c r="D291" s="4"/>
      <c r="E291" s="8"/>
      <c r="F291" s="44"/>
      <c r="G291" s="80"/>
      <c r="H291" s="45"/>
      <c r="I291" s="171"/>
      <c r="J291" s="109"/>
      <c r="K291" s="109"/>
      <c r="L291" s="109"/>
    </row>
    <row r="292" spans="1:12" ht="14">
      <c r="A292" s="2"/>
      <c r="B292" s="2"/>
      <c r="C292" s="3"/>
      <c r="D292" s="4"/>
      <c r="E292" s="8"/>
      <c r="F292" s="44"/>
      <c r="G292" s="80"/>
      <c r="H292" s="45"/>
      <c r="I292" s="171"/>
      <c r="J292" s="109"/>
      <c r="K292" s="109"/>
      <c r="L292" s="109"/>
    </row>
    <row r="293" spans="1:12" ht="14">
      <c r="A293" s="2"/>
      <c r="B293" s="2"/>
      <c r="C293" s="3"/>
      <c r="D293" s="4"/>
      <c r="E293" s="8"/>
      <c r="F293" s="44"/>
      <c r="G293" s="80"/>
      <c r="H293" s="45"/>
      <c r="I293" s="171"/>
      <c r="J293" s="109"/>
      <c r="K293" s="109"/>
      <c r="L293" s="109"/>
    </row>
    <row r="294" spans="1:12" ht="14">
      <c r="A294" s="2"/>
      <c r="B294" s="2"/>
      <c r="C294" s="3"/>
      <c r="D294" s="4"/>
      <c r="E294" s="8"/>
      <c r="F294" s="44"/>
      <c r="G294" s="80"/>
      <c r="H294" s="45"/>
      <c r="I294" s="171"/>
      <c r="J294" s="109"/>
      <c r="K294" s="109"/>
      <c r="L294" s="109"/>
    </row>
    <row r="295" spans="1:12" ht="14">
      <c r="A295" s="2"/>
      <c r="B295" s="2"/>
      <c r="C295" s="3"/>
      <c r="D295" s="4"/>
      <c r="E295" s="8"/>
      <c r="F295" s="44"/>
      <c r="G295" s="80"/>
      <c r="H295" s="45"/>
      <c r="I295" s="171"/>
      <c r="J295" s="109"/>
      <c r="K295" s="109"/>
      <c r="L295" s="109"/>
    </row>
    <row r="296" spans="1:12" ht="14">
      <c r="A296" s="2"/>
      <c r="B296" s="2"/>
      <c r="C296" s="3"/>
      <c r="D296" s="4"/>
      <c r="E296" s="8"/>
      <c r="F296" s="44"/>
      <c r="G296" s="80"/>
      <c r="H296" s="45"/>
      <c r="I296" s="171"/>
      <c r="J296" s="109"/>
      <c r="K296" s="109"/>
      <c r="L296" s="109"/>
    </row>
    <row r="297" spans="1:12" ht="14">
      <c r="A297" s="2"/>
      <c r="B297" s="2"/>
      <c r="C297" s="3"/>
      <c r="D297" s="4"/>
      <c r="E297" s="8"/>
      <c r="F297" s="44"/>
      <c r="G297" s="80"/>
      <c r="H297" s="45"/>
      <c r="I297" s="171"/>
      <c r="J297" s="109"/>
      <c r="K297" s="109"/>
      <c r="L297" s="109"/>
    </row>
    <row r="298" spans="1:12" ht="14">
      <c r="A298" s="2"/>
      <c r="B298" s="2"/>
      <c r="C298" s="3"/>
      <c r="D298" s="4"/>
      <c r="E298" s="8"/>
      <c r="F298" s="44"/>
      <c r="G298" s="80"/>
      <c r="H298" s="45"/>
      <c r="I298" s="171"/>
      <c r="J298" s="109"/>
      <c r="K298" s="109"/>
      <c r="L298" s="109"/>
    </row>
    <row r="299" spans="1:12" ht="14">
      <c r="A299" s="2"/>
      <c r="B299" s="2"/>
      <c r="C299" s="3"/>
      <c r="D299" s="4"/>
      <c r="E299" s="8"/>
      <c r="F299" s="44"/>
      <c r="G299" s="80"/>
      <c r="H299" s="45"/>
      <c r="I299" s="171"/>
      <c r="J299" s="109"/>
      <c r="K299" s="109"/>
      <c r="L299" s="109"/>
    </row>
    <row r="300" spans="1:12" ht="14">
      <c r="A300" s="2"/>
      <c r="B300" s="2"/>
      <c r="C300" s="3"/>
      <c r="D300" s="4"/>
      <c r="E300" s="8"/>
      <c r="F300" s="44"/>
      <c r="G300" s="80"/>
      <c r="H300" s="45"/>
      <c r="I300" s="171"/>
      <c r="J300" s="109"/>
      <c r="K300" s="109"/>
      <c r="L300" s="109"/>
    </row>
    <row r="301" spans="1:12" ht="14">
      <c r="A301" s="2"/>
      <c r="B301" s="2"/>
      <c r="C301" s="3"/>
      <c r="D301" s="4"/>
      <c r="E301" s="8"/>
      <c r="F301" s="44"/>
      <c r="G301" s="80"/>
      <c r="H301" s="45"/>
      <c r="I301" s="171"/>
      <c r="J301" s="109"/>
      <c r="K301" s="109"/>
      <c r="L301" s="109"/>
    </row>
    <row r="302" spans="1:12" ht="14">
      <c r="A302" s="2"/>
      <c r="B302" s="2"/>
      <c r="C302" s="3"/>
      <c r="D302" s="4"/>
      <c r="E302" s="8"/>
      <c r="F302" s="44"/>
      <c r="G302" s="80"/>
      <c r="H302" s="45"/>
      <c r="I302" s="171"/>
      <c r="J302" s="109"/>
      <c r="K302" s="109"/>
      <c r="L302" s="109"/>
    </row>
    <row r="303" spans="1:12" ht="14">
      <c r="A303" s="2"/>
      <c r="B303" s="2"/>
      <c r="C303" s="3"/>
      <c r="D303" s="4"/>
      <c r="E303" s="8"/>
      <c r="F303" s="44"/>
      <c r="G303" s="80"/>
      <c r="H303" s="45"/>
      <c r="I303" s="171"/>
      <c r="J303" s="109"/>
      <c r="K303" s="109"/>
      <c r="L303" s="109"/>
    </row>
    <row r="304" spans="1:12" ht="14">
      <c r="A304" s="2"/>
      <c r="B304" s="2"/>
      <c r="C304" s="3"/>
      <c r="D304" s="4"/>
      <c r="E304" s="8"/>
      <c r="F304" s="44"/>
      <c r="G304" s="80"/>
      <c r="H304" s="45"/>
      <c r="I304" s="171"/>
      <c r="J304" s="109"/>
      <c r="K304" s="109"/>
      <c r="L304" s="109"/>
    </row>
    <row r="305" spans="1:12" ht="14">
      <c r="A305" s="2"/>
      <c r="B305" s="2"/>
      <c r="C305" s="3"/>
      <c r="D305" s="4"/>
      <c r="E305" s="8"/>
      <c r="F305" s="44"/>
      <c r="G305" s="80"/>
      <c r="H305" s="45"/>
      <c r="I305" s="171"/>
      <c r="J305" s="109"/>
      <c r="K305" s="109"/>
      <c r="L305" s="109"/>
    </row>
    <row r="306" spans="1:12" ht="14">
      <c r="A306" s="2"/>
      <c r="B306" s="2"/>
      <c r="C306" s="3"/>
      <c r="D306" s="4"/>
      <c r="E306" s="8"/>
      <c r="F306" s="44"/>
      <c r="G306" s="80"/>
      <c r="H306" s="45"/>
      <c r="I306" s="171"/>
      <c r="J306" s="109"/>
      <c r="K306" s="109"/>
      <c r="L306" s="109"/>
    </row>
    <row r="307" spans="1:12" ht="14">
      <c r="A307" s="2"/>
      <c r="B307" s="2"/>
      <c r="C307" s="3"/>
      <c r="D307" s="4"/>
      <c r="E307" s="8"/>
      <c r="F307" s="44"/>
      <c r="G307" s="80"/>
      <c r="H307" s="45"/>
      <c r="I307" s="171"/>
      <c r="J307" s="109"/>
      <c r="K307" s="109"/>
      <c r="L307" s="109"/>
    </row>
    <row r="308" spans="1:12" ht="14">
      <c r="A308" s="2"/>
      <c r="B308" s="2"/>
      <c r="C308" s="3"/>
      <c r="D308" s="4"/>
      <c r="E308" s="8"/>
      <c r="F308" s="44"/>
      <c r="G308" s="80"/>
      <c r="H308" s="45"/>
      <c r="I308" s="171"/>
      <c r="J308" s="109"/>
      <c r="K308" s="109"/>
      <c r="L308" s="109"/>
    </row>
    <row r="309" spans="1:12" ht="14">
      <c r="A309" s="2"/>
      <c r="B309" s="2"/>
      <c r="C309" s="3"/>
      <c r="D309" s="4"/>
      <c r="E309" s="8"/>
      <c r="F309" s="44"/>
      <c r="G309" s="80"/>
      <c r="H309" s="45"/>
      <c r="I309" s="171"/>
      <c r="J309" s="109"/>
      <c r="K309" s="109"/>
      <c r="L309" s="109"/>
    </row>
    <row r="310" spans="1:12" ht="14">
      <c r="A310" s="2"/>
      <c r="B310" s="2"/>
      <c r="C310" s="3"/>
      <c r="D310" s="4"/>
      <c r="E310" s="8"/>
      <c r="F310" s="44"/>
      <c r="G310" s="80"/>
      <c r="H310" s="45"/>
      <c r="I310" s="171"/>
      <c r="J310" s="109"/>
      <c r="K310" s="109"/>
      <c r="L310" s="109"/>
    </row>
    <row r="311" spans="1:12" ht="14">
      <c r="A311" s="2"/>
      <c r="B311" s="2"/>
      <c r="C311" s="3"/>
      <c r="D311" s="4"/>
      <c r="E311" s="8"/>
      <c r="F311" s="44"/>
      <c r="G311" s="80"/>
      <c r="H311" s="45"/>
      <c r="I311" s="171"/>
      <c r="J311" s="109"/>
      <c r="K311" s="109"/>
      <c r="L311" s="109"/>
    </row>
    <row r="312" spans="1:12" ht="14">
      <c r="A312" s="2"/>
      <c r="B312" s="2"/>
      <c r="C312" s="3"/>
      <c r="D312" s="4"/>
      <c r="E312" s="8"/>
      <c r="F312" s="44"/>
      <c r="G312" s="80"/>
      <c r="H312" s="45"/>
      <c r="I312" s="171"/>
      <c r="J312" s="109"/>
      <c r="K312" s="109"/>
      <c r="L312" s="109"/>
    </row>
    <row r="313" spans="1:12" ht="14">
      <c r="A313" s="2"/>
      <c r="B313" s="2"/>
      <c r="C313" s="3"/>
      <c r="D313" s="4"/>
      <c r="E313" s="8"/>
      <c r="F313" s="44"/>
      <c r="G313" s="80"/>
      <c r="H313" s="45"/>
      <c r="I313" s="171"/>
      <c r="J313" s="109"/>
      <c r="K313" s="109"/>
      <c r="L313" s="109"/>
    </row>
    <row r="314" spans="1:12" ht="14">
      <c r="A314" s="2"/>
      <c r="B314" s="2"/>
      <c r="C314" s="3"/>
      <c r="D314" s="4"/>
      <c r="E314" s="8"/>
      <c r="F314" s="44"/>
      <c r="G314" s="80"/>
      <c r="H314" s="45"/>
      <c r="I314" s="171"/>
      <c r="J314" s="109"/>
      <c r="K314" s="109"/>
      <c r="L314" s="109"/>
    </row>
    <row r="315" spans="1:12" ht="14">
      <c r="A315" s="2"/>
      <c r="B315" s="2"/>
      <c r="C315" s="3"/>
      <c r="D315" s="4"/>
      <c r="E315" s="8"/>
      <c r="F315" s="44"/>
      <c r="G315" s="80"/>
      <c r="H315" s="45"/>
      <c r="I315" s="171"/>
      <c r="J315" s="109"/>
      <c r="K315" s="109"/>
      <c r="L315" s="109"/>
    </row>
    <row r="316" spans="1:12" ht="14">
      <c r="A316" s="2"/>
      <c r="B316" s="2"/>
      <c r="C316" s="3"/>
      <c r="D316" s="4"/>
      <c r="E316" s="8"/>
      <c r="F316" s="44"/>
      <c r="G316" s="80"/>
      <c r="H316" s="45"/>
      <c r="I316" s="171"/>
      <c r="J316" s="109"/>
      <c r="K316" s="109"/>
      <c r="L316" s="109"/>
    </row>
    <row r="317" spans="1:12" ht="14">
      <c r="A317" s="2"/>
      <c r="B317" s="2"/>
      <c r="C317" s="3"/>
      <c r="D317" s="4"/>
      <c r="E317" s="8"/>
      <c r="F317" s="44"/>
      <c r="G317" s="80"/>
      <c r="H317" s="45"/>
      <c r="I317" s="171"/>
      <c r="J317" s="109"/>
      <c r="K317" s="109"/>
      <c r="L317" s="109"/>
    </row>
    <row r="318" spans="1:12" ht="14">
      <c r="A318" s="2"/>
      <c r="B318" s="2"/>
      <c r="C318" s="3"/>
      <c r="D318" s="4"/>
      <c r="E318" s="8"/>
      <c r="F318" s="44"/>
      <c r="G318" s="80"/>
      <c r="H318" s="45"/>
      <c r="I318" s="171"/>
      <c r="J318" s="109"/>
      <c r="K318" s="109"/>
      <c r="L318" s="109"/>
    </row>
    <row r="319" spans="1:12" ht="14">
      <c r="A319" s="2"/>
      <c r="B319" s="2"/>
      <c r="C319" s="3"/>
      <c r="D319" s="4"/>
      <c r="E319" s="8"/>
      <c r="F319" s="44"/>
      <c r="G319" s="80"/>
      <c r="H319" s="45"/>
      <c r="I319" s="171"/>
      <c r="J319" s="109"/>
      <c r="K319" s="109"/>
      <c r="L319" s="109"/>
    </row>
    <row r="320" spans="1:12" ht="14">
      <c r="A320" s="2"/>
      <c r="B320" s="2"/>
      <c r="C320" s="3"/>
      <c r="D320" s="4"/>
      <c r="E320" s="8"/>
      <c r="F320" s="44"/>
      <c r="G320" s="80"/>
      <c r="H320" s="45"/>
      <c r="I320" s="171"/>
      <c r="J320" s="109"/>
      <c r="K320" s="109"/>
      <c r="L320" s="109"/>
    </row>
    <row r="321" spans="1:12" ht="14">
      <c r="A321" s="2"/>
      <c r="B321" s="2"/>
      <c r="C321" s="3"/>
      <c r="D321" s="4"/>
      <c r="E321" s="8"/>
      <c r="F321" s="44"/>
      <c r="G321" s="80"/>
      <c r="H321" s="45"/>
      <c r="I321" s="171"/>
      <c r="J321" s="109"/>
      <c r="K321" s="109"/>
      <c r="L321" s="109"/>
    </row>
    <row r="322" spans="1:12" ht="14">
      <c r="A322" s="2"/>
      <c r="B322" s="2"/>
      <c r="C322" s="3"/>
      <c r="D322" s="4"/>
      <c r="E322" s="8"/>
      <c r="F322" s="44"/>
      <c r="G322" s="80"/>
      <c r="H322" s="45"/>
      <c r="I322" s="171"/>
      <c r="J322" s="109"/>
      <c r="K322" s="109"/>
      <c r="L322" s="109"/>
    </row>
    <row r="323" spans="1:12" ht="14">
      <c r="A323" s="2"/>
      <c r="B323" s="2"/>
      <c r="C323" s="3"/>
      <c r="D323" s="4"/>
      <c r="E323" s="8"/>
      <c r="F323" s="44"/>
      <c r="G323" s="80"/>
      <c r="H323" s="45"/>
      <c r="I323" s="171"/>
      <c r="J323" s="109"/>
      <c r="K323" s="109"/>
      <c r="L323" s="109"/>
    </row>
    <row r="324" spans="1:12" ht="14">
      <c r="A324" s="2"/>
      <c r="B324" s="2"/>
      <c r="C324" s="3"/>
      <c r="D324" s="4"/>
      <c r="E324" s="8"/>
      <c r="F324" s="44"/>
      <c r="G324" s="80"/>
      <c r="H324" s="45"/>
      <c r="I324" s="171"/>
      <c r="J324" s="109"/>
      <c r="K324" s="109"/>
      <c r="L324" s="109"/>
    </row>
    <row r="325" spans="1:12" ht="14">
      <c r="A325" s="2"/>
      <c r="B325" s="2"/>
      <c r="C325" s="3"/>
      <c r="D325" s="4"/>
      <c r="E325" s="8"/>
      <c r="F325" s="44"/>
      <c r="G325" s="80"/>
      <c r="H325" s="45"/>
      <c r="I325" s="171"/>
      <c r="J325" s="109"/>
      <c r="K325" s="109"/>
      <c r="L325" s="109"/>
    </row>
    <row r="326" spans="1:12" ht="14">
      <c r="A326" s="2"/>
      <c r="B326" s="2"/>
      <c r="C326" s="3"/>
      <c r="D326" s="4"/>
      <c r="E326" s="8"/>
      <c r="F326" s="44"/>
      <c r="G326" s="80"/>
      <c r="H326" s="45"/>
      <c r="I326" s="171"/>
      <c r="J326" s="109"/>
      <c r="K326" s="109"/>
      <c r="L326" s="109"/>
    </row>
    <row r="327" spans="1:12" ht="14">
      <c r="A327" s="2"/>
      <c r="B327" s="2"/>
      <c r="C327" s="3"/>
      <c r="D327" s="4"/>
      <c r="E327" s="8"/>
      <c r="F327" s="44"/>
      <c r="G327" s="80"/>
      <c r="H327" s="45"/>
      <c r="I327" s="171"/>
      <c r="J327" s="109"/>
      <c r="K327" s="109"/>
      <c r="L327" s="109"/>
    </row>
    <row r="328" spans="1:12" ht="14">
      <c r="A328" s="2"/>
      <c r="B328" s="2"/>
      <c r="C328" s="3"/>
      <c r="D328" s="4"/>
      <c r="E328" s="8"/>
      <c r="F328" s="44"/>
      <c r="G328" s="80"/>
      <c r="H328" s="45"/>
      <c r="I328" s="171"/>
      <c r="J328" s="109"/>
      <c r="K328" s="109"/>
      <c r="L328" s="109"/>
    </row>
    <row r="329" spans="1:12" ht="14">
      <c r="A329" s="2"/>
      <c r="B329" s="2"/>
      <c r="C329" s="3"/>
      <c r="D329" s="4"/>
      <c r="E329" s="8"/>
      <c r="F329" s="44"/>
      <c r="G329" s="80"/>
      <c r="H329" s="45"/>
      <c r="I329" s="171"/>
      <c r="J329" s="109"/>
      <c r="K329" s="109"/>
      <c r="L329" s="109"/>
    </row>
    <row r="330" spans="1:12" ht="14">
      <c r="A330" s="2"/>
      <c r="B330" s="2"/>
      <c r="C330" s="3"/>
      <c r="D330" s="4"/>
      <c r="E330" s="8"/>
      <c r="F330" s="44"/>
      <c r="G330" s="80"/>
      <c r="H330" s="45"/>
      <c r="I330" s="171"/>
      <c r="J330" s="109"/>
      <c r="K330" s="109"/>
      <c r="L330" s="109"/>
    </row>
    <row r="331" spans="1:12" ht="14">
      <c r="A331" s="2"/>
      <c r="B331" s="2"/>
      <c r="C331" s="3"/>
      <c r="D331" s="4"/>
      <c r="E331" s="8"/>
      <c r="F331" s="44"/>
      <c r="G331" s="80"/>
      <c r="H331" s="45"/>
      <c r="I331" s="171"/>
      <c r="J331" s="109"/>
      <c r="K331" s="109"/>
      <c r="L331" s="109"/>
    </row>
    <row r="332" spans="1:12" ht="14">
      <c r="A332" s="2"/>
      <c r="B332" s="2"/>
      <c r="C332" s="3"/>
      <c r="D332" s="4"/>
      <c r="E332" s="8"/>
      <c r="F332" s="44"/>
      <c r="G332" s="80"/>
      <c r="H332" s="45"/>
      <c r="I332" s="171"/>
      <c r="J332" s="109"/>
      <c r="K332" s="109"/>
      <c r="L332" s="109"/>
    </row>
    <row r="333" spans="1:12" ht="14">
      <c r="A333" s="2"/>
      <c r="B333" s="2"/>
      <c r="C333" s="3"/>
      <c r="D333" s="4"/>
      <c r="E333" s="8"/>
      <c r="F333" s="44"/>
      <c r="G333" s="80"/>
      <c r="H333" s="45"/>
      <c r="I333" s="171"/>
      <c r="J333" s="109"/>
      <c r="K333" s="109"/>
      <c r="L333" s="109"/>
    </row>
    <row r="334" spans="1:12" ht="14">
      <c r="A334" s="2"/>
      <c r="B334" s="2"/>
      <c r="C334" s="3"/>
      <c r="D334" s="4"/>
      <c r="E334" s="8"/>
      <c r="F334" s="44"/>
      <c r="G334" s="80"/>
      <c r="H334" s="45"/>
      <c r="I334" s="171"/>
      <c r="J334" s="109"/>
      <c r="K334" s="109"/>
      <c r="L334" s="109"/>
    </row>
    <row r="335" spans="1:12" ht="14">
      <c r="A335" s="2"/>
      <c r="B335" s="2"/>
      <c r="C335" s="3"/>
      <c r="D335" s="4"/>
      <c r="E335" s="8"/>
      <c r="F335" s="44"/>
      <c r="G335" s="80"/>
      <c r="H335" s="45"/>
      <c r="I335" s="171"/>
      <c r="J335" s="109"/>
      <c r="K335" s="109"/>
      <c r="L335" s="109"/>
    </row>
    <row r="336" spans="1:12" ht="14">
      <c r="A336" s="2"/>
      <c r="B336" s="2"/>
      <c r="C336" s="3"/>
      <c r="D336" s="4"/>
      <c r="E336" s="8"/>
      <c r="F336" s="44"/>
      <c r="G336" s="80"/>
      <c r="H336" s="45"/>
      <c r="I336" s="171"/>
      <c r="J336" s="109"/>
      <c r="K336" s="109"/>
      <c r="L336" s="109"/>
    </row>
    <row r="337" spans="1:12" ht="14">
      <c r="A337" s="2"/>
      <c r="B337" s="2"/>
      <c r="C337" s="3"/>
      <c r="D337" s="4"/>
      <c r="E337" s="8"/>
      <c r="F337" s="44"/>
      <c r="G337" s="80"/>
      <c r="H337" s="45"/>
      <c r="I337" s="171"/>
      <c r="J337" s="109"/>
      <c r="K337" s="109"/>
      <c r="L337" s="109"/>
    </row>
    <row r="338" spans="1:12" ht="14">
      <c r="A338" s="2"/>
      <c r="B338" s="2"/>
      <c r="C338" s="3"/>
      <c r="D338" s="4"/>
      <c r="E338" s="8"/>
      <c r="F338" s="44"/>
      <c r="G338" s="80"/>
      <c r="H338" s="45"/>
      <c r="I338" s="171"/>
      <c r="J338" s="109"/>
      <c r="K338" s="109"/>
      <c r="L338" s="109"/>
    </row>
    <row r="339" spans="1:12" ht="14">
      <c r="A339" s="2"/>
      <c r="B339" s="2"/>
      <c r="C339" s="3"/>
      <c r="D339" s="4"/>
      <c r="E339" s="8"/>
      <c r="F339" s="44"/>
      <c r="G339" s="80"/>
      <c r="H339" s="45"/>
      <c r="I339" s="171"/>
      <c r="J339" s="109"/>
      <c r="K339" s="109"/>
      <c r="L339" s="109"/>
    </row>
    <row r="340" spans="1:12" ht="14">
      <c r="A340" s="2"/>
      <c r="B340" s="2"/>
      <c r="C340" s="3"/>
      <c r="D340" s="4"/>
      <c r="E340" s="8"/>
      <c r="F340" s="44"/>
      <c r="G340" s="80"/>
      <c r="H340" s="45"/>
      <c r="I340" s="171"/>
      <c r="J340" s="109"/>
      <c r="K340" s="109"/>
      <c r="L340" s="109"/>
    </row>
    <row r="341" spans="1:12" ht="14">
      <c r="A341" s="2"/>
      <c r="B341" s="2"/>
      <c r="C341" s="3"/>
      <c r="D341" s="4"/>
      <c r="E341" s="8"/>
      <c r="F341" s="44"/>
      <c r="G341" s="80"/>
      <c r="H341" s="45"/>
      <c r="I341" s="171"/>
      <c r="J341" s="109"/>
      <c r="K341" s="109"/>
      <c r="L341" s="109"/>
    </row>
    <row r="342" spans="1:12" ht="14">
      <c r="A342" s="2"/>
      <c r="B342" s="2"/>
      <c r="C342" s="3"/>
      <c r="D342" s="4"/>
      <c r="E342" s="8"/>
      <c r="F342" s="44"/>
      <c r="G342" s="80"/>
      <c r="H342" s="45"/>
      <c r="I342" s="171"/>
      <c r="J342" s="109"/>
      <c r="K342" s="109"/>
      <c r="L342" s="109"/>
    </row>
    <row r="343" spans="1:12" ht="14">
      <c r="A343" s="2"/>
      <c r="B343" s="2"/>
      <c r="C343" s="3"/>
      <c r="D343" s="4"/>
      <c r="E343" s="8"/>
      <c r="F343" s="44"/>
      <c r="G343" s="80"/>
      <c r="H343" s="45"/>
      <c r="I343" s="171"/>
      <c r="J343" s="109"/>
      <c r="K343" s="109"/>
      <c r="L343" s="109"/>
    </row>
    <row r="344" spans="1:12" ht="14">
      <c r="A344" s="2"/>
      <c r="B344" s="2"/>
      <c r="C344" s="3"/>
      <c r="D344" s="4"/>
      <c r="E344" s="8"/>
      <c r="F344" s="44"/>
      <c r="G344" s="80"/>
      <c r="H344" s="45"/>
      <c r="I344" s="171"/>
      <c r="J344" s="109"/>
      <c r="K344" s="109"/>
      <c r="L344" s="109"/>
    </row>
    <row r="345" spans="1:12" ht="14">
      <c r="A345" s="2"/>
      <c r="B345" s="2"/>
      <c r="C345" s="3"/>
      <c r="D345" s="4"/>
      <c r="E345" s="8"/>
      <c r="F345" s="44"/>
      <c r="G345" s="80"/>
      <c r="H345" s="45"/>
      <c r="I345" s="171"/>
      <c r="J345" s="109"/>
      <c r="K345" s="109"/>
      <c r="L345" s="109"/>
    </row>
    <row r="346" spans="1:12" ht="14">
      <c r="A346" s="2"/>
      <c r="B346" s="2"/>
      <c r="C346" s="3"/>
      <c r="D346" s="4"/>
      <c r="E346" s="8"/>
      <c r="F346" s="44"/>
      <c r="G346" s="80"/>
      <c r="H346" s="45"/>
      <c r="I346" s="171"/>
      <c r="J346" s="109"/>
      <c r="K346" s="109"/>
      <c r="L346" s="109"/>
    </row>
    <row r="347" spans="1:12" ht="14">
      <c r="A347" s="2"/>
      <c r="B347" s="2"/>
      <c r="C347" s="3"/>
      <c r="D347" s="4"/>
      <c r="E347" s="8"/>
      <c r="F347" s="44"/>
      <c r="G347" s="80"/>
      <c r="H347" s="45"/>
      <c r="I347" s="171"/>
      <c r="J347" s="109"/>
      <c r="K347" s="109"/>
      <c r="L347" s="109"/>
    </row>
    <row r="348" spans="1:12" ht="14">
      <c r="A348" s="2"/>
      <c r="B348" s="2"/>
      <c r="C348" s="3"/>
      <c r="D348" s="4"/>
      <c r="E348" s="8"/>
      <c r="F348" s="44"/>
      <c r="G348" s="80"/>
      <c r="H348" s="45"/>
      <c r="I348" s="171"/>
      <c r="J348" s="109"/>
      <c r="K348" s="109"/>
      <c r="L348" s="109"/>
    </row>
    <row r="349" spans="1:12" ht="14">
      <c r="A349" s="2"/>
      <c r="B349" s="2"/>
      <c r="C349" s="3"/>
      <c r="D349" s="4"/>
      <c r="E349" s="8"/>
      <c r="F349" s="44"/>
      <c r="G349" s="80"/>
      <c r="H349" s="45"/>
      <c r="I349" s="171"/>
      <c r="J349" s="109"/>
      <c r="K349" s="109"/>
      <c r="L349" s="109"/>
    </row>
    <row r="350" spans="1:12" ht="14">
      <c r="A350" s="2"/>
      <c r="B350" s="2"/>
      <c r="C350" s="3"/>
      <c r="D350" s="4"/>
      <c r="E350" s="8"/>
      <c r="F350" s="44"/>
      <c r="G350" s="80"/>
      <c r="H350" s="45"/>
      <c r="I350" s="171"/>
      <c r="J350" s="109"/>
      <c r="K350" s="109"/>
      <c r="L350" s="109"/>
    </row>
    <row r="351" spans="1:12" ht="14">
      <c r="A351" s="2"/>
      <c r="B351" s="2"/>
      <c r="C351" s="3"/>
      <c r="D351" s="4"/>
      <c r="E351" s="8"/>
      <c r="F351" s="44"/>
      <c r="G351" s="80"/>
      <c r="H351" s="45"/>
      <c r="I351" s="171"/>
      <c r="J351" s="109"/>
      <c r="K351" s="109"/>
      <c r="L351" s="109"/>
    </row>
    <row r="352" spans="1:12" ht="14">
      <c r="A352" s="2"/>
      <c r="B352" s="2"/>
      <c r="C352" s="3"/>
      <c r="D352" s="4"/>
      <c r="E352" s="8"/>
      <c r="F352" s="44"/>
      <c r="G352" s="80"/>
      <c r="H352" s="45"/>
      <c r="I352" s="171"/>
      <c r="J352" s="109"/>
      <c r="K352" s="109"/>
      <c r="L352" s="109"/>
    </row>
    <row r="353" spans="1:12" ht="14">
      <c r="A353" s="2"/>
      <c r="B353" s="2"/>
      <c r="C353" s="3"/>
      <c r="D353" s="4"/>
      <c r="E353" s="8"/>
      <c r="F353" s="44"/>
      <c r="G353" s="80"/>
      <c r="H353" s="45"/>
      <c r="I353" s="171"/>
      <c r="J353" s="109"/>
      <c r="K353" s="109"/>
      <c r="L353" s="109"/>
    </row>
    <row r="354" spans="1:12" ht="14">
      <c r="A354" s="2"/>
      <c r="B354" s="2"/>
      <c r="C354" s="3"/>
      <c r="D354" s="4"/>
      <c r="E354" s="8"/>
      <c r="F354" s="44"/>
      <c r="G354" s="80"/>
      <c r="H354" s="45"/>
      <c r="I354" s="171"/>
      <c r="J354" s="109"/>
      <c r="K354" s="109"/>
      <c r="L354" s="109"/>
    </row>
    <row r="355" spans="1:12" ht="14">
      <c r="A355" s="2"/>
      <c r="B355" s="2"/>
      <c r="C355" s="3"/>
      <c r="D355" s="4"/>
      <c r="E355" s="8"/>
      <c r="F355" s="44"/>
      <c r="G355" s="80"/>
      <c r="H355" s="45"/>
      <c r="I355" s="171"/>
      <c r="J355" s="109"/>
      <c r="K355" s="109"/>
      <c r="L355" s="109"/>
    </row>
    <row r="356" spans="1:12" ht="14">
      <c r="A356" s="2"/>
      <c r="B356" s="2"/>
      <c r="C356" s="3"/>
      <c r="D356" s="4"/>
      <c r="E356" s="8"/>
      <c r="F356" s="44"/>
      <c r="G356" s="80"/>
      <c r="H356" s="45"/>
      <c r="I356" s="171"/>
      <c r="J356" s="109"/>
      <c r="K356" s="109"/>
      <c r="L356" s="109"/>
    </row>
    <row r="357" spans="1:12" ht="14">
      <c r="A357" s="2"/>
      <c r="B357" s="2"/>
      <c r="C357" s="3"/>
      <c r="D357" s="4"/>
      <c r="E357" s="8"/>
      <c r="F357" s="44"/>
      <c r="G357" s="80"/>
      <c r="H357" s="45"/>
      <c r="I357" s="171"/>
      <c r="J357" s="109"/>
      <c r="K357" s="109"/>
      <c r="L357" s="109"/>
    </row>
    <row r="358" spans="1:12" ht="14">
      <c r="A358" s="2"/>
      <c r="B358" s="2"/>
      <c r="C358" s="3"/>
      <c r="D358" s="4"/>
      <c r="E358" s="8"/>
      <c r="F358" s="44"/>
      <c r="G358" s="80"/>
      <c r="H358" s="45"/>
      <c r="I358" s="171"/>
      <c r="J358" s="109"/>
      <c r="K358" s="109"/>
      <c r="L358" s="109"/>
    </row>
    <row r="359" spans="1:12" ht="14">
      <c r="A359" s="2"/>
      <c r="B359" s="2"/>
      <c r="C359" s="3"/>
      <c r="D359" s="4"/>
      <c r="E359" s="8"/>
      <c r="F359" s="44"/>
      <c r="G359" s="80"/>
      <c r="H359" s="45"/>
      <c r="I359" s="171"/>
      <c r="J359" s="109"/>
      <c r="K359" s="109"/>
      <c r="L359" s="109"/>
    </row>
    <row r="360" spans="1:12" ht="14">
      <c r="A360" s="2"/>
      <c r="B360" s="2"/>
      <c r="C360" s="3"/>
      <c r="D360" s="4"/>
      <c r="E360" s="8"/>
      <c r="F360" s="44"/>
      <c r="G360" s="80"/>
      <c r="H360" s="45"/>
      <c r="I360" s="171"/>
      <c r="J360" s="109"/>
      <c r="K360" s="109"/>
      <c r="L360" s="109"/>
    </row>
    <row r="361" spans="1:12" ht="14">
      <c r="A361" s="2"/>
      <c r="B361" s="2"/>
      <c r="C361" s="3"/>
      <c r="D361" s="4"/>
      <c r="E361" s="8"/>
      <c r="F361" s="44"/>
      <c r="G361" s="80"/>
      <c r="H361" s="45"/>
      <c r="I361" s="171"/>
      <c r="J361" s="109"/>
      <c r="K361" s="109"/>
      <c r="L361" s="109"/>
    </row>
    <row r="362" spans="1:12" ht="14">
      <c r="A362" s="2"/>
      <c r="B362" s="2"/>
      <c r="C362" s="3"/>
      <c r="D362" s="4"/>
      <c r="E362" s="8"/>
      <c r="F362" s="44"/>
      <c r="G362" s="80"/>
      <c r="H362" s="45"/>
      <c r="I362" s="171"/>
      <c r="J362" s="109"/>
      <c r="K362" s="109"/>
      <c r="L362" s="109"/>
    </row>
    <row r="363" spans="1:12" ht="14">
      <c r="A363" s="2"/>
      <c r="B363" s="2"/>
      <c r="C363" s="3"/>
      <c r="D363" s="4"/>
      <c r="E363" s="8"/>
      <c r="F363" s="44"/>
      <c r="G363" s="80"/>
      <c r="H363" s="45"/>
      <c r="I363" s="171"/>
      <c r="J363" s="109"/>
      <c r="K363" s="109"/>
      <c r="L363" s="109"/>
    </row>
    <row r="364" spans="1:12" ht="14">
      <c r="A364" s="2"/>
      <c r="B364" s="2"/>
      <c r="C364" s="3"/>
      <c r="D364" s="4"/>
      <c r="E364" s="8"/>
      <c r="F364" s="44"/>
      <c r="G364" s="80"/>
      <c r="H364" s="45"/>
      <c r="I364" s="171"/>
      <c r="J364" s="109"/>
      <c r="K364" s="109"/>
      <c r="L364" s="109"/>
    </row>
    <row r="365" spans="1:12" ht="14">
      <c r="A365" s="2"/>
      <c r="B365" s="2"/>
      <c r="C365" s="3"/>
      <c r="D365" s="4"/>
      <c r="E365" s="8"/>
      <c r="F365" s="44"/>
      <c r="G365" s="80"/>
      <c r="H365" s="45"/>
      <c r="I365" s="171"/>
      <c r="J365" s="109"/>
      <c r="K365" s="109"/>
      <c r="L365" s="109"/>
    </row>
    <row r="366" spans="1:12" ht="14">
      <c r="A366" s="2"/>
      <c r="B366" s="2"/>
      <c r="C366" s="3"/>
      <c r="D366" s="4"/>
      <c r="E366" s="8"/>
      <c r="F366" s="44"/>
      <c r="G366" s="80"/>
      <c r="H366" s="45"/>
      <c r="I366" s="171"/>
      <c r="J366" s="109"/>
      <c r="K366" s="109"/>
      <c r="L366" s="109"/>
    </row>
    <row r="367" spans="1:12" ht="14">
      <c r="A367" s="2"/>
      <c r="B367" s="2"/>
      <c r="C367" s="3"/>
      <c r="D367" s="4"/>
      <c r="E367" s="8"/>
      <c r="F367" s="44"/>
      <c r="G367" s="80"/>
      <c r="H367" s="45"/>
      <c r="I367" s="171"/>
      <c r="J367" s="109"/>
      <c r="K367" s="109"/>
      <c r="L367" s="109"/>
    </row>
    <row r="368" spans="1:12" ht="14">
      <c r="A368" s="2"/>
      <c r="B368" s="2"/>
      <c r="C368" s="3"/>
      <c r="D368" s="4"/>
      <c r="E368" s="8"/>
      <c r="F368" s="44"/>
      <c r="G368" s="80"/>
      <c r="H368" s="45"/>
      <c r="I368" s="171"/>
      <c r="J368" s="109"/>
      <c r="K368" s="109"/>
      <c r="L368" s="109"/>
    </row>
    <row r="369" spans="1:12" ht="14">
      <c r="A369" s="2"/>
      <c r="B369" s="2"/>
      <c r="C369" s="3"/>
      <c r="D369" s="4"/>
      <c r="E369" s="8"/>
      <c r="F369" s="44"/>
      <c r="G369" s="80"/>
      <c r="H369" s="45"/>
      <c r="I369" s="171"/>
      <c r="J369" s="109"/>
      <c r="K369" s="109"/>
      <c r="L369" s="109"/>
    </row>
    <row r="370" spans="1:12" ht="14">
      <c r="A370" s="2"/>
      <c r="B370" s="2"/>
      <c r="C370" s="3"/>
      <c r="D370" s="4"/>
      <c r="E370" s="8"/>
      <c r="F370" s="44"/>
      <c r="G370" s="80"/>
      <c r="H370" s="45"/>
      <c r="I370" s="171"/>
      <c r="J370" s="109"/>
      <c r="K370" s="109"/>
      <c r="L370" s="109"/>
    </row>
    <row r="371" spans="1:12" ht="14">
      <c r="A371" s="2"/>
      <c r="B371" s="2"/>
      <c r="C371" s="3"/>
      <c r="D371" s="4"/>
      <c r="E371" s="8"/>
      <c r="F371" s="44"/>
      <c r="G371" s="80"/>
      <c r="H371" s="45"/>
      <c r="I371" s="171"/>
      <c r="J371" s="109"/>
      <c r="K371" s="109"/>
      <c r="L371" s="109"/>
    </row>
    <row r="372" spans="1:12" ht="14">
      <c r="A372" s="2"/>
      <c r="B372" s="2"/>
      <c r="C372" s="3"/>
      <c r="D372" s="4"/>
      <c r="E372" s="8"/>
      <c r="F372" s="44"/>
      <c r="G372" s="80"/>
      <c r="H372" s="45"/>
      <c r="I372" s="171"/>
      <c r="J372" s="109"/>
      <c r="K372" s="109"/>
      <c r="L372" s="109"/>
    </row>
    <row r="373" spans="1:12" ht="14">
      <c r="A373" s="2"/>
      <c r="B373" s="2"/>
      <c r="C373" s="3"/>
      <c r="D373" s="4"/>
      <c r="E373" s="8"/>
      <c r="F373" s="44"/>
      <c r="G373" s="80"/>
      <c r="H373" s="45"/>
      <c r="I373" s="171"/>
      <c r="J373" s="109"/>
      <c r="K373" s="109"/>
      <c r="L373" s="109"/>
    </row>
    <row r="374" spans="1:12" ht="14">
      <c r="A374" s="2"/>
      <c r="B374" s="2"/>
      <c r="C374" s="3"/>
      <c r="D374" s="4"/>
      <c r="E374" s="8"/>
      <c r="F374" s="44"/>
      <c r="G374" s="80"/>
      <c r="H374" s="45"/>
      <c r="I374" s="171"/>
      <c r="J374" s="109"/>
      <c r="K374" s="109"/>
      <c r="L374" s="109"/>
    </row>
    <row r="375" spans="1:12" ht="14">
      <c r="A375" s="2"/>
      <c r="B375" s="2"/>
      <c r="C375" s="3"/>
      <c r="D375" s="4"/>
      <c r="E375" s="8"/>
      <c r="F375" s="44"/>
      <c r="G375" s="80"/>
      <c r="H375" s="45"/>
      <c r="I375" s="171"/>
      <c r="J375" s="109"/>
      <c r="K375" s="109"/>
      <c r="L375" s="109"/>
    </row>
    <row r="376" spans="1:12" ht="14">
      <c r="A376" s="2"/>
      <c r="B376" s="2"/>
      <c r="C376" s="3"/>
      <c r="D376" s="4"/>
      <c r="E376" s="8"/>
      <c r="F376" s="44"/>
      <c r="G376" s="80"/>
      <c r="H376" s="45"/>
      <c r="I376" s="171"/>
      <c r="J376" s="109"/>
      <c r="K376" s="109"/>
      <c r="L376" s="109"/>
    </row>
    <row r="377" spans="1:12" ht="14">
      <c r="A377" s="2"/>
      <c r="B377" s="2"/>
      <c r="C377" s="3"/>
      <c r="D377" s="4"/>
      <c r="E377" s="8"/>
      <c r="F377" s="44"/>
      <c r="G377" s="80"/>
      <c r="H377" s="45"/>
      <c r="I377" s="171"/>
      <c r="J377" s="109"/>
      <c r="K377" s="109"/>
      <c r="L377" s="109"/>
    </row>
    <row r="378" spans="1:12" ht="14">
      <c r="A378" s="2"/>
      <c r="B378" s="2"/>
      <c r="C378" s="3"/>
      <c r="D378" s="4"/>
      <c r="E378" s="8"/>
      <c r="F378" s="44"/>
      <c r="G378" s="80"/>
      <c r="H378" s="45"/>
      <c r="I378" s="171"/>
      <c r="J378" s="109"/>
      <c r="K378" s="109"/>
      <c r="L378" s="109"/>
    </row>
    <row r="379" spans="1:12" ht="14">
      <c r="A379" s="2"/>
      <c r="B379" s="2"/>
      <c r="C379" s="3"/>
      <c r="D379" s="4"/>
      <c r="E379" s="8"/>
      <c r="F379" s="44"/>
      <c r="G379" s="80"/>
      <c r="H379" s="45"/>
      <c r="I379" s="171"/>
      <c r="J379" s="109"/>
      <c r="K379" s="109"/>
      <c r="L379" s="109"/>
    </row>
    <row r="380" spans="1:12" ht="14">
      <c r="A380" s="2"/>
      <c r="B380" s="2"/>
      <c r="C380" s="3"/>
      <c r="D380" s="4"/>
      <c r="E380" s="8"/>
      <c r="F380" s="44"/>
      <c r="G380" s="80"/>
      <c r="H380" s="45"/>
      <c r="I380" s="171"/>
      <c r="J380" s="109"/>
      <c r="K380" s="109"/>
      <c r="L380" s="109"/>
    </row>
    <row r="381" spans="1:12" ht="14">
      <c r="A381" s="2"/>
      <c r="B381" s="2"/>
      <c r="C381" s="3"/>
      <c r="D381" s="4"/>
      <c r="E381" s="8"/>
      <c r="F381" s="44"/>
      <c r="G381" s="80"/>
      <c r="H381" s="45"/>
      <c r="I381" s="171"/>
      <c r="J381" s="109"/>
      <c r="K381" s="109"/>
      <c r="L381" s="109"/>
    </row>
    <row r="382" spans="1:12" ht="14">
      <c r="A382" s="2"/>
      <c r="B382" s="2"/>
      <c r="C382" s="3"/>
      <c r="D382" s="4"/>
      <c r="E382" s="8"/>
      <c r="F382" s="44"/>
      <c r="G382" s="80"/>
      <c r="H382" s="45"/>
      <c r="I382" s="171"/>
      <c r="J382" s="109"/>
      <c r="K382" s="109"/>
      <c r="L382" s="109"/>
    </row>
    <row r="383" spans="1:12" ht="14">
      <c r="A383" s="2"/>
      <c r="B383" s="2"/>
      <c r="C383" s="3"/>
      <c r="D383" s="4"/>
      <c r="E383" s="8"/>
      <c r="F383" s="44"/>
      <c r="G383" s="80"/>
      <c r="H383" s="45"/>
      <c r="I383" s="171"/>
      <c r="J383" s="109"/>
      <c r="K383" s="109"/>
      <c r="L383" s="109"/>
    </row>
    <row r="384" spans="1:12" ht="14">
      <c r="A384" s="2"/>
      <c r="B384" s="2"/>
      <c r="C384" s="3"/>
      <c r="D384" s="4"/>
      <c r="E384" s="8"/>
      <c r="F384" s="44"/>
      <c r="G384" s="80"/>
      <c r="H384" s="45"/>
      <c r="I384" s="171"/>
      <c r="J384" s="109"/>
      <c r="K384" s="109"/>
      <c r="L384" s="109"/>
    </row>
    <row r="385" spans="1:12" ht="14">
      <c r="A385" s="2"/>
      <c r="B385" s="2"/>
      <c r="C385" s="3"/>
      <c r="D385" s="4"/>
      <c r="E385" s="8"/>
      <c r="F385" s="44"/>
      <c r="G385" s="80"/>
      <c r="H385" s="45"/>
      <c r="I385" s="171"/>
      <c r="J385" s="109"/>
      <c r="K385" s="109"/>
      <c r="L385" s="109"/>
    </row>
    <row r="386" spans="1:12" ht="14">
      <c r="A386" s="2"/>
      <c r="B386" s="2"/>
      <c r="C386" s="3"/>
      <c r="D386" s="4"/>
      <c r="E386" s="8"/>
      <c r="F386" s="44"/>
      <c r="G386" s="80"/>
      <c r="H386" s="45"/>
      <c r="I386" s="171"/>
      <c r="J386" s="109"/>
      <c r="K386" s="109"/>
      <c r="L386" s="109"/>
    </row>
    <row r="387" spans="1:12" ht="14">
      <c r="A387" s="2"/>
      <c r="B387" s="2"/>
      <c r="C387" s="3"/>
      <c r="D387" s="4"/>
      <c r="E387" s="8"/>
      <c r="F387" s="44"/>
      <c r="G387" s="80"/>
      <c r="H387" s="45"/>
      <c r="I387" s="171"/>
      <c r="J387" s="109"/>
      <c r="K387" s="109"/>
      <c r="L387" s="109"/>
    </row>
    <row r="388" spans="1:12" ht="14">
      <c r="A388" s="2"/>
      <c r="B388" s="2"/>
      <c r="C388" s="3"/>
      <c r="D388" s="4"/>
      <c r="E388" s="8"/>
      <c r="F388" s="44"/>
      <c r="G388" s="80"/>
      <c r="H388" s="45"/>
      <c r="I388" s="171"/>
      <c r="J388" s="2"/>
      <c r="K388" s="2"/>
      <c r="L388" s="2"/>
    </row>
    <row r="389" spans="1:12" ht="14">
      <c r="A389" s="2"/>
      <c r="B389" s="2"/>
      <c r="C389" s="3"/>
      <c r="D389" s="4"/>
      <c r="E389" s="8"/>
      <c r="F389" s="44"/>
      <c r="G389" s="80"/>
      <c r="H389" s="45"/>
      <c r="I389" s="171"/>
      <c r="J389" s="2"/>
      <c r="K389" s="2"/>
      <c r="L389" s="2"/>
    </row>
    <row r="390" spans="1:12" ht="14">
      <c r="A390" s="2"/>
      <c r="B390" s="2"/>
      <c r="C390" s="3"/>
      <c r="D390" s="4"/>
      <c r="E390" s="8"/>
      <c r="F390" s="44"/>
      <c r="G390" s="80"/>
      <c r="H390" s="45"/>
      <c r="I390" s="171"/>
      <c r="J390" s="2"/>
      <c r="K390" s="2"/>
      <c r="L390" s="2"/>
    </row>
    <row r="391" spans="1:12" ht="14">
      <c r="A391" s="2"/>
      <c r="B391" s="2"/>
      <c r="C391" s="3"/>
      <c r="D391" s="4"/>
      <c r="E391" s="8"/>
      <c r="F391" s="44"/>
      <c r="G391" s="80"/>
      <c r="H391" s="45"/>
      <c r="I391" s="171"/>
      <c r="J391" s="2"/>
      <c r="K391" s="2"/>
      <c r="L391" s="2"/>
    </row>
    <row r="392" spans="1:12" ht="14">
      <c r="A392" s="2"/>
      <c r="B392" s="2"/>
      <c r="C392" s="2"/>
      <c r="D392" s="4"/>
      <c r="E392" s="4"/>
      <c r="F392" s="2"/>
      <c r="G392" s="109"/>
      <c r="H392" s="3"/>
      <c r="I392" s="110"/>
      <c r="J392" s="2"/>
      <c r="K392" s="2"/>
      <c r="L392" s="2"/>
    </row>
    <row r="393" spans="1:12" ht="14">
      <c r="A393" s="2"/>
      <c r="B393" s="2"/>
      <c r="C393" s="2"/>
      <c r="D393" s="4"/>
      <c r="E393" s="4"/>
      <c r="F393" s="2"/>
      <c r="G393" s="109"/>
      <c r="H393" s="3"/>
      <c r="I393" s="110"/>
      <c r="J393" s="2"/>
      <c r="K393" s="2"/>
      <c r="L393" s="2"/>
    </row>
    <row r="394" spans="1:12" ht="14">
      <c r="A394" s="2"/>
      <c r="B394" s="2"/>
      <c r="C394" s="2"/>
      <c r="D394" s="4"/>
      <c r="E394" s="4"/>
      <c r="F394" s="2"/>
      <c r="G394" s="109"/>
      <c r="H394" s="3"/>
      <c r="I394" s="110"/>
      <c r="J394" s="2"/>
      <c r="K394" s="2"/>
      <c r="L394" s="2"/>
    </row>
  </sheetData>
  <mergeCells count="4">
    <mergeCell ref="G1:I1"/>
    <mergeCell ref="G2:I2"/>
    <mergeCell ref="G3:I3"/>
    <mergeCell ref="G4:H4"/>
  </mergeCells>
  <conditionalFormatting sqref="E181:E182 E186:E187 E195">
    <cfRule type="expression" dxfId="19" priority="1">
      <formula>$N181&lt;&gt;""</formula>
    </cfRule>
  </conditionalFormatting>
  <conditionalFormatting sqref="E182 E187 E194:E203 E1:E51 D1:D98 C1:C193 A1:B394 F1:L394 E63:E70 E72:E82 E89:E98 M100 E100:E112 D100:D193 E114:E171 E173:E174 E176:E177 E179:E180 E189:E191 C195:D210 E210:E220 C212:D394 E222:E394">
    <cfRule type="cellIs" dxfId="18" priority="2" operator="equal">
      <formula>"ROSE"</formula>
    </cfRule>
    <cfRule type="cellIs" dxfId="17" priority="3" operator="equal">
      <formula>"ORANGE"</formula>
    </cfRule>
  </conditionalFormatting>
  <conditionalFormatting sqref="F1:L394 E182 E187 E194:E203 E1:E51 D1:D98 C1:C193 A1:B394 E63:E70 E72:E82 E89:E98 M100 E100:E112 D100:D193 E114:E171 E173:E174 E176:E177 E179:E180 E189:E191 C195:D210 E210:E220 C212:D394 E222:E394">
    <cfRule type="cellIs" dxfId="16" priority="10" operator="equal">
      <formula>"Pet Nat"</formula>
    </cfRule>
    <cfRule type="cellIs" dxfId="15" priority="11" operator="equal">
      <formula>"Sparkling"</formula>
    </cfRule>
  </conditionalFormatting>
  <conditionalFormatting sqref="G5:G6 F5:F242 G212:I212 G223:G224 F244:F250 G72:I72 G81:I81 G100:I100 G114:I114 G121:I121 G173:I173 G187:I187 G195:I195 H224:I224 G235:I235">
    <cfRule type="cellIs" dxfId="14" priority="5" operator="equal">
      <formula>"Coferment/RED"</formula>
    </cfRule>
  </conditionalFormatting>
  <conditionalFormatting sqref="G5:G6 F5:F294 G212:I212 G223">
    <cfRule type="containsText" dxfId="13" priority="4" operator="containsText" text="WHITE">
      <formula>NOT(ISERROR(SEARCH(("WHITE"),(F5))))</formula>
    </cfRule>
  </conditionalFormatting>
  <conditionalFormatting sqref="G1:I394 F1:F4 J1:L4 J100 J114">
    <cfRule type="containsText" dxfId="12" priority="6" operator="containsText" text="vintage sold out">
      <formula>NOT(ISERROR(SEARCH(("vintage sold out"),(F1))))</formula>
    </cfRule>
  </conditionalFormatting>
  <conditionalFormatting sqref="G72:I72 G81:I81 G100:I100 G114:I114 G121:I121 G173:I173 G187:I187 G195:I195 G212:I212 H224:I224 G235:I235 G5:G6 G223:G224 F5:F242 F244:F250">
    <cfRule type="cellIs" dxfId="11" priority="12" operator="equal">
      <formula>"Sweet"</formula>
    </cfRule>
    <cfRule type="cellIs" dxfId="10" priority="15" operator="equal">
      <formula>"Spirits"</formula>
    </cfRule>
    <cfRule type="cellIs" dxfId="9" priority="16" operator="equal">
      <formula>"RED"</formula>
    </cfRule>
  </conditionalFormatting>
  <conditionalFormatting sqref="I5:I394 J100 J114">
    <cfRule type="containsText" dxfId="8" priority="7" operator="containsText" text="temp. OOS">
      <formula>NOT(ISERROR(SEARCH(("temp. OOS"),(I5))))</formula>
    </cfRule>
    <cfRule type="containsText" dxfId="7" priority="8" operator="containsText" text="new vintage">
      <formula>NOT(ISERROR(SEARCH(("new vintage"),(I5))))</formula>
    </cfRule>
    <cfRule type="containsText" dxfId="6" priority="9" operator="containsText" text="low stock">
      <formula>NOT(ISERROR(SEARCH(("low stock"),(I5))))</formula>
    </cfRule>
    <cfRule type="containsText" dxfId="5" priority="13" operator="containsText" text="closeout">
      <formula>NOT(ISERROR(SEARCH(("closeout"),(I5))))</formula>
    </cfRule>
    <cfRule type="containsText" dxfId="4" priority="14" operator="containsText" text="end of vintage discount">
      <formula>NOT(ISERROR(SEARCH(("end of vintage discount"),(I5))))</formula>
    </cfRule>
    <cfRule type="containsText" dxfId="3" priority="17" operator="containsText" text="new wine">
      <formula>NOT(ISERROR(SEARCH(("new wine"),(I5))))</formula>
    </cfRule>
    <cfRule type="containsText" dxfId="2" priority="18" operator="containsText" text="back in stock">
      <formula>NOT(ISERROR(SEARCH(("back in stock"),(I5))))</formula>
    </cfRule>
    <cfRule type="containsText" dxfId="1" priority="19" operator="containsText" text="New Producer">
      <formula>NOT(ISERROR(SEARCH(("New Producer"),(I5))))</formula>
    </cfRule>
    <cfRule type="containsText" dxfId="0" priority="20" operator="containsText" text="discounted">
      <formula>NOT(ISERROR(SEARCH(("discounted"),(I5))))</formula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Pricebook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Trey Stephenson</cp:lastModifiedBy>
  <dcterms:created xsi:type="dcterms:W3CDTF">2026-01-29T16:46:26Z</dcterms:created>
  <dcterms:modified xsi:type="dcterms:W3CDTF">2026-01-29T16:46:26Z</dcterms:modified>
</cp:coreProperties>
</file>